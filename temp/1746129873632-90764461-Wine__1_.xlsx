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122223" sheetId="1" r:id="rId4"/>
    <sheet state="visible" name="Wine Wish List" sheetId="2" r:id="rId5"/>
    <sheet state="visible" name="Short Drinking Window" sheetId="3" r:id="rId6"/>
    <sheet state="hidden" name="Master_New" sheetId="4" r:id="rId7"/>
    <sheet state="hidden" name="Groveland 1110" sheetId="5" r:id="rId8"/>
    <sheet state="hidden" name="Sheet7" sheetId="6" r:id="rId9"/>
    <sheet state="hidden" name="Sheet8" sheetId="7" r:id="rId10"/>
  </sheets>
  <definedNames>
    <definedName hidden="1" localSheetId="0" name="_xlnm._FilterDatabase">'Updated 122223'!$A$1:$W$201</definedName>
    <definedName hidden="1" localSheetId="3" name="_xlnm._FilterDatabase">Master_New!$A$1:$AC$999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1">
      <text>
        <t xml:space="preserve">M/L1?
	-Rahul Joshi</t>
      </text>
    </comment>
  </commentList>
</comments>
</file>

<file path=xl/sharedStrings.xml><?xml version="1.0" encoding="utf-8"?>
<sst xmlns="http://schemas.openxmlformats.org/spreadsheetml/2006/main" count="4684" uniqueCount="733">
  <si>
    <t>Owner</t>
  </si>
  <si>
    <t>Category</t>
  </si>
  <si>
    <t>Qty</t>
  </si>
  <si>
    <t xml:space="preserve">Vintage </t>
  </si>
  <si>
    <t xml:space="preserve">Winery </t>
  </si>
  <si>
    <t>Wine (Name)</t>
  </si>
  <si>
    <t>Varietal(s)</t>
  </si>
  <si>
    <t xml:space="preserve">Country </t>
  </si>
  <si>
    <t xml:space="preserve">State </t>
  </si>
  <si>
    <t xml:space="preserve">Region </t>
  </si>
  <si>
    <t>Appelation</t>
  </si>
  <si>
    <t>Sub App</t>
  </si>
  <si>
    <t>Vineyard/Cru</t>
  </si>
  <si>
    <t xml:space="preserve">Retail Price </t>
  </si>
  <si>
    <t>Volume (mL)</t>
  </si>
  <si>
    <t>Drinking Window</t>
  </si>
  <si>
    <t>Box #</t>
  </si>
  <si>
    <t>Notes</t>
  </si>
  <si>
    <t>Drank</t>
  </si>
  <si>
    <t>Pulled 1</t>
  </si>
  <si>
    <t>Double Check</t>
  </si>
  <si>
    <t>Pull 1 To Drink</t>
  </si>
  <si>
    <t>Ready to Drink</t>
  </si>
  <si>
    <t>R</t>
  </si>
  <si>
    <t>Red</t>
  </si>
  <si>
    <t>Robert Mondavi</t>
  </si>
  <si>
    <t>Reserve Cabernet</t>
  </si>
  <si>
    <t>Cabernet Sauvignon</t>
  </si>
  <si>
    <t>USA</t>
  </si>
  <si>
    <t>CA</t>
  </si>
  <si>
    <t>Northern CA</t>
  </si>
  <si>
    <t>Napa Valley</t>
  </si>
  <si>
    <t>Oakville</t>
  </si>
  <si>
    <t>To Kalon</t>
  </si>
  <si>
    <t>Medium</t>
  </si>
  <si>
    <t>M7</t>
  </si>
  <si>
    <t>M</t>
  </si>
  <si>
    <t>White</t>
  </si>
  <si>
    <t>Alice et Olivier De Moor</t>
  </si>
  <si>
    <t>L'Humeur du Temps</t>
  </si>
  <si>
    <t>Other</t>
  </si>
  <si>
    <t>France</t>
  </si>
  <si>
    <t>Chablis</t>
  </si>
  <si>
    <t xml:space="preserve">Domaine Wine Storage </t>
  </si>
  <si>
    <t>Sparkling</t>
  </si>
  <si>
    <t>Domain Chandon</t>
  </si>
  <si>
    <t>Etoile</t>
  </si>
  <si>
    <t>Now</t>
  </si>
  <si>
    <t>Krug</t>
  </si>
  <si>
    <t>Fonseca Guimaraens</t>
  </si>
  <si>
    <t>Vintage Port</t>
  </si>
  <si>
    <t>Portugal</t>
  </si>
  <si>
    <t>Porto</t>
  </si>
  <si>
    <t>Long</t>
  </si>
  <si>
    <t>Own Colares Box</t>
  </si>
  <si>
    <t>Purchased 2022</t>
  </si>
  <si>
    <t>Dowsett Family Wines</t>
  </si>
  <si>
    <t>Heart of the Hill Vineyard Mouvedre</t>
  </si>
  <si>
    <t>WA</t>
  </si>
  <si>
    <t>Columbia Valley</t>
  </si>
  <si>
    <t>Red Mountain</t>
  </si>
  <si>
    <t>Heart of the Hill Vineyard</t>
  </si>
  <si>
    <t>MA1</t>
  </si>
  <si>
    <t>Taylor's Port</t>
  </si>
  <si>
    <t>Bargetto Wines</t>
  </si>
  <si>
    <t>Santa Cruz Mountains</t>
  </si>
  <si>
    <t>M1</t>
  </si>
  <si>
    <t>Bodegas Vega Sicilia</t>
  </si>
  <si>
    <t>Unico</t>
  </si>
  <si>
    <t>Spain</t>
  </si>
  <si>
    <t>Ribera Del Duero</t>
  </si>
  <si>
    <t>Home Wine Fridge</t>
  </si>
  <si>
    <t>Chateau Dufort Vivens</t>
  </si>
  <si>
    <t>Le Relais de Durfort Vivens</t>
  </si>
  <si>
    <t>Bordeaux Blend - Left Bank</t>
  </si>
  <si>
    <t>-</t>
  </si>
  <si>
    <t>Bordeaux</t>
  </si>
  <si>
    <t>Margaux</t>
  </si>
  <si>
    <t>M/S1</t>
  </si>
  <si>
    <t>L7</t>
  </si>
  <si>
    <t>Giuseppe Quintarelli</t>
  </si>
  <si>
    <t>Ca Del Merlo</t>
  </si>
  <si>
    <t>Italy</t>
  </si>
  <si>
    <t>Veneto</t>
  </si>
  <si>
    <t>Hall Wines</t>
  </si>
  <si>
    <t xml:space="preserve">Jacks Masterpiece </t>
  </si>
  <si>
    <t>M6</t>
  </si>
  <si>
    <t>Elio Altare</t>
  </si>
  <si>
    <t>Barolo - Cerretta Reserva</t>
  </si>
  <si>
    <t>Nebbiolo</t>
  </si>
  <si>
    <t>Piedmont</t>
  </si>
  <si>
    <t>Serralunga d'Alba</t>
  </si>
  <si>
    <t>Barolo</t>
  </si>
  <si>
    <t>Cerretta</t>
  </si>
  <si>
    <t>M/L1</t>
  </si>
  <si>
    <t>Trinite Estate</t>
  </si>
  <si>
    <t>Acaibo</t>
  </si>
  <si>
    <t>Sonoma County</t>
  </si>
  <si>
    <t>M3</t>
  </si>
  <si>
    <t>Sterling Vineyards</t>
  </si>
  <si>
    <t>Yates Family Vineyard Cab Sauv</t>
  </si>
  <si>
    <t>Mt. Veeder</t>
  </si>
  <si>
    <t>Yates Family Vineyard</t>
  </si>
  <si>
    <t>Domaine Carneros</t>
  </si>
  <si>
    <t>La Reve Rosé</t>
  </si>
  <si>
    <t>Short</t>
  </si>
  <si>
    <t>Casa Lapostolle</t>
  </si>
  <si>
    <t>Le Petit Clos Apalta</t>
  </si>
  <si>
    <t>Chile</t>
  </si>
  <si>
    <t>Apalta</t>
  </si>
  <si>
    <t>Home Fridge</t>
  </si>
  <si>
    <t>Sleeping Lady Vineyard Cab Sauv</t>
  </si>
  <si>
    <t>Yountville</t>
  </si>
  <si>
    <t>Sleeping Lady Vineyard</t>
  </si>
  <si>
    <t>Reseve Cabernet</t>
  </si>
  <si>
    <t>To Kalon Vineyard</t>
  </si>
  <si>
    <t>Rosso Ca Del Merlo</t>
  </si>
  <si>
    <t>Planium Select Cab Sauv</t>
  </si>
  <si>
    <t>Luigi Baudana</t>
  </si>
  <si>
    <t>Barolo - Cerretta</t>
  </si>
  <si>
    <t>Diamond Mountain Vineyard</t>
  </si>
  <si>
    <t>Diamond Mountain District</t>
  </si>
  <si>
    <t>Silverado Vineyards</t>
  </si>
  <si>
    <t>Oakville Station</t>
  </si>
  <si>
    <t>Oakville Station Vineyard</t>
  </si>
  <si>
    <t>S2</t>
  </si>
  <si>
    <t>Rutherford</t>
  </si>
  <si>
    <t>Pax Wines</t>
  </si>
  <si>
    <t>Griffins Lair Vineyard - Sonoma Coast</t>
  </si>
  <si>
    <t>Syrah</t>
  </si>
  <si>
    <t>Sonoma Coast</t>
  </si>
  <si>
    <t>Griffins Lair Vineyard</t>
  </si>
  <si>
    <t>M/S2</t>
  </si>
  <si>
    <t>Arenae Colares</t>
  </si>
  <si>
    <t>Vinho Regional Lisboa</t>
  </si>
  <si>
    <t>Colares</t>
  </si>
  <si>
    <t>Own Case</t>
  </si>
  <si>
    <t>Domaine Grand Veneur</t>
  </si>
  <si>
    <t>Chateauneuf Du Pape Blend</t>
  </si>
  <si>
    <t>Rhone Blend</t>
  </si>
  <si>
    <t>Southern Rhone</t>
  </si>
  <si>
    <t>Chateauneuf Du Pape</t>
  </si>
  <si>
    <t>excellent. buy from this producer again April 2022</t>
  </si>
  <si>
    <t>Chateau Trotanoy</t>
  </si>
  <si>
    <t>Grand Vin</t>
  </si>
  <si>
    <t>Bordeaux Blend - Right Bank</t>
  </si>
  <si>
    <t>Bordeax</t>
  </si>
  <si>
    <t>Pomerol</t>
  </si>
  <si>
    <t>Rosso del Bepi</t>
  </si>
  <si>
    <t>Gloria Ferrer</t>
  </si>
  <si>
    <t>Carneros Cuvee</t>
  </si>
  <si>
    <t xml:space="preserve">Krug </t>
  </si>
  <si>
    <t>Bergfeld</t>
  </si>
  <si>
    <t>R+M</t>
  </si>
  <si>
    <t>Corison Winery</t>
  </si>
  <si>
    <t xml:space="preserve">Helios Sunbasket Vineyard Cab Franc </t>
  </si>
  <si>
    <t>Cabernet Franc</t>
  </si>
  <si>
    <t>Sunbasket Vineyard</t>
  </si>
  <si>
    <t>Chateau Leoville Las Cases</t>
  </si>
  <si>
    <t>Le Petit Lion</t>
  </si>
  <si>
    <t>Saint Julien</t>
  </si>
  <si>
    <t>L5</t>
  </si>
  <si>
    <t>Estate Cuvee Late Disgorged</t>
  </si>
  <si>
    <t>Andrew Will Winery</t>
  </si>
  <si>
    <t>Sorella</t>
  </si>
  <si>
    <t>Horse Heaven Hills</t>
  </si>
  <si>
    <t xml:space="preserve">Champoux Vineyard </t>
  </si>
  <si>
    <t>Andrew Will OWC</t>
  </si>
  <si>
    <t>Amaino</t>
  </si>
  <si>
    <t>Sonoma</t>
  </si>
  <si>
    <t>Grgich Hills</t>
  </si>
  <si>
    <t>Old Vine Cab Sauv</t>
  </si>
  <si>
    <t>Duckhorn Vineyards</t>
  </si>
  <si>
    <t xml:space="preserve">The Discussion </t>
  </si>
  <si>
    <t>The Discussion</t>
  </si>
  <si>
    <t>Rivers-Marie</t>
  </si>
  <si>
    <t>Calistoga</t>
  </si>
  <si>
    <t>AXR Winery</t>
  </si>
  <si>
    <t>Napa Valley Cabernet</t>
  </si>
  <si>
    <t>V. Madrone Vineyard</t>
  </si>
  <si>
    <t>L1</t>
  </si>
  <si>
    <t>Solo</t>
  </si>
  <si>
    <t>Stags Leap District</t>
  </si>
  <si>
    <t>M2</t>
  </si>
  <si>
    <t>Kathryn Hall</t>
  </si>
  <si>
    <t>Patzimaro Cab Sauv</t>
  </si>
  <si>
    <t>St Helena</t>
  </si>
  <si>
    <t>Patzimaro Vineyard</t>
  </si>
  <si>
    <t>Joseph Phelps Winery</t>
  </si>
  <si>
    <t>Goldeneye Winery</t>
  </si>
  <si>
    <t>Confluence Vineyard</t>
  </si>
  <si>
    <t>Pinot Noir</t>
  </si>
  <si>
    <t>Confluence Vineyad</t>
  </si>
  <si>
    <t>S1</t>
  </si>
  <si>
    <t>Francesco Rinaldi &amp; Figli</t>
  </si>
  <si>
    <t>Le Brunate</t>
  </si>
  <si>
    <t>Brunate</t>
  </si>
  <si>
    <t>Sequoia Grove</t>
  </si>
  <si>
    <t>Cabernet Sauvignon - Lamoreaux Vineyard</t>
  </si>
  <si>
    <t>Oak Knoll District</t>
  </si>
  <si>
    <t>Lamoreaux Vineyard</t>
  </si>
  <si>
    <t>Ellie's</t>
  </si>
  <si>
    <t>Hobel Wines</t>
  </si>
  <si>
    <t>The Figure</t>
  </si>
  <si>
    <t>M4</t>
  </si>
  <si>
    <t>Silverado</t>
  </si>
  <si>
    <t>Geo</t>
  </si>
  <si>
    <t>Coombsville</t>
  </si>
  <si>
    <t>RRV Pinot Noir</t>
  </si>
  <si>
    <t>Russivan River Valley</t>
  </si>
  <si>
    <t>Big Basin Vineyards</t>
  </si>
  <si>
    <t>Homestead</t>
  </si>
  <si>
    <t>Central Coast</t>
  </si>
  <si>
    <t xml:space="preserve">Domaine Leflaive OWC </t>
  </si>
  <si>
    <t>Estate Grown Cab Sauv</t>
  </si>
  <si>
    <t>Poggiarellino</t>
  </si>
  <si>
    <t>Brunello di Montalcino Riserva</t>
  </si>
  <si>
    <t>Italty</t>
  </si>
  <si>
    <t>Tuscany</t>
  </si>
  <si>
    <t>Brunello di Montalcino</t>
  </si>
  <si>
    <t>Grand Vin De Marquis de Las Cases</t>
  </si>
  <si>
    <t>St. Helena</t>
  </si>
  <si>
    <t>Jacks Masterpiece</t>
  </si>
  <si>
    <t>Chateau Pontet Canet</t>
  </si>
  <si>
    <t>Pauillac</t>
  </si>
  <si>
    <t>Chateau Beaucastel</t>
  </si>
  <si>
    <t>Chateauneuf du Pape - Rouge</t>
  </si>
  <si>
    <t>Rhone Valley</t>
  </si>
  <si>
    <t>Chateauneuf du Pape</t>
  </si>
  <si>
    <t>Chateau Potelle</t>
  </si>
  <si>
    <t>Cab Franc Wildcat Mountain Vineyard</t>
  </si>
  <si>
    <t>Wildcat Mountain Vineyar</t>
  </si>
  <si>
    <t>St Helena Cabernet Sauvignon</t>
  </si>
  <si>
    <t>Famous Gate</t>
  </si>
  <si>
    <t>SLD Merlot</t>
  </si>
  <si>
    <t>Merlot</t>
  </si>
  <si>
    <t>Becklin Vineyards Pinot Noir</t>
  </si>
  <si>
    <t>OR</t>
  </si>
  <si>
    <t>Willammette Valley</t>
  </si>
  <si>
    <t>Becklin Vineyards</t>
  </si>
  <si>
    <t>Keenan Winery</t>
  </si>
  <si>
    <t>Spring Mountain District</t>
  </si>
  <si>
    <t>Valpolliciella Supioriore</t>
  </si>
  <si>
    <t>Pride Mountain Vineyards</t>
  </si>
  <si>
    <t>Reserve Claret</t>
  </si>
  <si>
    <t>Terrior Collection Cab Sauv</t>
  </si>
  <si>
    <t>Saxum</t>
  </si>
  <si>
    <t>Bone Rock</t>
  </si>
  <si>
    <t>Paso Robles</t>
  </si>
  <si>
    <t>Bone Rock Vineyard</t>
  </si>
  <si>
    <t>Brut Rosé</t>
  </si>
  <si>
    <t>Mt. George Vinyeard</t>
  </si>
  <si>
    <t>GSC</t>
  </si>
  <si>
    <t>Fountaingrove District</t>
  </si>
  <si>
    <t>Force Majure</t>
  </si>
  <si>
    <t>SJR Vineyard</t>
  </si>
  <si>
    <t>Walla Walla Valley</t>
  </si>
  <si>
    <t>The Rocks</t>
  </si>
  <si>
    <t>Livio Sassetti</t>
  </si>
  <si>
    <t>Pertimali  - Brunello Di Montalcino</t>
  </si>
  <si>
    <t>Cavallotto</t>
  </si>
  <si>
    <t>Bricco Boschis</t>
  </si>
  <si>
    <t>Chateau Des Tours</t>
  </si>
  <si>
    <t>Cotes Du Rhone</t>
  </si>
  <si>
    <t>Giovanni Rosso</t>
  </si>
  <si>
    <t>Cerreta</t>
  </si>
  <si>
    <t>Coeur</t>
  </si>
  <si>
    <t>Dijon 777 Clone</t>
  </si>
  <si>
    <t>Carneros</t>
  </si>
  <si>
    <t>Planium Cab Sauv</t>
  </si>
  <si>
    <t>Terra Secca</t>
  </si>
  <si>
    <t>Winemakers Series Cabernet Franc</t>
  </si>
  <si>
    <t xml:space="preserve">Griffin's Lair Vineyard </t>
  </si>
  <si>
    <t>Griffin's Lair</t>
  </si>
  <si>
    <t>Terraces Syrah</t>
  </si>
  <si>
    <t>Rattlesnake Vineyard</t>
  </si>
  <si>
    <t>GC Lurton</t>
  </si>
  <si>
    <t>Sonoma Cabernet</t>
  </si>
  <si>
    <t>Marcarini</t>
  </si>
  <si>
    <t>excellent. buy producer and vineyard again</t>
  </si>
  <si>
    <t>Mt. George Cab Franc</t>
  </si>
  <si>
    <t>Mt. George</t>
  </si>
  <si>
    <t>White Rock Vineyards</t>
  </si>
  <si>
    <t xml:space="preserve">Laureate </t>
  </si>
  <si>
    <t>M9</t>
  </si>
  <si>
    <t>James Berry Vineyard - Paso Robles</t>
  </si>
  <si>
    <t>James Berry Vineyard</t>
  </si>
  <si>
    <t>Mayacamas Vineyards</t>
  </si>
  <si>
    <t xml:space="preserve">Mt. Veeder Cabernet </t>
  </si>
  <si>
    <t>M8</t>
  </si>
  <si>
    <t>Castello Di Ama</t>
  </si>
  <si>
    <t xml:space="preserve">San Lorenzo Chianti Classico Gran Selezione </t>
  </si>
  <si>
    <t>Chianti Classico</t>
  </si>
  <si>
    <t>Kronos Vineyard Cabernet Sauv</t>
  </si>
  <si>
    <t>Kronos Vineyard</t>
  </si>
  <si>
    <t>Kronos Vineyard Cabernet Sauv 1.5L</t>
  </si>
  <si>
    <t>La Ciel Serein</t>
  </si>
  <si>
    <t>Vina Almaviva</t>
  </si>
  <si>
    <t>Vina Almaviva Puente Alto</t>
  </si>
  <si>
    <t>Maipo Valley</t>
  </si>
  <si>
    <t>Puente Alto</t>
  </si>
  <si>
    <t>Walt Wines</t>
  </si>
  <si>
    <t>Sierra Mar</t>
  </si>
  <si>
    <t>Santa Lucia Highlands</t>
  </si>
  <si>
    <t>Sierra Mar Vineyard</t>
  </si>
  <si>
    <t>Chāo Rijo</t>
  </si>
  <si>
    <t>Ramisco - Colares Vinho Tinto</t>
  </si>
  <si>
    <t>La Querciolina</t>
  </si>
  <si>
    <t>Montecucco Rosso</t>
  </si>
  <si>
    <t>R/M1</t>
  </si>
  <si>
    <t>Domaine de la Vieille Julienne</t>
  </si>
  <si>
    <t>lieu-dit Clavin</t>
  </si>
  <si>
    <t>Côtes-du-Rhone</t>
  </si>
  <si>
    <t>Bure Family Wines</t>
  </si>
  <si>
    <t>Majesty</t>
  </si>
  <si>
    <t>Beckstoffer To Kalon</t>
  </si>
  <si>
    <t xml:space="preserve">OWC </t>
  </si>
  <si>
    <t>Chapellett Winery</t>
  </si>
  <si>
    <t>Pritchard Hill Cabernet Sauvingnon</t>
  </si>
  <si>
    <t>Snowden Vineyards</t>
  </si>
  <si>
    <t>Napa Valley Cabernet Franc</t>
  </si>
  <si>
    <t>Melchior Kemper Vineyard</t>
  </si>
  <si>
    <t>Saison Winery</t>
  </si>
  <si>
    <t>Wirz Vineyard Riesling</t>
  </si>
  <si>
    <t>Cienga Valley</t>
  </si>
  <si>
    <t>Wirz Vineyard</t>
  </si>
  <si>
    <t>???</t>
  </si>
  <si>
    <t>St. Helena Cabernet</t>
  </si>
  <si>
    <t>Insignia</t>
  </si>
  <si>
    <t>Di Costanzo</t>
  </si>
  <si>
    <t>Montecillo Vineyard</t>
  </si>
  <si>
    <t>Moon Mountain</t>
  </si>
  <si>
    <t>Farella Vineyard</t>
  </si>
  <si>
    <t xml:space="preserve">Coombsville </t>
  </si>
  <si>
    <t>Freestone Vineyard</t>
  </si>
  <si>
    <t>Phillips Hill</t>
  </si>
  <si>
    <t xml:space="preserve">Oppenlander Vineyard </t>
  </si>
  <si>
    <t>Mendocino County</t>
  </si>
  <si>
    <t>Anderson Valley</t>
  </si>
  <si>
    <t>Oppenlander Vineyard</t>
  </si>
  <si>
    <t>The Reseve Cabernet</t>
  </si>
  <si>
    <t>Chateau Canon</t>
  </si>
  <si>
    <t>Saint Emilion</t>
  </si>
  <si>
    <t>Gallica Wine</t>
  </si>
  <si>
    <t>Estate Cabernet Sauvingnon</t>
  </si>
  <si>
    <t>Fait Main Wines</t>
  </si>
  <si>
    <t>Beckstoffer Missour Hopper Vineyard</t>
  </si>
  <si>
    <t>Matthiasson Winery</t>
  </si>
  <si>
    <t>Phoenix Vineyard</t>
  </si>
  <si>
    <t>Michael Mara Vineyard Chardonnay</t>
  </si>
  <si>
    <t>Chardonnay</t>
  </si>
  <si>
    <t>Michael Mara Vineyard</t>
  </si>
  <si>
    <t>Domaine de Chevalier</t>
  </si>
  <si>
    <t xml:space="preserve">Grand Vin </t>
  </si>
  <si>
    <t>Pessac-Leognan</t>
  </si>
  <si>
    <t>Perchance Estates</t>
  </si>
  <si>
    <t>Beckstoffer Georges III Vineyard</t>
  </si>
  <si>
    <t>East Bench</t>
  </si>
  <si>
    <t>Breccia</t>
  </si>
  <si>
    <t>Ridge Vineyards</t>
  </si>
  <si>
    <t>Monte Bello</t>
  </si>
  <si>
    <t>Monte Bello Vineyard</t>
  </si>
  <si>
    <t>Krug Box</t>
  </si>
  <si>
    <t>Cave Hill</t>
  </si>
  <si>
    <t>Ultramarine</t>
  </si>
  <si>
    <t>Keefer Ranch Blanc de Blancs</t>
  </si>
  <si>
    <t>Keefer Ranch</t>
  </si>
  <si>
    <t>DI CO</t>
  </si>
  <si>
    <t>Dominus</t>
  </si>
  <si>
    <t>Napanook</t>
  </si>
  <si>
    <t>Napanook Vineyard</t>
  </si>
  <si>
    <t>Penfolds</t>
  </si>
  <si>
    <t>Bin 389 - Cabernet Shiraz</t>
  </si>
  <si>
    <t>Australia</t>
  </si>
  <si>
    <t>Parabellum Coulee</t>
  </si>
  <si>
    <t>Guy Farge</t>
  </si>
  <si>
    <t>Cornas - Reynard</t>
  </si>
  <si>
    <t>Northern Rhone</t>
  </si>
  <si>
    <t>Cornas</t>
  </si>
  <si>
    <t>Reynard</t>
  </si>
  <si>
    <t>Caldwell Vineyard</t>
  </si>
  <si>
    <t>les Trois Sources</t>
  </si>
  <si>
    <t>Châteauneuf-du-Pape</t>
  </si>
  <si>
    <t>Loose</t>
  </si>
  <si>
    <t>Estate Cabernet Sauvignon</t>
  </si>
  <si>
    <t>None</t>
  </si>
  <si>
    <t>Raen Vineyards</t>
  </si>
  <si>
    <t>Royal St. Robert - Sonoma Coast</t>
  </si>
  <si>
    <t>Phoenix Vineyard Merlot</t>
  </si>
  <si>
    <t>Old Vine Zinfandel</t>
  </si>
  <si>
    <t>Zinfandel</t>
  </si>
  <si>
    <t>Blanc de Noir</t>
  </si>
  <si>
    <t>Malvasia Colares Vinho Branco</t>
  </si>
  <si>
    <t>Pierre-Yves Colin-Morey</t>
  </si>
  <si>
    <t>Pernand-Verglesses - Sous Frétilles 1er Cru</t>
  </si>
  <si>
    <t>Burgundy</t>
  </si>
  <si>
    <t>Pernand-Verglesses 1er Cru</t>
  </si>
  <si>
    <t>Regan Vineyard Chardonnay</t>
  </si>
  <si>
    <t>Regan Vineyards</t>
  </si>
  <si>
    <t>Clos Cibonne</t>
  </si>
  <si>
    <t>Tibouren</t>
  </si>
  <si>
    <t>Southern France</t>
  </si>
  <si>
    <t>Cotes de Provence</t>
  </si>
  <si>
    <t>Heritage Vineyard Albarino</t>
  </si>
  <si>
    <t>Sierra Foothills</t>
  </si>
  <si>
    <t>Calaveras County</t>
  </si>
  <si>
    <t>Rorick Heritage Vineyard</t>
  </si>
  <si>
    <t>NV</t>
  </si>
  <si>
    <t>V. Sattui Winery</t>
  </si>
  <si>
    <t>Madeira</t>
  </si>
  <si>
    <t>Leeuwin Estate</t>
  </si>
  <si>
    <t>Art Series Cabernet</t>
  </si>
  <si>
    <t>Western Australia</t>
  </si>
  <si>
    <t>Margaret River</t>
  </si>
  <si>
    <t>Corazon Del Sol</t>
  </si>
  <si>
    <t>Malbec</t>
  </si>
  <si>
    <t>Uco Valley</t>
  </si>
  <si>
    <t>Los Chacayes</t>
  </si>
  <si>
    <t>Hideaway Vineyard Cabernet</t>
  </si>
  <si>
    <t>Pritchard Hill</t>
  </si>
  <si>
    <t>Hideaway Vineyard</t>
  </si>
  <si>
    <t>Emmanuel Rouget</t>
  </si>
  <si>
    <t>Bourgogne Aligote</t>
  </si>
  <si>
    <t>Giacomo Conterno</t>
  </si>
  <si>
    <t>Vigna Cerretta</t>
  </si>
  <si>
    <t xml:space="preserve">Barbera </t>
  </si>
  <si>
    <t>Alba</t>
  </si>
  <si>
    <t>Comm G.B Burlotto</t>
  </si>
  <si>
    <t>Aves</t>
  </si>
  <si>
    <t>Newfound</t>
  </si>
  <si>
    <t>Scaggs Vineyard Counoise</t>
  </si>
  <si>
    <t>Scaggs Vineyard</t>
  </si>
  <si>
    <t>Birichino Vineyard</t>
  </si>
  <si>
    <t>Old Vine Grenache</t>
  </si>
  <si>
    <t>Besson Vineyard</t>
  </si>
  <si>
    <t>Justine Vigne</t>
  </si>
  <si>
    <t>Ultreia - Grenache</t>
  </si>
  <si>
    <t>Rhone</t>
  </si>
  <si>
    <t>Chiara Condello</t>
  </si>
  <si>
    <t>Predappio</t>
  </si>
  <si>
    <t>Sangiovese</t>
  </si>
  <si>
    <t>N/A</t>
  </si>
  <si>
    <t>Emiliga-Romagna</t>
  </si>
  <si>
    <t>Schramsberg</t>
  </si>
  <si>
    <t>Caminante Del Cielo Vineyard</t>
  </si>
  <si>
    <t>Marin County</t>
  </si>
  <si>
    <t>Patrick Piuze</t>
  </si>
  <si>
    <t>La Grande Vallee</t>
  </si>
  <si>
    <t>La Grane Valle</t>
  </si>
  <si>
    <t>Powel &amp; Son</t>
  </si>
  <si>
    <t>Loechel Vineyard Shiraz</t>
  </si>
  <si>
    <t>South Australia</t>
  </si>
  <si>
    <t>Eden Valley</t>
  </si>
  <si>
    <t>Loechel Vineyard</t>
  </si>
  <si>
    <t>Producer</t>
  </si>
  <si>
    <t>Cuvee</t>
  </si>
  <si>
    <t>Vintage</t>
  </si>
  <si>
    <t>US Dollar Cost at Entry Time</t>
  </si>
  <si>
    <t>Earned</t>
  </si>
  <si>
    <t>Domaine Prieure Roch</t>
  </si>
  <si>
    <t>Ladoix Le Cloud</t>
  </si>
  <si>
    <t>Domaine Gangloff</t>
  </si>
  <si>
    <t>Serene Noir</t>
  </si>
  <si>
    <t>Any</t>
  </si>
  <si>
    <t>La Barbarine</t>
  </si>
  <si>
    <t>Champagne Delamotte</t>
  </si>
  <si>
    <t>Brut Rose</t>
  </si>
  <si>
    <t>Arnaud Ente</t>
  </si>
  <si>
    <t>Bourgogne Blanc</t>
  </si>
  <si>
    <t xml:space="preserve"> Billecart-Salmon</t>
  </si>
  <si>
    <t>Cuvée Nicolas François Billecart</t>
  </si>
  <si>
    <t>Pontet Canet</t>
  </si>
  <si>
    <t>2020/2009/2010</t>
  </si>
  <si>
    <t>115+</t>
  </si>
  <si>
    <t>Quintarelli</t>
  </si>
  <si>
    <t>Alzero</t>
  </si>
  <si>
    <t>$450+</t>
  </si>
  <si>
    <t>Amarone della Valpolicella</t>
  </si>
  <si>
    <t>$400+</t>
  </si>
  <si>
    <t>Dal Forno Romano</t>
  </si>
  <si>
    <t>Emidio Pepe</t>
  </si>
  <si>
    <t>Montepulciano d'Abruzzo</t>
  </si>
  <si>
    <t>$120+</t>
  </si>
  <si>
    <t>Montepulciano d'Abruzzo Vecchio Vigne</t>
  </si>
  <si>
    <t>190+</t>
  </si>
  <si>
    <t>Trebbiano d'Abruzzo</t>
  </si>
  <si>
    <t>$75+</t>
  </si>
  <si>
    <t>Cerusolo d'Abruzzo</t>
  </si>
  <si>
    <t>Castello dei Rampolla</t>
  </si>
  <si>
    <t>Sammarco</t>
  </si>
  <si>
    <t>Vigna d'Alceo</t>
  </si>
  <si>
    <t>$140+</t>
  </si>
  <si>
    <t>Petrolo</t>
  </si>
  <si>
    <t>Galatrona</t>
  </si>
  <si>
    <t>Rosso di Montalcino</t>
  </si>
  <si>
    <t>$20+</t>
  </si>
  <si>
    <t>Bartolo Mascarello</t>
  </si>
  <si>
    <t>2013/2016/2018</t>
  </si>
  <si>
    <t>$300+</t>
  </si>
  <si>
    <t>La Spinetta</t>
  </si>
  <si>
    <t>Barolo Campe</t>
  </si>
  <si>
    <t>Barbaresco Gallina</t>
  </si>
  <si>
    <t>E Pira Chiara Boschis/E Pira &amp; Figli</t>
  </si>
  <si>
    <t>Produtorri del Barbaresco</t>
  </si>
  <si>
    <t>Roberto Voerizo</t>
  </si>
  <si>
    <t>Tiberio</t>
  </si>
  <si>
    <t>Fratelli Allessandria</t>
  </si>
  <si>
    <t>Tino Kuban</t>
  </si>
  <si>
    <t>Crissante Allessandria</t>
  </si>
  <si>
    <t>Chiara Codello</t>
  </si>
  <si>
    <t>40+</t>
  </si>
  <si>
    <t>https://www.bowlerwine.com/producer/condello-chiara</t>
  </si>
  <si>
    <t>2021 Rudi Pichler "Reid Achleiten" Riesling Smaragd Wachau</t>
  </si>
  <si>
    <t>Le Ragnaie</t>
  </si>
  <si>
    <t>Brunello di Montalcino, and others</t>
  </si>
  <si>
    <t>any</t>
  </si>
  <si>
    <t>80+</t>
  </si>
  <si>
    <t>Anne Sophie Dubois</t>
  </si>
  <si>
    <t>Les Cocottes</t>
  </si>
  <si>
    <t>Sub AVA</t>
  </si>
  <si>
    <t>La Reve Late Disgorged</t>
  </si>
  <si>
    <t xml:space="preserve">Chateau Dufort Vivens </t>
  </si>
  <si>
    <t>La Brisa 3L</t>
  </si>
  <si>
    <t>OWC</t>
  </si>
  <si>
    <t>Napa Valley Merlot 3L</t>
  </si>
  <si>
    <t>The Discussion 1.5L</t>
  </si>
  <si>
    <t>L14</t>
  </si>
  <si>
    <t>Almaviva</t>
  </si>
  <si>
    <t>Almaviva - Red Blend</t>
  </si>
  <si>
    <t>Vinic</t>
  </si>
  <si>
    <t>Majesty - To Kalon Vineyard</t>
  </si>
  <si>
    <t>Chateau Haut Bage Liberal</t>
  </si>
  <si>
    <t>La Chapelle du Bage</t>
  </si>
  <si>
    <t>Platninum Napa Valley Cab Sauv</t>
  </si>
  <si>
    <t xml:space="preserve">Cerretta </t>
  </si>
  <si>
    <t>Platninum Cab Sauv</t>
  </si>
  <si>
    <t>Helios Sunbasket Vineyard Cab Franc</t>
  </si>
  <si>
    <t>L12</t>
  </si>
  <si>
    <t>Ultra Brut</t>
  </si>
  <si>
    <t>Sonoma Red</t>
  </si>
  <si>
    <t>Steltzner Vineyards</t>
  </si>
  <si>
    <t>SLD Malbec</t>
  </si>
  <si>
    <t>Bruna Grimaldi</t>
  </si>
  <si>
    <t>Badarina</t>
  </si>
  <si>
    <t>Becklin Vineyards Pinor Noir</t>
  </si>
  <si>
    <t>Willamette Valley</t>
  </si>
  <si>
    <t>Gewurztraminer Celilo Vineyard</t>
  </si>
  <si>
    <t>Columbia Gorge</t>
  </si>
  <si>
    <t>Celilo Vineyard</t>
  </si>
  <si>
    <t>L10</t>
  </si>
  <si>
    <t xml:space="preserve">Stags Leap District. </t>
  </si>
  <si>
    <t>Cab Sauv</t>
  </si>
  <si>
    <t>Mt. George Merlot</t>
  </si>
  <si>
    <t>Cote Du Rhone</t>
  </si>
  <si>
    <t>Bens Basement</t>
  </si>
  <si>
    <t>Santa Rita Hills</t>
  </si>
  <si>
    <t>Miljenkos Selection Old Vine Zinfandel</t>
  </si>
  <si>
    <t>Merry Edwards Winery</t>
  </si>
  <si>
    <t>Georganne Pinot Noir</t>
  </si>
  <si>
    <t>Russian River Valley</t>
  </si>
  <si>
    <t>M10</t>
  </si>
  <si>
    <t>Dijon Clone Pinot Noir</t>
  </si>
  <si>
    <t xml:space="preserve">Santa Cruz Mountains </t>
  </si>
  <si>
    <t>Regan Vineyard</t>
  </si>
  <si>
    <t xml:space="preserve">Pommard Clone </t>
  </si>
  <si>
    <t>Bure Family Box</t>
  </si>
  <si>
    <t>??</t>
  </si>
  <si>
    <t xml:space="preserve">To Kalon Vineyard </t>
  </si>
  <si>
    <t>Raen Box</t>
  </si>
  <si>
    <t>Sparkling Rosé</t>
  </si>
  <si>
    <t>Cuvee something</t>
  </si>
  <si>
    <t>Potelle 2</t>
  </si>
  <si>
    <t>Quilceda Creek</t>
  </si>
  <si>
    <t>Galitzine Vineyard</t>
  </si>
  <si>
    <t>Excellent -- find + buy again. Drank with Molly and Bremer family w/ tri tip and salmon</t>
  </si>
  <si>
    <t>Ettore Germano</t>
  </si>
  <si>
    <t>excellent. drank with molly in groveland</t>
  </si>
  <si>
    <t>Jardin D'Hiver Ultra Brut</t>
  </si>
  <si>
    <t>Rosé</t>
  </si>
  <si>
    <t>Cheateau Trotanoy</t>
  </si>
  <si>
    <t>Esperance de Trotanoy</t>
  </si>
  <si>
    <t>Gifted to Jeff from Scotts clinic -- had dinner with Quetin at his house. Nov 2021</t>
  </si>
  <si>
    <t>Reserve Cab Franc</t>
  </si>
  <si>
    <t>Winemakers Series Syrah</t>
  </si>
  <si>
    <t>Petite Verdot - Miljenkos Selection</t>
  </si>
  <si>
    <t>Petit Verdot</t>
  </si>
  <si>
    <t>Becklin Vineyards Pinot Noirt</t>
  </si>
  <si>
    <t>Regan Vineyards Reserve Santa Cruz Mountains Cab Sauv</t>
  </si>
  <si>
    <t>Soquel Vineyards</t>
  </si>
  <si>
    <t>Estate Grown Pinot Noir</t>
  </si>
  <si>
    <t>Regan Vineyards Reserve Santa Cruz Mountains Merlot</t>
  </si>
  <si>
    <t>Viognier</t>
  </si>
  <si>
    <t>Basor Vineyard</t>
  </si>
  <si>
    <t>Napa Valley Rosé</t>
  </si>
  <si>
    <t>Haut Bage Liberal</t>
  </si>
  <si>
    <t xml:space="preserve">Trinite Estate </t>
  </si>
  <si>
    <t>Ducru - Beaucaillou</t>
  </si>
  <si>
    <t>La Croix Ducru - Beaucaillou</t>
  </si>
  <si>
    <t>Mt. George Malbec</t>
  </si>
  <si>
    <t>Rutherford Bench Reserve</t>
  </si>
  <si>
    <t xml:space="preserve">Club Red </t>
  </si>
  <si>
    <t>Sterling Winery</t>
  </si>
  <si>
    <t>Reserve Napa Valley Chardonnary</t>
  </si>
  <si>
    <t>Stags Leap District Merlot</t>
  </si>
  <si>
    <t>Soda Creek Zinfandel</t>
  </si>
  <si>
    <t>Soda Creek</t>
  </si>
  <si>
    <t xml:space="preserve">Chardonnay </t>
  </si>
  <si>
    <t>Paris Commemorative Bottling</t>
  </si>
  <si>
    <t>?</t>
  </si>
  <si>
    <t>Sangiacomo</t>
  </si>
  <si>
    <t>Blue Jay</t>
  </si>
  <si>
    <t>Clos Apalta</t>
  </si>
  <si>
    <t>Le Petit Clos</t>
  </si>
  <si>
    <t>Apalta Valley</t>
  </si>
  <si>
    <t>Napa Merlot</t>
  </si>
  <si>
    <t>Napa Zinfandel</t>
  </si>
  <si>
    <t>Beaujolais</t>
  </si>
  <si>
    <t xml:space="preserve">Fleurie </t>
  </si>
  <si>
    <t>Prisoner Winery</t>
  </si>
  <si>
    <t>Thorn</t>
  </si>
  <si>
    <t>Calistoga Cab Franc</t>
  </si>
  <si>
    <t>Year</t>
  </si>
  <si>
    <t>Varietal</t>
  </si>
  <si>
    <t>Name</t>
  </si>
  <si>
    <t>Winery</t>
  </si>
  <si>
    <t>Price</t>
  </si>
  <si>
    <t>Quantity</t>
  </si>
  <si>
    <t xml:space="preserve">Box # </t>
  </si>
  <si>
    <t>TC</t>
  </si>
  <si>
    <t xml:space="preserve">Sparkling </t>
  </si>
  <si>
    <t>Vintage Brut</t>
  </si>
  <si>
    <t>Domaine Chandon</t>
  </si>
  <si>
    <t>Cab Franc</t>
  </si>
  <si>
    <t>Winemakers Series Cab Franc</t>
  </si>
  <si>
    <t>Winemakers Series Cab Sauv</t>
  </si>
  <si>
    <t xml:space="preserve">Bordeaux Blend </t>
  </si>
  <si>
    <t>Red Blend</t>
  </si>
  <si>
    <t>Momentumn</t>
  </si>
  <si>
    <t>Mondavi</t>
  </si>
  <si>
    <t>Bordeaux Blend</t>
  </si>
  <si>
    <t>Opus One</t>
  </si>
  <si>
    <t>Overture</t>
  </si>
  <si>
    <t>Chateau Ferriere</t>
  </si>
  <si>
    <t xml:space="preserve">Red Blend </t>
  </si>
  <si>
    <t>Blanc de Blancs</t>
  </si>
  <si>
    <t>Georgia Rosé</t>
  </si>
  <si>
    <t xml:space="preserve">Lallier </t>
  </si>
  <si>
    <t>Rosé - Grand Cru</t>
  </si>
  <si>
    <t>Champagne</t>
  </si>
  <si>
    <t xml:space="preserve">Rosé </t>
  </si>
  <si>
    <t>The Prisoner Wine Company</t>
  </si>
  <si>
    <t>Erased</t>
  </si>
  <si>
    <t xml:space="preserve">Ancient Hills </t>
  </si>
  <si>
    <t>Baco Noir</t>
  </si>
  <si>
    <t xml:space="preserve">Lazerus </t>
  </si>
  <si>
    <t>Lemberger</t>
  </si>
  <si>
    <t>Buty Wines</t>
  </si>
  <si>
    <t xml:space="preserve">Columbia Valley White </t>
  </si>
  <si>
    <t xml:space="preserve">White Bordeaux Blend </t>
  </si>
  <si>
    <t>Rosé of the Stones</t>
  </si>
  <si>
    <t>Mourvedre</t>
  </si>
  <si>
    <t>Two Magpies</t>
  </si>
  <si>
    <t xml:space="preserve">Reserve Brut Late Disgorged </t>
  </si>
  <si>
    <t>Blanc De Noir</t>
  </si>
  <si>
    <t>Limited Baulbebar</t>
  </si>
  <si>
    <t>Joseph Phelps</t>
  </si>
  <si>
    <t>Delice</t>
  </si>
  <si>
    <t>Dessert Wine</t>
  </si>
  <si>
    <t>50th Anniversary Oakville Cab</t>
  </si>
  <si>
    <t>Moscato d'Oro</t>
  </si>
  <si>
    <t>AXR</t>
  </si>
  <si>
    <t>V. Madrone Vineyard Petite Syrah</t>
  </si>
  <si>
    <t>Petite Syrah</t>
  </si>
  <si>
    <t>Clos Du Marquis</t>
  </si>
  <si>
    <t xml:space="preserve">Leoville Las Cases </t>
  </si>
  <si>
    <t>Rutherford Cab</t>
  </si>
  <si>
    <t xml:space="preserve">The North End </t>
  </si>
  <si>
    <t>Momentum</t>
  </si>
  <si>
    <t>Gowan Creek</t>
  </si>
  <si>
    <t>Fantasia</t>
  </si>
  <si>
    <t>Super Tuscan</t>
  </si>
  <si>
    <t>Mt George Cab Franc</t>
  </si>
  <si>
    <t>Russian River Pinot Noir</t>
  </si>
  <si>
    <t>Couer</t>
  </si>
  <si>
    <t>Darwin</t>
  </si>
  <si>
    <t>Oak Knoll District Cab Sauv - Lamoreaux Vineyards</t>
  </si>
  <si>
    <t>Winemaker Series Merlot</t>
  </si>
  <si>
    <t>Winemaker Series Syrah</t>
  </si>
  <si>
    <t>GSM</t>
  </si>
  <si>
    <t>Moon Mountain Zinfandel</t>
  </si>
  <si>
    <t>Blanc de Noir 1.5L</t>
  </si>
  <si>
    <t>Large Format</t>
  </si>
  <si>
    <t>La Brisa</t>
  </si>
  <si>
    <t>Craigs</t>
  </si>
  <si>
    <t>Almaviva Red Blend</t>
  </si>
  <si>
    <t>Gewurztraminer</t>
  </si>
  <si>
    <t>Sparkling Wine</t>
  </si>
  <si>
    <t>Baser Vineyard Viognier</t>
  </si>
  <si>
    <t>Regan Vineyards, Dijon Clone Pinot Noir</t>
  </si>
  <si>
    <t>Miljenkos Selection Petit Verdot</t>
  </si>
  <si>
    <t>Petite Verdot</t>
  </si>
  <si>
    <t>Napa Valley Merlot</t>
  </si>
  <si>
    <t>Rutherford Bench Reserve Cab Sauv</t>
  </si>
  <si>
    <t>Club Red</t>
  </si>
  <si>
    <t>Poster Series Club Red</t>
  </si>
  <si>
    <t>Vintage, Winery, Name, Varietal</t>
  </si>
  <si>
    <t>Per Person (6 ppl)</t>
  </si>
  <si>
    <t>2014, Hall Wines, Ellie's, Cab Sauv</t>
  </si>
  <si>
    <t>2015, Silverado, Mt. George Cab Franc, Cab Franc</t>
  </si>
  <si>
    <t>2015, Silverado, Mt. George Malbec, Malbec</t>
  </si>
  <si>
    <t>2016, Silverado, Soda Creek Zinfandel, Zinfandel</t>
  </si>
  <si>
    <t xml:space="preserve">2014, Domaine Carneros, Rosé, Sparkling </t>
  </si>
  <si>
    <t>2012, Domaine Carneros, Estate Cuvee Late Disgorged, Sparkling</t>
  </si>
  <si>
    <t>2016, Walt Wines, Blue Jay, Pinot Noir</t>
  </si>
  <si>
    <t xml:space="preserve">2005, Chateau Dufort Vivens , -, Bordeaux Blend </t>
  </si>
  <si>
    <t>2013, Trinite Estate, Amaino, Red Blend</t>
  </si>
  <si>
    <t xml:space="preserve">2008, Chateau Ferriere, -, Bordeaux Blend </t>
  </si>
  <si>
    <t>2015, Hall Wines, 1873, Cab Sauv</t>
  </si>
  <si>
    <t>2016, Domaine Carneros, Dijon 777 Clone, Pinot Noir</t>
  </si>
  <si>
    <t>2015, Dowsett Family Wines, Becklin Vineyards Pinor Noir, Pinot Noir</t>
  </si>
  <si>
    <t>2018, Dowsett Family Wines, Georgia Rose, Rosé</t>
  </si>
  <si>
    <t xml:space="preserve">2016, Dowsett Family Wines, Two Magpies, Red Blend </t>
  </si>
  <si>
    <t>2018, Sequoia Grove, Rosé, Rosé</t>
  </si>
  <si>
    <t>2016, Sequoia Grove, Winemakers Series Syrah, Syrah</t>
  </si>
  <si>
    <t>2015, AXR, V. Madrone Vineyard Petite Syrah, Petite Syrah</t>
  </si>
  <si>
    <t>2013, Sterling Vineyards, Rutherford Cab, Cab Sauv</t>
  </si>
  <si>
    <t>2013, Mondavi, Momentum, Red Blend</t>
  </si>
  <si>
    <t>2016, Hall Wines, Darwin, Syrah</t>
  </si>
  <si>
    <t>2016, Sequoia Grove, Winemaker Series Merlot, Merlot</t>
  </si>
  <si>
    <t>2017, Chateau Potelle, Moon Mountain Zinfandel, Zinfandel</t>
  </si>
  <si>
    <t>2017, Soquel Vineyards, Estate Grown Pinot Noir, Pinot Noir</t>
  </si>
  <si>
    <t>2016, Sequoia Grove, Napa Valley Merlot, Merlot</t>
  </si>
  <si>
    <t>2016, Sequoia Grove, Rutherford Bench Reserve Cab Sauv, Cab Sauv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</si>
</sst>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7">
    <font>
      <sz val="10.0"/>
      <color rgb="FF000000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sz val="12.0"/>
      <color theme="1"/>
      <name val="Calibri"/>
      <scheme val="minor"/>
    </font>
    <font>
      <color rgb="FF000000"/>
      <name val="Arial"/>
    </font>
    <font>
      <color theme="1"/>
      <name val="Calibri"/>
      <scheme val="minor"/>
    </font>
    <font>
      <sz val="10.0"/>
      <color rgb="FF000000"/>
      <name val="Arial"/>
    </font>
    <font>
      <b/>
      <sz val="12.0"/>
      <color theme="1"/>
      <name val="Calibri"/>
      <scheme val="minor"/>
    </font>
    <font>
      <u/>
      <color rgb="FF0000FF"/>
    </font>
    <font>
      <u/>
      <sz val="9.0"/>
      <color rgb="FF204342"/>
      <name val="Arial"/>
    </font>
    <font>
      <color theme="1"/>
      <name val="Arial"/>
    </font>
    <font>
      <b/>
      <color theme="1"/>
      <name val="Calibri"/>
      <scheme val="minor"/>
    </font>
    <font>
      <b/>
      <color theme="1"/>
      <name val="Arial"/>
    </font>
    <font>
      <strike/>
      <color theme="1"/>
      <name val="Arial"/>
    </font>
    <font>
      <strike/>
      <color theme="1"/>
      <name val="Calibri"/>
      <scheme val="minor"/>
    </font>
    <font>
      <color rgb="FF000000"/>
      <name val="Roboto"/>
    </font>
    <font>
      <b/>
      <sz val="10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horizontal="left" vertical="center"/>
    </xf>
    <xf borderId="1" fillId="0" fontId="1" numFmtId="49" xfId="0" applyAlignment="1" applyBorder="1" applyFont="1" applyNumberFormat="1">
      <alignment horizontal="left" vertical="center"/>
    </xf>
    <xf borderId="1" fillId="0" fontId="1" numFmtId="49" xfId="0" applyAlignment="1" applyBorder="1" applyFont="1" applyNumberFormat="1">
      <alignment horizontal="left" readingOrder="0" vertic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horizontal="right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/>
    </xf>
    <xf borderId="1" fillId="0" fontId="3" numFmtId="0" xfId="0" applyAlignment="1" applyBorder="1" applyFont="1">
      <alignment shrinkToFit="0" wrapText="0"/>
    </xf>
    <xf borderId="1" fillId="2" fontId="2" numFmtId="164" xfId="0" applyAlignment="1" applyBorder="1" applyFont="1" applyNumberFormat="1">
      <alignment readingOrder="0"/>
    </xf>
    <xf borderId="0" fillId="2" fontId="2" numFmtId="0" xfId="0" applyAlignment="1" applyFont="1">
      <alignment readingOrder="0"/>
    </xf>
    <xf borderId="1" fillId="2" fontId="2" numFmtId="0" xfId="0" applyAlignment="1" applyBorder="1" applyFont="1">
      <alignment shrinkToFit="0" wrapText="0"/>
    </xf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0" fontId="2" numFmtId="0" xfId="0" applyAlignment="1" applyBorder="1" applyFont="1">
      <alignment shrinkToFit="0" wrapText="0"/>
    </xf>
    <xf borderId="1" fillId="2" fontId="4" numFmtId="0" xfId="0" applyAlignment="1" applyBorder="1" applyFont="1">
      <alignment horizontal="left" readingOrder="0"/>
    </xf>
    <xf borderId="1" fillId="2" fontId="2" numFmtId="164" xfId="0" applyBorder="1" applyFont="1" applyNumberFormat="1"/>
    <xf borderId="0" fillId="2" fontId="4" numFmtId="0" xfId="0" applyAlignment="1" applyFont="1">
      <alignment horizontal="left" readingOrder="0"/>
    </xf>
    <xf borderId="0" fillId="3" fontId="2" numFmtId="0" xfId="0" applyAlignment="1" applyFill="1" applyFont="1">
      <alignment readingOrder="0"/>
    </xf>
    <xf borderId="1" fillId="3" fontId="2" numFmtId="0" xfId="0" applyBorder="1" applyFont="1"/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left"/>
    </xf>
    <xf borderId="1" fillId="3" fontId="2" numFmtId="0" xfId="0" applyAlignment="1" applyBorder="1" applyFont="1">
      <alignment shrinkToFit="0" wrapText="0"/>
    </xf>
    <xf borderId="1" fillId="3" fontId="3" numFmtId="0" xfId="0" applyAlignment="1" applyBorder="1" applyFont="1">
      <alignment shrinkToFit="0" wrapText="0"/>
    </xf>
    <xf borderId="1" fillId="3" fontId="3" numFmtId="0" xfId="0" applyBorder="1" applyFont="1"/>
    <xf borderId="1" fillId="3" fontId="3" numFmtId="0" xfId="0" applyAlignment="1" applyBorder="1" applyFont="1">
      <alignment readingOrder="0"/>
    </xf>
    <xf borderId="1" fillId="2" fontId="3" numFmtId="0" xfId="0" applyAlignment="1" applyBorder="1" applyFont="1">
      <alignment shrinkToFit="0" wrapText="0"/>
    </xf>
    <xf borderId="1" fillId="0" fontId="5" numFmtId="0" xfId="0" applyBorder="1" applyFont="1"/>
    <xf borderId="0" fillId="2" fontId="2" numFmtId="0" xfId="0" applyFont="1"/>
    <xf borderId="1" fillId="2" fontId="2" numFmtId="0" xfId="0" applyAlignment="1" applyBorder="1" applyFont="1">
      <alignment horizontal="right"/>
    </xf>
    <xf borderId="1" fillId="0" fontId="3" numFmtId="0" xfId="0" applyAlignment="1" applyBorder="1" applyFont="1">
      <alignment readingOrder="0" shrinkToFit="0" wrapText="0"/>
    </xf>
    <xf borderId="1" fillId="0" fontId="2" numFmtId="164" xfId="0" applyAlignment="1" applyBorder="1" applyFont="1" applyNumberForma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shrinkToFit="0" wrapText="0"/>
    </xf>
    <xf borderId="1" fillId="3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5" numFmtId="0" xfId="0" applyAlignment="1" applyBorder="1" applyFont="1">
      <alignment readingOrder="0"/>
    </xf>
    <xf borderId="0" fillId="3" fontId="2" numFmtId="0" xfId="0" applyFont="1"/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left" readingOrder="0"/>
    </xf>
    <xf borderId="0" fillId="4" fontId="2" numFmtId="0" xfId="0" applyAlignment="1" applyFill="1" applyFont="1">
      <alignment readingOrder="0"/>
    </xf>
    <xf borderId="1" fillId="4" fontId="2" numFmtId="0" xfId="0" applyBorder="1" applyFont="1"/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left"/>
    </xf>
    <xf borderId="0" fillId="4" fontId="2" numFmtId="0" xfId="0" applyFont="1"/>
    <xf borderId="1" fillId="4" fontId="2" numFmtId="0" xfId="0" applyAlignment="1" applyBorder="1" applyFont="1">
      <alignment shrinkToFit="0" wrapText="0"/>
    </xf>
    <xf borderId="1" fillId="4" fontId="3" numFmtId="0" xfId="0" applyBorder="1" applyFont="1"/>
    <xf borderId="1" fillId="4" fontId="3" numFmtId="0" xfId="0" applyAlignment="1" applyBorder="1" applyFont="1">
      <alignment readingOrder="0"/>
    </xf>
    <xf borderId="0" fillId="0" fontId="2" numFmtId="0" xfId="0" applyFont="1"/>
    <xf borderId="1" fillId="3" fontId="6" numFmtId="0" xfId="0" applyAlignment="1" applyBorder="1" applyFont="1">
      <alignment shrinkToFit="0" wrapText="0"/>
    </xf>
    <xf borderId="2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Font="1"/>
    <xf borderId="0" fillId="0" fontId="8" numFmtId="0" xfId="0" applyFont="1"/>
    <xf borderId="0" fillId="5" fontId="9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2" fontId="5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left" readingOrder="0"/>
    </xf>
    <xf borderId="0" fillId="2" fontId="5" numFmtId="0" xfId="0" applyFont="1"/>
    <xf borderId="0" fillId="2" fontId="5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2" fontId="5" numFmtId="0" xfId="0" applyAlignment="1" applyFont="1">
      <alignment readingOrder="0" shrinkToFit="0" wrapText="0"/>
    </xf>
    <xf borderId="0" fillId="2" fontId="10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2" fontId="10" numFmtId="0" xfId="0" applyAlignment="1" applyFont="1">
      <alignment horizontal="right" readingOrder="0" vertical="bottom"/>
    </xf>
    <xf borderId="0" fillId="2" fontId="10" numFmtId="0" xfId="0" applyAlignment="1" applyFont="1">
      <alignment horizontal="center" readingOrder="0" vertical="bottom"/>
    </xf>
    <xf borderId="0" fillId="2" fontId="10" numFmtId="0" xfId="0" applyAlignment="1" applyFont="1">
      <alignment vertical="bottom"/>
    </xf>
    <xf borderId="0" fillId="2" fontId="10" numFmtId="0" xfId="0" applyAlignment="1" applyFont="1">
      <alignment readingOrder="0" vertical="bottom"/>
    </xf>
    <xf borderId="0" fillId="2" fontId="11" numFmtId="0" xfId="0" applyAlignment="1" applyFont="1">
      <alignment horizontal="center" readingOrder="0" vertical="center"/>
    </xf>
    <xf borderId="0" fillId="0" fontId="10" numFmtId="0" xfId="0" applyAlignment="1" applyFont="1">
      <alignment vertical="bottom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11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/>
    </xf>
    <xf borderId="0" fillId="0" fontId="5" numFmtId="164" xfId="0" applyAlignment="1" applyFont="1" applyNumberFormat="1">
      <alignment readingOrder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readingOrder="0"/>
    </xf>
    <xf borderId="0" fillId="3" fontId="5" numFmtId="0" xfId="0" applyAlignment="1" applyFont="1">
      <alignment horizontal="left" readingOrder="0"/>
    </xf>
    <xf borderId="0" fillId="3" fontId="5" numFmtId="164" xfId="0" applyAlignment="1" applyFont="1" applyNumberFormat="1">
      <alignment readingOrder="0"/>
    </xf>
    <xf borderId="0" fillId="3" fontId="5" numFmtId="0" xfId="0" applyFont="1"/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left" readingOrder="0"/>
    </xf>
    <xf borderId="0" fillId="0" fontId="14" numFmtId="164" xfId="0" applyAlignment="1" applyFont="1" applyNumberFormat="1">
      <alignment readingOrder="0"/>
    </xf>
    <xf borderId="0" fillId="6" fontId="5" numFmtId="0" xfId="0" applyAlignment="1" applyFill="1" applyFont="1">
      <alignment readingOrder="0"/>
    </xf>
    <xf borderId="0" fillId="2" fontId="15" numFmtId="0" xfId="0" applyAlignment="1" applyFont="1">
      <alignment readingOrder="0"/>
    </xf>
    <xf borderId="0" fillId="7" fontId="5" numFmtId="0" xfId="0" applyAlignment="1" applyFill="1" applyFont="1">
      <alignment horizontal="center" readingOrder="0"/>
    </xf>
    <xf borderId="0" fillId="7" fontId="5" numFmtId="0" xfId="0" applyAlignment="1" applyFont="1">
      <alignment readingOrder="0"/>
    </xf>
    <xf borderId="0" fillId="7" fontId="5" numFmtId="0" xfId="0" applyAlignment="1" applyFont="1">
      <alignment horizontal="left" readingOrder="0"/>
    </xf>
    <xf borderId="0" fillId="7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2" fontId="16" numFmtId="0" xfId="0" applyAlignment="1" applyFont="1">
      <alignment horizontal="center" readingOrder="0" vertical="center"/>
    </xf>
    <xf borderId="0" fillId="2" fontId="16" numFmtId="164" xfId="0" applyAlignment="1" applyFont="1" applyNumberFormat="1">
      <alignment horizontal="left" readingOrder="0" vertical="center"/>
    </xf>
    <xf borderId="0" fillId="2" fontId="16" numFmtId="164" xfId="0" applyAlignment="1" applyFont="1" applyNumberFormat="1">
      <alignment horizontal="left" readingOrder="0" shrinkToFit="0" vertical="center" wrapText="1"/>
    </xf>
    <xf borderId="0" fillId="2" fontId="5" numFmtId="0" xfId="0" applyAlignment="1" applyFont="1">
      <alignment horizontal="left"/>
    </xf>
    <xf borderId="0" fillId="2" fontId="5" numFmtId="164" xfId="0" applyAlignment="1" applyFont="1" applyNumberFormat="1">
      <alignment horizontal="left" readingOrder="0"/>
    </xf>
    <xf borderId="0" fillId="2" fontId="5" numFmtId="164" xfId="0" applyAlignment="1" applyFont="1" applyNumberFormat="1">
      <alignment horizontal="left" readingOrder="0" shrinkToFit="0" wrapText="1"/>
    </xf>
    <xf borderId="0" fillId="2" fontId="5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wlerwine.com/producer/condello-chiara" TargetMode="External"/><Relationship Id="rId2" Type="http://schemas.openxmlformats.org/officeDocument/2006/relationships/hyperlink" Target="https://www.klwines.com/p/i?i=1657426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8.14"/>
    <col customWidth="1" min="2" max="2" width="13.29"/>
    <col customWidth="1" min="3" max="3" width="8.29"/>
    <col customWidth="1" min="4" max="4" width="11.43"/>
    <col customWidth="1" min="5" max="5" width="21.71"/>
    <col customWidth="1" min="6" max="6" width="30.57"/>
    <col customWidth="1" min="7" max="7" width="13.43"/>
    <col customWidth="1" min="8" max="8" width="12.0"/>
    <col customWidth="1" min="9" max="9" width="10.14"/>
    <col customWidth="1" min="10" max="10" width="13.86"/>
    <col customWidth="1" min="11" max="11" width="15.71"/>
    <col customWidth="1" min="12" max="12" width="12.57"/>
    <col customWidth="1" min="13" max="13" width="14.86"/>
    <col customWidth="1" min="14" max="16" width="13.86"/>
    <col customWidth="1" min="17" max="17" width="8.43"/>
    <col customWidth="1" min="18" max="18" width="9.57"/>
    <col customWidth="1" min="19" max="19" width="10.0"/>
    <col customWidth="1" min="20" max="20" width="12.0"/>
    <col customWidth="1" min="21" max="23" width="13.8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hidden="1">
      <c r="A2" s="7" t="s">
        <v>23</v>
      </c>
      <c r="B2" s="8" t="s">
        <v>24</v>
      </c>
      <c r="C2" s="9">
        <v>1.0</v>
      </c>
      <c r="D2" s="10">
        <v>1995.0</v>
      </c>
      <c r="E2" s="11" t="s">
        <v>25</v>
      </c>
      <c r="F2" s="11" t="s">
        <v>26</v>
      </c>
      <c r="G2" s="8" t="s">
        <v>27</v>
      </c>
      <c r="H2" s="8" t="s">
        <v>28</v>
      </c>
      <c r="I2" s="8" t="s">
        <v>29</v>
      </c>
      <c r="J2" s="12" t="s">
        <v>30</v>
      </c>
      <c r="K2" s="13" t="s">
        <v>31</v>
      </c>
      <c r="L2" s="8" t="s">
        <v>32</v>
      </c>
      <c r="M2" s="8" t="s">
        <v>33</v>
      </c>
      <c r="N2" s="9">
        <v>125.0</v>
      </c>
      <c r="O2" s="11">
        <v>750.0</v>
      </c>
      <c r="P2" s="14" t="s">
        <v>34</v>
      </c>
      <c r="Q2" s="15" t="s">
        <v>35</v>
      </c>
      <c r="R2" s="12"/>
      <c r="S2" s="16" t="b">
        <v>1</v>
      </c>
      <c r="T2" s="16" t="b">
        <v>1</v>
      </c>
      <c r="U2" s="17" t="b">
        <v>0</v>
      </c>
      <c r="V2" s="17" t="b">
        <v>0</v>
      </c>
      <c r="W2" s="17" t="b">
        <v>0</v>
      </c>
    </row>
    <row r="3" hidden="1">
      <c r="A3" s="7" t="s">
        <v>36</v>
      </c>
      <c r="B3" s="8" t="s">
        <v>37</v>
      </c>
      <c r="C3" s="11">
        <v>1.0</v>
      </c>
      <c r="D3" s="10">
        <v>2018.0</v>
      </c>
      <c r="E3" s="11" t="s">
        <v>38</v>
      </c>
      <c r="F3" s="18" t="s">
        <v>39</v>
      </c>
      <c r="G3" s="8" t="s">
        <v>40</v>
      </c>
      <c r="H3" s="8" t="s">
        <v>41</v>
      </c>
      <c r="I3" s="8"/>
      <c r="J3" s="8" t="s">
        <v>42</v>
      </c>
      <c r="K3" s="8"/>
      <c r="L3" s="17"/>
      <c r="M3" s="18"/>
      <c r="N3" s="11">
        <v>40.0</v>
      </c>
      <c r="O3" s="11">
        <v>750.0</v>
      </c>
      <c r="P3" s="14" t="s">
        <v>34</v>
      </c>
      <c r="Q3" s="11" t="s">
        <v>43</v>
      </c>
      <c r="R3" s="12"/>
      <c r="S3" s="16" t="b">
        <v>1</v>
      </c>
      <c r="T3" s="17" t="b">
        <v>0</v>
      </c>
      <c r="U3" s="17" t="b">
        <v>0</v>
      </c>
      <c r="V3" s="17" t="b">
        <v>0</v>
      </c>
      <c r="W3" s="17" t="b">
        <v>0</v>
      </c>
    </row>
    <row r="4" hidden="1">
      <c r="A4" s="7" t="s">
        <v>23</v>
      </c>
      <c r="B4" s="12" t="s">
        <v>44</v>
      </c>
      <c r="C4" s="15">
        <v>1.0</v>
      </c>
      <c r="D4" s="14">
        <v>2008.0</v>
      </c>
      <c r="E4" s="15" t="s">
        <v>45</v>
      </c>
      <c r="F4" s="19" t="s">
        <v>46</v>
      </c>
      <c r="G4" s="12" t="s">
        <v>40</v>
      </c>
      <c r="H4" s="12" t="s">
        <v>28</v>
      </c>
      <c r="I4" s="12" t="s">
        <v>29</v>
      </c>
      <c r="J4" s="12" t="s">
        <v>30</v>
      </c>
      <c r="K4" s="20"/>
      <c r="L4" s="17"/>
      <c r="M4" s="17"/>
      <c r="N4" s="15">
        <v>65.0</v>
      </c>
      <c r="O4" s="15">
        <v>750.0</v>
      </c>
      <c r="P4" s="14" t="s">
        <v>47</v>
      </c>
      <c r="Q4" s="15" t="s">
        <v>48</v>
      </c>
      <c r="R4" s="17"/>
      <c r="S4" s="16" t="b">
        <v>1</v>
      </c>
      <c r="T4" s="16" t="b">
        <v>1</v>
      </c>
      <c r="U4" s="17" t="b">
        <v>0</v>
      </c>
      <c r="V4" s="17" t="b">
        <v>0</v>
      </c>
      <c r="W4" s="17" t="b">
        <v>0</v>
      </c>
    </row>
    <row r="5">
      <c r="A5" s="7" t="s">
        <v>23</v>
      </c>
      <c r="B5" s="12" t="s">
        <v>24</v>
      </c>
      <c r="C5" s="11">
        <v>1.0</v>
      </c>
      <c r="D5" s="10">
        <v>1995.0</v>
      </c>
      <c r="E5" s="11" t="s">
        <v>49</v>
      </c>
      <c r="F5" s="18" t="s">
        <v>50</v>
      </c>
      <c r="G5" s="12" t="s">
        <v>40</v>
      </c>
      <c r="H5" s="12" t="s">
        <v>51</v>
      </c>
      <c r="I5" s="8"/>
      <c r="J5" s="12"/>
      <c r="K5" s="20"/>
      <c r="L5" s="18" t="s">
        <v>52</v>
      </c>
      <c r="M5" s="17"/>
      <c r="N5" s="21">
        <v>100.0</v>
      </c>
      <c r="O5" s="11">
        <v>750.0</v>
      </c>
      <c r="P5" s="10" t="s">
        <v>53</v>
      </c>
      <c r="Q5" s="11" t="s">
        <v>54</v>
      </c>
      <c r="R5" s="8" t="s">
        <v>55</v>
      </c>
      <c r="S5" s="16" t="b">
        <v>0</v>
      </c>
      <c r="T5" s="16" t="b">
        <v>0</v>
      </c>
      <c r="U5" s="16" t="b">
        <v>0</v>
      </c>
      <c r="V5" s="16" t="b">
        <v>0</v>
      </c>
      <c r="W5" s="16" t="b">
        <v>0</v>
      </c>
    </row>
    <row r="6" hidden="1">
      <c r="A6" s="22" t="s">
        <v>23</v>
      </c>
      <c r="B6" s="15" t="s">
        <v>24</v>
      </c>
      <c r="C6" s="15">
        <v>1.0</v>
      </c>
      <c r="D6" s="14">
        <v>2013.0</v>
      </c>
      <c r="E6" s="15" t="s">
        <v>56</v>
      </c>
      <c r="F6" s="19" t="s">
        <v>57</v>
      </c>
      <c r="G6" s="15" t="s">
        <v>40</v>
      </c>
      <c r="H6" s="15" t="s">
        <v>28</v>
      </c>
      <c r="I6" s="15" t="s">
        <v>58</v>
      </c>
      <c r="J6" s="15"/>
      <c r="K6" s="23" t="s">
        <v>59</v>
      </c>
      <c r="L6" s="15" t="s">
        <v>60</v>
      </c>
      <c r="M6" s="15" t="s">
        <v>61</v>
      </c>
      <c r="N6" s="15">
        <v>34.0</v>
      </c>
      <c r="O6" s="15">
        <v>750.0</v>
      </c>
      <c r="P6" s="10" t="s">
        <v>47</v>
      </c>
      <c r="Q6" s="15" t="s">
        <v>62</v>
      </c>
      <c r="R6" s="15"/>
      <c r="S6" s="24" t="b">
        <v>1</v>
      </c>
      <c r="T6" s="24" t="b">
        <v>1</v>
      </c>
      <c r="U6" s="25" t="b">
        <v>0</v>
      </c>
      <c r="V6" s="25" t="b">
        <v>0</v>
      </c>
      <c r="W6" s="25" t="b">
        <v>0</v>
      </c>
    </row>
    <row r="7">
      <c r="A7" s="7" t="s">
        <v>23</v>
      </c>
      <c r="B7" s="12" t="s">
        <v>24</v>
      </c>
      <c r="C7" s="11">
        <v>1.0</v>
      </c>
      <c r="D7" s="10">
        <v>1997.0</v>
      </c>
      <c r="E7" s="11" t="s">
        <v>63</v>
      </c>
      <c r="F7" s="18" t="s">
        <v>50</v>
      </c>
      <c r="G7" s="12" t="s">
        <v>40</v>
      </c>
      <c r="H7" s="12" t="s">
        <v>51</v>
      </c>
      <c r="I7" s="12"/>
      <c r="J7" s="12"/>
      <c r="K7" s="20"/>
      <c r="L7" s="18" t="s">
        <v>52</v>
      </c>
      <c r="M7" s="17"/>
      <c r="N7" s="21">
        <v>100.0</v>
      </c>
      <c r="O7" s="11">
        <v>750.0</v>
      </c>
      <c r="P7" s="10" t="s">
        <v>53</v>
      </c>
      <c r="Q7" s="22" t="s">
        <v>54</v>
      </c>
      <c r="R7" s="8" t="s">
        <v>55</v>
      </c>
      <c r="S7" s="16" t="b">
        <v>0</v>
      </c>
      <c r="T7" s="16" t="b">
        <v>0</v>
      </c>
      <c r="U7" s="16" t="b">
        <v>0</v>
      </c>
      <c r="V7" s="16" t="b">
        <v>0</v>
      </c>
      <c r="W7" s="16" t="b">
        <v>0</v>
      </c>
    </row>
    <row r="8" hidden="1">
      <c r="A8" s="22" t="s">
        <v>23</v>
      </c>
      <c r="B8" s="15" t="s">
        <v>24</v>
      </c>
      <c r="C8" s="15">
        <v>1.0</v>
      </c>
      <c r="D8" s="14">
        <v>2016.0</v>
      </c>
      <c r="E8" s="15" t="s">
        <v>64</v>
      </c>
      <c r="F8" s="18" t="s">
        <v>26</v>
      </c>
      <c r="G8" s="15" t="s">
        <v>27</v>
      </c>
      <c r="H8" s="15" t="s">
        <v>28</v>
      </c>
      <c r="I8" s="15" t="s">
        <v>29</v>
      </c>
      <c r="J8" s="15" t="s">
        <v>30</v>
      </c>
      <c r="K8" s="23" t="s">
        <v>65</v>
      </c>
      <c r="L8" s="15"/>
      <c r="M8" s="15"/>
      <c r="N8" s="15">
        <v>60.0</v>
      </c>
      <c r="O8" s="15">
        <v>750.0</v>
      </c>
      <c r="P8" s="14" t="s">
        <v>34</v>
      </c>
      <c r="Q8" s="15" t="s">
        <v>66</v>
      </c>
      <c r="R8" s="15"/>
      <c r="S8" s="24" t="b">
        <v>1</v>
      </c>
      <c r="T8" s="24" t="b">
        <v>1</v>
      </c>
      <c r="U8" s="25" t="b">
        <v>0</v>
      </c>
      <c r="V8" s="25" t="b">
        <v>0</v>
      </c>
      <c r="W8" s="25" t="b">
        <v>0</v>
      </c>
    </row>
    <row r="9">
      <c r="A9" s="7" t="s">
        <v>23</v>
      </c>
      <c r="B9" s="8" t="s">
        <v>24</v>
      </c>
      <c r="C9" s="11">
        <v>1.0</v>
      </c>
      <c r="D9" s="10">
        <v>2002.0</v>
      </c>
      <c r="E9" s="11" t="s">
        <v>67</v>
      </c>
      <c r="F9" s="18" t="s">
        <v>68</v>
      </c>
      <c r="G9" s="8" t="s">
        <v>40</v>
      </c>
      <c r="H9" s="8" t="s">
        <v>69</v>
      </c>
      <c r="I9" s="12"/>
      <c r="J9" s="8" t="s">
        <v>70</v>
      </c>
      <c r="K9" s="8"/>
      <c r="L9" s="20"/>
      <c r="M9" s="17"/>
      <c r="N9" s="21">
        <v>500.0</v>
      </c>
      <c r="O9" s="11">
        <v>750.0</v>
      </c>
      <c r="P9" s="10" t="s">
        <v>34</v>
      </c>
      <c r="Q9" s="11" t="s">
        <v>71</v>
      </c>
      <c r="R9" s="12"/>
      <c r="S9" s="17" t="b">
        <v>0</v>
      </c>
      <c r="T9" s="17" t="b">
        <v>0</v>
      </c>
      <c r="U9" s="17" t="b">
        <v>0</v>
      </c>
      <c r="V9" s="17" t="b">
        <v>0</v>
      </c>
      <c r="W9" s="17" t="b">
        <v>0</v>
      </c>
    </row>
    <row r="10" ht="15.75" hidden="1" customHeight="1">
      <c r="A10" s="7" t="s">
        <v>23</v>
      </c>
      <c r="B10" s="12" t="s">
        <v>24</v>
      </c>
      <c r="C10" s="11">
        <v>1.0</v>
      </c>
      <c r="D10" s="14">
        <v>2005.0</v>
      </c>
      <c r="E10" s="15" t="s">
        <v>72</v>
      </c>
      <c r="F10" s="19" t="s">
        <v>73</v>
      </c>
      <c r="G10" s="12" t="s">
        <v>74</v>
      </c>
      <c r="H10" s="12" t="s">
        <v>41</v>
      </c>
      <c r="I10" s="12" t="s">
        <v>75</v>
      </c>
      <c r="J10" s="12" t="s">
        <v>76</v>
      </c>
      <c r="K10" s="26" t="s">
        <v>77</v>
      </c>
      <c r="L10" s="20"/>
      <c r="M10" s="17"/>
      <c r="N10" s="15">
        <v>55.0</v>
      </c>
      <c r="O10" s="15">
        <v>750.0</v>
      </c>
      <c r="P10" s="14" t="s">
        <v>34</v>
      </c>
      <c r="Q10" s="27" t="s">
        <v>78</v>
      </c>
      <c r="R10" s="12"/>
      <c r="S10" s="16" t="b">
        <v>1</v>
      </c>
      <c r="T10" s="16" t="b">
        <v>1</v>
      </c>
      <c r="U10" s="17" t="b">
        <v>0</v>
      </c>
      <c r="V10" s="17" t="b">
        <v>0</v>
      </c>
      <c r="W10" s="16" t="b">
        <v>1</v>
      </c>
    </row>
    <row r="11">
      <c r="A11" s="7" t="s">
        <v>23</v>
      </c>
      <c r="B11" s="12" t="s">
        <v>24</v>
      </c>
      <c r="C11" s="11">
        <v>8.0</v>
      </c>
      <c r="D11" s="14">
        <v>2010.0</v>
      </c>
      <c r="E11" s="15" t="s">
        <v>72</v>
      </c>
      <c r="F11" s="19" t="s">
        <v>73</v>
      </c>
      <c r="G11" s="12" t="s">
        <v>74</v>
      </c>
      <c r="H11" s="12" t="s">
        <v>41</v>
      </c>
      <c r="I11" s="12" t="s">
        <v>75</v>
      </c>
      <c r="J11" s="12" t="s">
        <v>76</v>
      </c>
      <c r="K11" s="26" t="s">
        <v>77</v>
      </c>
      <c r="L11" s="20"/>
      <c r="M11" s="17"/>
      <c r="N11" s="28">
        <v>55.0</v>
      </c>
      <c r="O11" s="15">
        <v>750.0</v>
      </c>
      <c r="P11" s="14" t="s">
        <v>34</v>
      </c>
      <c r="Q11" s="15" t="s">
        <v>79</v>
      </c>
      <c r="R11" s="12"/>
      <c r="S11" s="16" t="b">
        <v>0</v>
      </c>
      <c r="T11" s="16" t="b">
        <v>0</v>
      </c>
      <c r="U11" s="17" t="b">
        <v>0</v>
      </c>
      <c r="V11" s="17" t="b">
        <v>0</v>
      </c>
      <c r="W11" s="16" t="b">
        <v>1</v>
      </c>
    </row>
    <row r="12">
      <c r="A12" s="7" t="s">
        <v>23</v>
      </c>
      <c r="B12" s="8" t="s">
        <v>24</v>
      </c>
      <c r="C12" s="11">
        <v>1.0</v>
      </c>
      <c r="D12" s="10">
        <v>2012.0</v>
      </c>
      <c r="E12" s="11" t="s">
        <v>80</v>
      </c>
      <c r="F12" s="18" t="s">
        <v>81</v>
      </c>
      <c r="G12" s="8" t="s">
        <v>40</v>
      </c>
      <c r="H12" s="8" t="s">
        <v>82</v>
      </c>
      <c r="I12" s="12"/>
      <c r="J12" s="8" t="s">
        <v>83</v>
      </c>
      <c r="K12" s="8"/>
      <c r="L12" s="20"/>
      <c r="M12" s="17"/>
      <c r="N12" s="21">
        <v>110.0</v>
      </c>
      <c r="O12" s="11">
        <v>750.0</v>
      </c>
      <c r="P12" s="14" t="s">
        <v>34</v>
      </c>
      <c r="Q12" s="11" t="s">
        <v>43</v>
      </c>
      <c r="R12" s="12"/>
      <c r="S12" s="17" t="b">
        <v>0</v>
      </c>
      <c r="T12" s="17" t="b">
        <v>0</v>
      </c>
      <c r="U12" s="17" t="b">
        <v>0</v>
      </c>
      <c r="V12" s="17" t="b">
        <v>0</v>
      </c>
      <c r="W12" s="17" t="b">
        <v>0</v>
      </c>
    </row>
    <row r="13">
      <c r="A13" s="7" t="s">
        <v>23</v>
      </c>
      <c r="B13" s="12" t="s">
        <v>24</v>
      </c>
      <c r="C13" s="15">
        <v>1.0</v>
      </c>
      <c r="D13" s="14">
        <v>2013.0</v>
      </c>
      <c r="E13" s="15" t="s">
        <v>84</v>
      </c>
      <c r="F13" s="19" t="s">
        <v>85</v>
      </c>
      <c r="G13" s="12" t="s">
        <v>27</v>
      </c>
      <c r="H13" s="12" t="s">
        <v>28</v>
      </c>
      <c r="I13" s="12" t="s">
        <v>29</v>
      </c>
      <c r="J13" s="12" t="s">
        <v>30</v>
      </c>
      <c r="K13" s="23" t="s">
        <v>31</v>
      </c>
      <c r="L13" s="20"/>
      <c r="M13" s="17"/>
      <c r="N13" s="28">
        <v>180.0</v>
      </c>
      <c r="O13" s="15">
        <v>750.0</v>
      </c>
      <c r="P13" s="14" t="s">
        <v>34</v>
      </c>
      <c r="Q13" s="22" t="s">
        <v>86</v>
      </c>
      <c r="R13" s="12"/>
      <c r="S13" s="17" t="b">
        <v>0</v>
      </c>
      <c r="T13" s="17" t="b">
        <v>0</v>
      </c>
      <c r="U13" s="17" t="b">
        <v>0</v>
      </c>
      <c r="V13" s="17" t="b">
        <v>0</v>
      </c>
      <c r="W13" s="17" t="b">
        <v>0</v>
      </c>
    </row>
    <row r="14">
      <c r="A14" s="7" t="s">
        <v>23</v>
      </c>
      <c r="B14" s="12" t="s">
        <v>24</v>
      </c>
      <c r="C14" s="15">
        <v>1.0</v>
      </c>
      <c r="D14" s="10">
        <v>2013.0</v>
      </c>
      <c r="E14" s="11" t="s">
        <v>87</v>
      </c>
      <c r="F14" s="19" t="s">
        <v>88</v>
      </c>
      <c r="G14" s="12" t="s">
        <v>89</v>
      </c>
      <c r="H14" s="12" t="s">
        <v>82</v>
      </c>
      <c r="I14" s="12" t="s">
        <v>75</v>
      </c>
      <c r="J14" s="12" t="s">
        <v>90</v>
      </c>
      <c r="K14" s="26" t="s">
        <v>91</v>
      </c>
      <c r="L14" s="26" t="s">
        <v>92</v>
      </c>
      <c r="M14" s="12" t="s">
        <v>93</v>
      </c>
      <c r="N14" s="21">
        <v>140.0</v>
      </c>
      <c r="O14" s="15">
        <v>750.0</v>
      </c>
      <c r="P14" s="10" t="s">
        <v>53</v>
      </c>
      <c r="Q14" s="29" t="s">
        <v>94</v>
      </c>
      <c r="R14" s="12"/>
      <c r="S14" s="17" t="b">
        <v>0</v>
      </c>
      <c r="T14" s="17" t="b">
        <v>0</v>
      </c>
      <c r="U14" s="17" t="b">
        <v>0</v>
      </c>
      <c r="V14" s="17" t="b">
        <v>0</v>
      </c>
      <c r="W14" s="17" t="b">
        <v>0</v>
      </c>
    </row>
    <row r="15" hidden="1">
      <c r="A15" s="30" t="s">
        <v>23</v>
      </c>
      <c r="B15" s="31" t="s">
        <v>24</v>
      </c>
      <c r="C15" s="31">
        <v>2.0</v>
      </c>
      <c r="D15" s="32">
        <v>2013.0</v>
      </c>
      <c r="E15" s="31" t="s">
        <v>95</v>
      </c>
      <c r="F15" s="33" t="s">
        <v>96</v>
      </c>
      <c r="G15" s="31" t="s">
        <v>74</v>
      </c>
      <c r="H15" s="31" t="s">
        <v>28</v>
      </c>
      <c r="I15" s="31" t="s">
        <v>29</v>
      </c>
      <c r="J15" s="31" t="s">
        <v>30</v>
      </c>
      <c r="K15" s="34" t="s">
        <v>97</v>
      </c>
      <c r="L15" s="35"/>
      <c r="M15" s="36"/>
      <c r="N15" s="31">
        <v>75.0</v>
      </c>
      <c r="O15" s="31">
        <v>750.0</v>
      </c>
      <c r="P15" s="32" t="s">
        <v>34</v>
      </c>
      <c r="Q15" s="31" t="s">
        <v>98</v>
      </c>
      <c r="R15" s="31"/>
      <c r="S15" s="37" t="b">
        <v>1</v>
      </c>
      <c r="T15" s="37" t="b">
        <v>0</v>
      </c>
      <c r="U15" s="37" t="b">
        <v>0</v>
      </c>
      <c r="V15" s="37" t="b">
        <v>1</v>
      </c>
      <c r="W15" s="37" t="b">
        <v>1</v>
      </c>
    </row>
    <row r="16">
      <c r="A16" s="7" t="s">
        <v>23</v>
      </c>
      <c r="B16" s="12" t="s">
        <v>24</v>
      </c>
      <c r="C16" s="15">
        <v>1.0</v>
      </c>
      <c r="D16" s="14">
        <v>2013.0</v>
      </c>
      <c r="E16" s="15" t="s">
        <v>99</v>
      </c>
      <c r="F16" s="19" t="s">
        <v>100</v>
      </c>
      <c r="G16" s="12" t="s">
        <v>27</v>
      </c>
      <c r="H16" s="12" t="s">
        <v>28</v>
      </c>
      <c r="I16" s="12" t="s">
        <v>29</v>
      </c>
      <c r="J16" s="12" t="s">
        <v>30</v>
      </c>
      <c r="K16" s="26" t="s">
        <v>31</v>
      </c>
      <c r="L16" s="23" t="s">
        <v>101</v>
      </c>
      <c r="M16" s="15" t="s">
        <v>102</v>
      </c>
      <c r="N16" s="28">
        <v>140.0</v>
      </c>
      <c r="O16" s="15">
        <v>750.0</v>
      </c>
      <c r="P16" s="14" t="s">
        <v>53</v>
      </c>
      <c r="Q16" s="15" t="s">
        <v>86</v>
      </c>
      <c r="R16" s="15"/>
      <c r="S16" s="17" t="b">
        <v>0</v>
      </c>
      <c r="T16" s="17" t="b">
        <v>0</v>
      </c>
      <c r="U16" s="17" t="b">
        <v>0</v>
      </c>
      <c r="V16" s="17" t="b">
        <v>0</v>
      </c>
      <c r="W16" s="16" t="b">
        <v>1</v>
      </c>
    </row>
    <row r="17" hidden="1">
      <c r="A17" s="7" t="s">
        <v>23</v>
      </c>
      <c r="B17" s="12" t="s">
        <v>44</v>
      </c>
      <c r="C17" s="15">
        <v>1.0</v>
      </c>
      <c r="D17" s="14">
        <v>2013.0</v>
      </c>
      <c r="E17" s="15" t="s">
        <v>103</v>
      </c>
      <c r="F17" s="19" t="s">
        <v>104</v>
      </c>
      <c r="G17" s="12" t="s">
        <v>40</v>
      </c>
      <c r="H17" s="12" t="s">
        <v>28</v>
      </c>
      <c r="I17" s="12" t="s">
        <v>29</v>
      </c>
      <c r="J17" s="12" t="s">
        <v>30</v>
      </c>
      <c r="K17" s="20"/>
      <c r="L17" s="17"/>
      <c r="M17" s="17"/>
      <c r="N17" s="15">
        <v>115.0</v>
      </c>
      <c r="O17" s="15">
        <v>750.0</v>
      </c>
      <c r="P17" s="14" t="s">
        <v>105</v>
      </c>
      <c r="Q17" s="15" t="s">
        <v>48</v>
      </c>
      <c r="R17" s="12"/>
      <c r="S17" s="16" t="b">
        <v>1</v>
      </c>
      <c r="T17" s="16" t="b">
        <v>0</v>
      </c>
      <c r="U17" s="17" t="b">
        <v>0</v>
      </c>
      <c r="V17" s="16" t="b">
        <v>1</v>
      </c>
      <c r="W17" s="16" t="b">
        <v>0</v>
      </c>
    </row>
    <row r="18" ht="15.75" hidden="1" customHeight="1">
      <c r="A18" s="7" t="s">
        <v>23</v>
      </c>
      <c r="B18" s="8" t="s">
        <v>24</v>
      </c>
      <c r="C18" s="11">
        <v>1.0</v>
      </c>
      <c r="D18" s="10">
        <v>2016.0</v>
      </c>
      <c r="E18" s="11" t="s">
        <v>106</v>
      </c>
      <c r="F18" s="18" t="s">
        <v>107</v>
      </c>
      <c r="G18" s="8" t="s">
        <v>74</v>
      </c>
      <c r="H18" s="8" t="s">
        <v>108</v>
      </c>
      <c r="I18" s="8"/>
      <c r="J18" s="8" t="s">
        <v>109</v>
      </c>
      <c r="K18" s="8"/>
      <c r="L18" s="17"/>
      <c r="M18" s="18"/>
      <c r="N18" s="11">
        <v>50.0</v>
      </c>
      <c r="O18" s="11">
        <v>750.0</v>
      </c>
      <c r="P18" s="14" t="s">
        <v>34</v>
      </c>
      <c r="Q18" s="11" t="s">
        <v>110</v>
      </c>
      <c r="R18" s="12"/>
      <c r="S18" s="16" t="b">
        <v>1</v>
      </c>
      <c r="T18" s="17" t="b">
        <v>0</v>
      </c>
      <c r="U18" s="17" t="b">
        <v>0</v>
      </c>
      <c r="V18" s="17" t="b">
        <v>0</v>
      </c>
      <c r="W18" s="17" t="b">
        <v>0</v>
      </c>
    </row>
    <row r="19">
      <c r="A19" s="7" t="s">
        <v>23</v>
      </c>
      <c r="B19" s="12" t="s">
        <v>24</v>
      </c>
      <c r="C19" s="15">
        <v>1.0</v>
      </c>
      <c r="D19" s="14">
        <v>2013.0</v>
      </c>
      <c r="E19" s="15" t="s">
        <v>99</v>
      </c>
      <c r="F19" s="19" t="s">
        <v>111</v>
      </c>
      <c r="G19" s="12" t="s">
        <v>27</v>
      </c>
      <c r="H19" s="12" t="s">
        <v>28</v>
      </c>
      <c r="I19" s="12" t="s">
        <v>29</v>
      </c>
      <c r="J19" s="12" t="s">
        <v>30</v>
      </c>
      <c r="K19" s="26" t="s">
        <v>31</v>
      </c>
      <c r="L19" s="23" t="s">
        <v>112</v>
      </c>
      <c r="M19" s="15" t="s">
        <v>113</v>
      </c>
      <c r="N19" s="28">
        <v>140.0</v>
      </c>
      <c r="O19" s="15">
        <v>750.0</v>
      </c>
      <c r="P19" s="14" t="s">
        <v>53</v>
      </c>
      <c r="Q19" s="15" t="s">
        <v>86</v>
      </c>
      <c r="R19" s="15"/>
      <c r="S19" s="17" t="b">
        <v>0</v>
      </c>
      <c r="T19" s="17" t="b">
        <v>0</v>
      </c>
      <c r="U19" s="17" t="b">
        <v>0</v>
      </c>
      <c r="V19" s="17" t="b">
        <v>0</v>
      </c>
      <c r="W19" s="16" t="b">
        <v>1</v>
      </c>
    </row>
    <row r="20">
      <c r="A20" s="7" t="s">
        <v>23</v>
      </c>
      <c r="B20" s="12" t="s">
        <v>24</v>
      </c>
      <c r="C20" s="15">
        <v>1.0</v>
      </c>
      <c r="D20" s="10">
        <v>2013.0</v>
      </c>
      <c r="E20" s="15" t="s">
        <v>25</v>
      </c>
      <c r="F20" s="19" t="s">
        <v>114</v>
      </c>
      <c r="G20" s="12" t="s">
        <v>27</v>
      </c>
      <c r="H20" s="12" t="s">
        <v>28</v>
      </c>
      <c r="I20" s="12" t="s">
        <v>29</v>
      </c>
      <c r="J20" s="12" t="s">
        <v>30</v>
      </c>
      <c r="K20" s="26" t="s">
        <v>31</v>
      </c>
      <c r="L20" s="26" t="s">
        <v>32</v>
      </c>
      <c r="M20" s="12" t="s">
        <v>115</v>
      </c>
      <c r="N20" s="28">
        <v>120.0</v>
      </c>
      <c r="O20" s="15">
        <v>750.0</v>
      </c>
      <c r="P20" s="14" t="s">
        <v>34</v>
      </c>
      <c r="Q20" s="11" t="s">
        <v>86</v>
      </c>
      <c r="R20" s="12"/>
      <c r="S20" s="17" t="b">
        <v>0</v>
      </c>
      <c r="T20" s="17" t="b">
        <v>0</v>
      </c>
      <c r="U20" s="17" t="b">
        <v>0</v>
      </c>
      <c r="V20" s="17" t="b">
        <v>0</v>
      </c>
      <c r="W20" s="16" t="b">
        <v>0</v>
      </c>
    </row>
    <row r="21">
      <c r="A21" s="7" t="s">
        <v>23</v>
      </c>
      <c r="B21" s="8" t="s">
        <v>24</v>
      </c>
      <c r="C21" s="11">
        <v>1.0</v>
      </c>
      <c r="D21" s="10">
        <v>2013.0</v>
      </c>
      <c r="E21" s="11" t="s">
        <v>80</v>
      </c>
      <c r="F21" s="18" t="s">
        <v>116</v>
      </c>
      <c r="G21" s="8" t="s">
        <v>40</v>
      </c>
      <c r="H21" s="8" t="s">
        <v>82</v>
      </c>
      <c r="I21" s="12"/>
      <c r="J21" s="8" t="s">
        <v>83</v>
      </c>
      <c r="K21" s="8"/>
      <c r="L21" s="20"/>
      <c r="M21" s="17"/>
      <c r="N21" s="21">
        <v>110.0</v>
      </c>
      <c r="O21" s="11">
        <v>750.0</v>
      </c>
      <c r="P21" s="14" t="s">
        <v>34</v>
      </c>
      <c r="Q21" s="22" t="s">
        <v>110</v>
      </c>
      <c r="R21" s="12"/>
      <c r="S21" s="17" t="b">
        <v>0</v>
      </c>
      <c r="T21" s="17" t="b">
        <v>0</v>
      </c>
      <c r="U21" s="16" t="b">
        <v>1</v>
      </c>
      <c r="V21" s="17" t="b">
        <v>0</v>
      </c>
      <c r="W21" s="17" t="b">
        <v>0</v>
      </c>
    </row>
    <row r="22" ht="15.75" customHeight="1">
      <c r="A22" s="7" t="s">
        <v>23</v>
      </c>
      <c r="B22" s="12" t="s">
        <v>24</v>
      </c>
      <c r="C22" s="15">
        <v>1.0</v>
      </c>
      <c r="D22" s="14">
        <v>2013.0</v>
      </c>
      <c r="E22" s="15" t="s">
        <v>99</v>
      </c>
      <c r="F22" s="19" t="s">
        <v>117</v>
      </c>
      <c r="G22" s="12" t="s">
        <v>27</v>
      </c>
      <c r="H22" s="12" t="s">
        <v>28</v>
      </c>
      <c r="I22" s="12" t="s">
        <v>29</v>
      </c>
      <c r="J22" s="12" t="s">
        <v>30</v>
      </c>
      <c r="K22" s="26" t="s">
        <v>31</v>
      </c>
      <c r="L22" s="23"/>
      <c r="M22" s="15"/>
      <c r="N22" s="28">
        <v>100.0</v>
      </c>
      <c r="O22" s="15">
        <v>750.0</v>
      </c>
      <c r="P22" s="14" t="s">
        <v>105</v>
      </c>
      <c r="Q22" s="11" t="s">
        <v>98</v>
      </c>
      <c r="R22" s="15"/>
      <c r="S22" s="17" t="b">
        <v>0</v>
      </c>
      <c r="T22" s="16" t="b">
        <v>0</v>
      </c>
      <c r="U22" s="17" t="b">
        <v>0</v>
      </c>
      <c r="V22" s="17" t="b">
        <v>0</v>
      </c>
      <c r="W22" s="17" t="b">
        <v>0</v>
      </c>
    </row>
    <row r="23" ht="15.75" customHeight="1">
      <c r="A23" s="7" t="s">
        <v>23</v>
      </c>
      <c r="B23" s="12" t="s">
        <v>24</v>
      </c>
      <c r="C23" s="15">
        <v>1.0</v>
      </c>
      <c r="D23" s="10">
        <v>2013.0</v>
      </c>
      <c r="E23" s="15" t="s">
        <v>118</v>
      </c>
      <c r="F23" s="19" t="s">
        <v>119</v>
      </c>
      <c r="G23" s="12" t="s">
        <v>89</v>
      </c>
      <c r="H23" s="12" t="s">
        <v>82</v>
      </c>
      <c r="I23" s="12" t="s">
        <v>75</v>
      </c>
      <c r="J23" s="12" t="s">
        <v>90</v>
      </c>
      <c r="K23" s="26" t="s">
        <v>91</v>
      </c>
      <c r="L23" s="26" t="s">
        <v>92</v>
      </c>
      <c r="M23" s="12" t="s">
        <v>93</v>
      </c>
      <c r="N23" s="28">
        <v>99.0</v>
      </c>
      <c r="O23" s="15">
        <v>750.0</v>
      </c>
      <c r="P23" s="14" t="s">
        <v>34</v>
      </c>
      <c r="Q23" s="15" t="s">
        <v>35</v>
      </c>
      <c r="R23" s="12"/>
      <c r="S23" s="17" t="b">
        <v>0</v>
      </c>
      <c r="T23" s="17" t="b">
        <v>0</v>
      </c>
      <c r="U23" s="16" t="b">
        <v>1</v>
      </c>
      <c r="V23" s="17" t="b">
        <v>0</v>
      </c>
      <c r="W23" s="17" t="b">
        <v>0</v>
      </c>
    </row>
    <row r="24" ht="15.75" hidden="1" customHeight="1">
      <c r="A24" s="7" t="s">
        <v>23</v>
      </c>
      <c r="B24" s="12" t="s">
        <v>24</v>
      </c>
      <c r="C24" s="15">
        <v>1.0</v>
      </c>
      <c r="D24" s="14">
        <v>2013.0</v>
      </c>
      <c r="E24" s="15" t="s">
        <v>99</v>
      </c>
      <c r="F24" s="19" t="s">
        <v>120</v>
      </c>
      <c r="G24" s="12" t="s">
        <v>27</v>
      </c>
      <c r="H24" s="12" t="s">
        <v>28</v>
      </c>
      <c r="I24" s="12" t="s">
        <v>29</v>
      </c>
      <c r="J24" s="12" t="s">
        <v>30</v>
      </c>
      <c r="K24" s="23" t="s">
        <v>31</v>
      </c>
      <c r="L24" s="26" t="s">
        <v>121</v>
      </c>
      <c r="M24" s="17"/>
      <c r="N24" s="15">
        <v>120.0</v>
      </c>
      <c r="O24" s="15">
        <v>750.0</v>
      </c>
      <c r="P24" s="14" t="s">
        <v>34</v>
      </c>
      <c r="Q24" s="15" t="s">
        <v>98</v>
      </c>
      <c r="R24" s="12"/>
      <c r="S24" s="16" t="b">
        <v>1</v>
      </c>
      <c r="T24" s="17" t="b">
        <v>0</v>
      </c>
      <c r="U24" s="17" t="b">
        <v>0</v>
      </c>
      <c r="V24" s="17" t="b">
        <v>0</v>
      </c>
      <c r="W24" s="17" t="b">
        <v>0</v>
      </c>
    </row>
    <row r="25">
      <c r="A25" s="7" t="s">
        <v>23</v>
      </c>
      <c r="B25" s="12" t="s">
        <v>24</v>
      </c>
      <c r="C25" s="15">
        <v>1.0</v>
      </c>
      <c r="D25" s="14">
        <v>2013.0</v>
      </c>
      <c r="E25" s="11" t="s">
        <v>122</v>
      </c>
      <c r="F25" s="19" t="s">
        <v>123</v>
      </c>
      <c r="G25" s="12" t="s">
        <v>27</v>
      </c>
      <c r="H25" s="12" t="s">
        <v>28</v>
      </c>
      <c r="I25" s="12" t="s">
        <v>29</v>
      </c>
      <c r="J25" s="12" t="s">
        <v>30</v>
      </c>
      <c r="K25" s="23" t="s">
        <v>31</v>
      </c>
      <c r="L25" s="26" t="s">
        <v>32</v>
      </c>
      <c r="M25" s="12" t="s">
        <v>124</v>
      </c>
      <c r="N25" s="28">
        <v>90.0</v>
      </c>
      <c r="O25" s="15">
        <v>750.0</v>
      </c>
      <c r="P25" s="14" t="s">
        <v>34</v>
      </c>
      <c r="Q25" s="11" t="s">
        <v>86</v>
      </c>
      <c r="R25" s="12"/>
      <c r="S25" s="17" t="b">
        <v>0</v>
      </c>
      <c r="T25" s="17" t="b">
        <v>0</v>
      </c>
      <c r="U25" s="17" t="b">
        <v>0</v>
      </c>
      <c r="V25" s="17" t="b">
        <v>0</v>
      </c>
      <c r="W25" s="17" t="b">
        <v>0</v>
      </c>
    </row>
    <row r="26" ht="15.75" hidden="1" customHeight="1">
      <c r="A26" s="7" t="s">
        <v>23</v>
      </c>
      <c r="B26" s="12" t="s">
        <v>24</v>
      </c>
      <c r="C26" s="15">
        <v>1.0</v>
      </c>
      <c r="D26" s="14">
        <v>2013.0</v>
      </c>
      <c r="E26" s="15" t="s">
        <v>84</v>
      </c>
      <c r="F26" s="19">
        <v>1873.0</v>
      </c>
      <c r="G26" s="12" t="s">
        <v>27</v>
      </c>
      <c r="H26" s="12" t="s">
        <v>28</v>
      </c>
      <c r="I26" s="12" t="s">
        <v>29</v>
      </c>
      <c r="J26" s="12" t="s">
        <v>30</v>
      </c>
      <c r="K26" s="23" t="s">
        <v>31</v>
      </c>
      <c r="L26" s="20"/>
      <c r="M26" s="17"/>
      <c r="N26" s="15">
        <v>85.0</v>
      </c>
      <c r="O26" s="15">
        <v>750.0</v>
      </c>
      <c r="P26" s="14" t="s">
        <v>105</v>
      </c>
      <c r="Q26" s="15" t="s">
        <v>125</v>
      </c>
      <c r="R26" s="12"/>
      <c r="S26" s="16" t="b">
        <v>1</v>
      </c>
      <c r="T26" s="17" t="b">
        <v>0</v>
      </c>
      <c r="U26" s="17" t="b">
        <v>0</v>
      </c>
      <c r="V26" s="17" t="b">
        <v>0</v>
      </c>
      <c r="W26" s="16" t="b">
        <v>1</v>
      </c>
    </row>
    <row r="27" ht="15.75" customHeight="1">
      <c r="A27" s="22" t="s">
        <v>23</v>
      </c>
      <c r="B27" s="15" t="s">
        <v>24</v>
      </c>
      <c r="C27" s="11">
        <v>1.0</v>
      </c>
      <c r="D27" s="14">
        <v>2013.0</v>
      </c>
      <c r="E27" s="15" t="s">
        <v>99</v>
      </c>
      <c r="F27" s="19" t="s">
        <v>126</v>
      </c>
      <c r="G27" s="15" t="s">
        <v>27</v>
      </c>
      <c r="H27" s="15" t="s">
        <v>28</v>
      </c>
      <c r="I27" s="15" t="s">
        <v>29</v>
      </c>
      <c r="J27" s="15" t="s">
        <v>30</v>
      </c>
      <c r="K27" s="23" t="s">
        <v>31</v>
      </c>
      <c r="L27" s="23" t="s">
        <v>126</v>
      </c>
      <c r="M27" s="25"/>
      <c r="N27" s="28">
        <v>55.0</v>
      </c>
      <c r="O27" s="15">
        <v>750.0</v>
      </c>
      <c r="P27" s="14" t="s">
        <v>105</v>
      </c>
      <c r="Q27" s="15" t="s">
        <v>86</v>
      </c>
      <c r="R27" s="15"/>
      <c r="S27" s="25" t="b">
        <v>0</v>
      </c>
      <c r="T27" s="24" t="b">
        <v>0</v>
      </c>
      <c r="U27" s="25" t="b">
        <v>0</v>
      </c>
      <c r="V27" s="25" t="b">
        <v>0</v>
      </c>
      <c r="W27" s="24" t="b">
        <v>1</v>
      </c>
    </row>
    <row r="28" ht="15.0" hidden="1" customHeight="1">
      <c r="A28" s="22" t="s">
        <v>23</v>
      </c>
      <c r="B28" s="15" t="s">
        <v>24</v>
      </c>
      <c r="C28" s="15">
        <v>1.0</v>
      </c>
      <c r="D28" s="14">
        <v>2013.0</v>
      </c>
      <c r="E28" s="15" t="s">
        <v>127</v>
      </c>
      <c r="F28" s="19" t="s">
        <v>128</v>
      </c>
      <c r="G28" s="15" t="s">
        <v>129</v>
      </c>
      <c r="H28" s="15" t="s">
        <v>28</v>
      </c>
      <c r="I28" s="15" t="s">
        <v>29</v>
      </c>
      <c r="J28" s="15" t="s">
        <v>30</v>
      </c>
      <c r="K28" s="23" t="s">
        <v>130</v>
      </c>
      <c r="L28" s="38"/>
      <c r="M28" s="15" t="s">
        <v>131</v>
      </c>
      <c r="N28" s="28">
        <v>50.0</v>
      </c>
      <c r="O28" s="15">
        <v>750.0</v>
      </c>
      <c r="P28" s="14" t="s">
        <v>105</v>
      </c>
      <c r="Q28" s="11" t="s">
        <v>132</v>
      </c>
      <c r="R28" s="15"/>
      <c r="S28" s="24" t="b">
        <v>1</v>
      </c>
      <c r="T28" s="24" t="b">
        <v>1</v>
      </c>
      <c r="U28" s="25" t="b">
        <v>0</v>
      </c>
      <c r="V28" s="24" t="b">
        <v>1</v>
      </c>
      <c r="W28" s="24" t="b">
        <v>1</v>
      </c>
    </row>
    <row r="29" ht="15.75" hidden="1" customHeight="1">
      <c r="A29" s="7" t="s">
        <v>23</v>
      </c>
      <c r="B29" s="12" t="s">
        <v>24</v>
      </c>
      <c r="C29" s="15">
        <v>1.0</v>
      </c>
      <c r="D29" s="14">
        <v>2013.0</v>
      </c>
      <c r="E29" s="15" t="s">
        <v>95</v>
      </c>
      <c r="F29" s="19" t="s">
        <v>96</v>
      </c>
      <c r="G29" s="12" t="s">
        <v>74</v>
      </c>
      <c r="H29" s="12" t="s">
        <v>28</v>
      </c>
      <c r="I29" s="12" t="s">
        <v>29</v>
      </c>
      <c r="J29" s="12" t="s">
        <v>30</v>
      </c>
      <c r="K29" s="23" t="s">
        <v>97</v>
      </c>
      <c r="L29" s="20"/>
      <c r="M29" s="17"/>
      <c r="N29" s="15">
        <v>75.0</v>
      </c>
      <c r="O29" s="15">
        <v>750.0</v>
      </c>
      <c r="P29" s="14" t="s">
        <v>34</v>
      </c>
      <c r="Q29" s="15" t="s">
        <v>66</v>
      </c>
      <c r="R29" s="12"/>
      <c r="S29" s="16" t="b">
        <v>1</v>
      </c>
      <c r="T29" s="17" t="b">
        <v>0</v>
      </c>
      <c r="U29" s="17" t="b">
        <v>0</v>
      </c>
      <c r="V29" s="17" t="b">
        <v>0</v>
      </c>
      <c r="W29" s="17" t="b">
        <v>0</v>
      </c>
    </row>
    <row r="30" ht="15.75" customHeight="1">
      <c r="A30" s="7" t="s">
        <v>23</v>
      </c>
      <c r="B30" s="12" t="s">
        <v>24</v>
      </c>
      <c r="C30" s="11">
        <v>2.0</v>
      </c>
      <c r="D30" s="14">
        <v>2013.0</v>
      </c>
      <c r="E30" s="15" t="s">
        <v>133</v>
      </c>
      <c r="F30" s="19" t="s">
        <v>134</v>
      </c>
      <c r="G30" s="12" t="s">
        <v>40</v>
      </c>
      <c r="H30" s="12" t="s">
        <v>51</v>
      </c>
      <c r="I30" s="12"/>
      <c r="J30" s="12"/>
      <c r="K30" s="20"/>
      <c r="L30" s="18" t="s">
        <v>135</v>
      </c>
      <c r="M30" s="17"/>
      <c r="N30" s="28">
        <v>40.0</v>
      </c>
      <c r="O30" s="11">
        <v>500.0</v>
      </c>
      <c r="P30" s="14" t="s">
        <v>34</v>
      </c>
      <c r="Q30" s="11" t="s">
        <v>136</v>
      </c>
      <c r="R30" s="8" t="s">
        <v>55</v>
      </c>
      <c r="S30" s="16" t="b">
        <v>0</v>
      </c>
      <c r="T30" s="16" t="b">
        <v>0</v>
      </c>
      <c r="U30" s="16" t="b">
        <v>0</v>
      </c>
      <c r="V30" s="16" t="b">
        <v>0</v>
      </c>
      <c r="W30" s="16" t="b">
        <v>0</v>
      </c>
    </row>
    <row r="31" hidden="1">
      <c r="A31" s="7" t="s">
        <v>23</v>
      </c>
      <c r="B31" s="12" t="s">
        <v>24</v>
      </c>
      <c r="C31" s="15">
        <v>1.0</v>
      </c>
      <c r="D31" s="14">
        <v>2005.0</v>
      </c>
      <c r="E31" s="15" t="s">
        <v>137</v>
      </c>
      <c r="F31" s="19" t="s">
        <v>138</v>
      </c>
      <c r="G31" s="12" t="s">
        <v>139</v>
      </c>
      <c r="H31" s="12" t="s">
        <v>41</v>
      </c>
      <c r="I31" s="39"/>
      <c r="J31" s="12" t="s">
        <v>140</v>
      </c>
      <c r="K31" s="13" t="s">
        <v>141</v>
      </c>
      <c r="L31" s="15"/>
      <c r="M31" s="15"/>
      <c r="N31" s="15">
        <v>65.0</v>
      </c>
      <c r="O31" s="15">
        <v>1500.0</v>
      </c>
      <c r="P31" s="10" t="s">
        <v>47</v>
      </c>
      <c r="Q31" s="15" t="s">
        <v>62</v>
      </c>
      <c r="R31" s="11" t="s">
        <v>142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</row>
    <row r="32">
      <c r="A32" s="7" t="s">
        <v>23</v>
      </c>
      <c r="B32" s="8" t="s">
        <v>24</v>
      </c>
      <c r="C32" s="11">
        <v>1.0</v>
      </c>
      <c r="D32" s="10">
        <v>2014.0</v>
      </c>
      <c r="E32" s="11" t="s">
        <v>143</v>
      </c>
      <c r="F32" s="18" t="s">
        <v>144</v>
      </c>
      <c r="G32" s="8" t="s">
        <v>145</v>
      </c>
      <c r="H32" s="12" t="s">
        <v>41</v>
      </c>
      <c r="I32" s="12"/>
      <c r="J32" s="12" t="s">
        <v>146</v>
      </c>
      <c r="K32" s="13" t="s">
        <v>147</v>
      </c>
      <c r="L32" s="20"/>
      <c r="M32" s="17"/>
      <c r="N32" s="21">
        <v>215.0</v>
      </c>
      <c r="O32" s="11">
        <v>750.0</v>
      </c>
      <c r="P32" s="14" t="s">
        <v>34</v>
      </c>
      <c r="Q32" s="11" t="s">
        <v>43</v>
      </c>
      <c r="R32" s="12"/>
      <c r="S32" s="17" t="b">
        <v>0</v>
      </c>
      <c r="T32" s="17" t="b">
        <v>0</v>
      </c>
      <c r="U32" s="17" t="b">
        <v>0</v>
      </c>
      <c r="V32" s="17" t="b">
        <v>0</v>
      </c>
      <c r="W32" s="17" t="b">
        <v>0</v>
      </c>
    </row>
    <row r="33">
      <c r="A33" s="7" t="s">
        <v>23</v>
      </c>
      <c r="B33" s="8" t="s">
        <v>24</v>
      </c>
      <c r="C33" s="11">
        <v>2.0</v>
      </c>
      <c r="D33" s="10">
        <v>2014.0</v>
      </c>
      <c r="E33" s="11" t="s">
        <v>80</v>
      </c>
      <c r="F33" s="18" t="s">
        <v>148</v>
      </c>
      <c r="G33" s="8" t="s">
        <v>40</v>
      </c>
      <c r="H33" s="8" t="s">
        <v>82</v>
      </c>
      <c r="I33" s="12"/>
      <c r="J33" s="8" t="s">
        <v>83</v>
      </c>
      <c r="K33" s="8"/>
      <c r="L33" s="20"/>
      <c r="M33" s="17"/>
      <c r="N33" s="21">
        <v>155.0</v>
      </c>
      <c r="O33" s="11">
        <v>750.0</v>
      </c>
      <c r="P33" s="14" t="s">
        <v>34</v>
      </c>
      <c r="Q33" s="27" t="s">
        <v>94</v>
      </c>
      <c r="R33" s="12"/>
      <c r="S33" s="17" t="b">
        <v>0</v>
      </c>
      <c r="T33" s="17" t="b">
        <v>0</v>
      </c>
      <c r="U33" s="17" t="b">
        <v>0</v>
      </c>
      <c r="V33" s="17" t="b">
        <v>0</v>
      </c>
      <c r="W33" s="17" t="b">
        <v>0</v>
      </c>
    </row>
    <row r="34" hidden="1">
      <c r="A34" s="7" t="s">
        <v>23</v>
      </c>
      <c r="B34" s="12" t="s">
        <v>44</v>
      </c>
      <c r="C34" s="15">
        <v>1.0</v>
      </c>
      <c r="D34" s="14">
        <v>2008.0</v>
      </c>
      <c r="E34" s="15" t="s">
        <v>149</v>
      </c>
      <c r="F34" s="19" t="s">
        <v>150</v>
      </c>
      <c r="G34" s="12" t="s">
        <v>40</v>
      </c>
      <c r="H34" s="12" t="s">
        <v>28</v>
      </c>
      <c r="I34" s="12" t="s">
        <v>29</v>
      </c>
      <c r="J34" s="12" t="s">
        <v>30</v>
      </c>
      <c r="K34" s="23"/>
      <c r="L34" s="15"/>
      <c r="M34" s="15"/>
      <c r="N34" s="15">
        <v>80.0</v>
      </c>
      <c r="O34" s="15">
        <v>750.0</v>
      </c>
      <c r="P34" s="14" t="s">
        <v>105</v>
      </c>
      <c r="Q34" s="11" t="s">
        <v>151</v>
      </c>
      <c r="R34" s="15"/>
      <c r="S34" s="16" t="b">
        <v>1</v>
      </c>
      <c r="T34" s="16" t="b">
        <v>1</v>
      </c>
      <c r="U34" s="16" t="b">
        <v>0</v>
      </c>
      <c r="V34" s="16" t="b">
        <v>0</v>
      </c>
      <c r="W34" s="16" t="b">
        <v>0</v>
      </c>
    </row>
    <row r="35" ht="15.75" hidden="1" customHeight="1">
      <c r="A35" s="7" t="s">
        <v>23</v>
      </c>
      <c r="B35" s="12" t="s">
        <v>24</v>
      </c>
      <c r="C35" s="15">
        <v>1.0</v>
      </c>
      <c r="D35" s="14">
        <v>2014.0</v>
      </c>
      <c r="E35" s="15" t="s">
        <v>84</v>
      </c>
      <c r="F35" s="19" t="s">
        <v>152</v>
      </c>
      <c r="G35" s="12" t="s">
        <v>27</v>
      </c>
      <c r="H35" s="12" t="s">
        <v>28</v>
      </c>
      <c r="I35" s="12" t="s">
        <v>29</v>
      </c>
      <c r="J35" s="12" t="s">
        <v>30</v>
      </c>
      <c r="K35" s="26" t="s">
        <v>31</v>
      </c>
      <c r="L35" s="23"/>
      <c r="M35" s="15"/>
      <c r="N35" s="15">
        <v>150.0</v>
      </c>
      <c r="O35" s="15">
        <v>750.0</v>
      </c>
      <c r="P35" s="14" t="s">
        <v>34</v>
      </c>
      <c r="Q35" s="15" t="s">
        <v>98</v>
      </c>
      <c r="R35" s="15"/>
      <c r="S35" s="16" t="b">
        <v>1</v>
      </c>
      <c r="T35" s="16" t="b">
        <v>1</v>
      </c>
      <c r="U35" s="17" t="b">
        <v>0</v>
      </c>
      <c r="V35" s="17" t="b">
        <v>0</v>
      </c>
      <c r="W35" s="16" t="b">
        <v>1</v>
      </c>
    </row>
    <row r="36" ht="15.75" hidden="1" customHeight="1">
      <c r="A36" s="7" t="s">
        <v>23</v>
      </c>
      <c r="B36" s="12" t="s">
        <v>24</v>
      </c>
      <c r="C36" s="15">
        <v>1.0</v>
      </c>
      <c r="D36" s="14">
        <v>2014.0</v>
      </c>
      <c r="E36" s="15" t="s">
        <v>99</v>
      </c>
      <c r="F36" s="19" t="s">
        <v>121</v>
      </c>
      <c r="G36" s="12" t="s">
        <v>27</v>
      </c>
      <c r="H36" s="12" t="s">
        <v>28</v>
      </c>
      <c r="I36" s="12" t="s">
        <v>29</v>
      </c>
      <c r="J36" s="12" t="s">
        <v>30</v>
      </c>
      <c r="K36" s="23" t="s">
        <v>31</v>
      </c>
      <c r="L36" s="26" t="s">
        <v>121</v>
      </c>
      <c r="M36" s="17"/>
      <c r="N36" s="15">
        <v>120.0</v>
      </c>
      <c r="O36" s="15">
        <v>750.0</v>
      </c>
      <c r="P36" s="14" t="s">
        <v>34</v>
      </c>
      <c r="Q36" s="15" t="s">
        <v>98</v>
      </c>
      <c r="R36" s="12"/>
      <c r="S36" s="16" t="b">
        <v>1</v>
      </c>
      <c r="T36" s="16" t="b">
        <v>1</v>
      </c>
      <c r="U36" s="17" t="b">
        <v>0</v>
      </c>
      <c r="V36" s="17" t="b">
        <v>0</v>
      </c>
      <c r="W36" s="16" t="b">
        <v>1</v>
      </c>
    </row>
    <row r="37">
      <c r="A37" s="7" t="s">
        <v>153</v>
      </c>
      <c r="B37" s="12" t="s">
        <v>24</v>
      </c>
      <c r="C37" s="15">
        <v>1.0</v>
      </c>
      <c r="D37" s="14">
        <v>2014.0</v>
      </c>
      <c r="E37" s="15" t="s">
        <v>154</v>
      </c>
      <c r="F37" s="18" t="s">
        <v>155</v>
      </c>
      <c r="G37" s="12" t="s">
        <v>156</v>
      </c>
      <c r="H37" s="12" t="s">
        <v>28</v>
      </c>
      <c r="I37" s="12" t="s">
        <v>29</v>
      </c>
      <c r="J37" s="12" t="s">
        <v>30</v>
      </c>
      <c r="K37" s="26" t="s">
        <v>31</v>
      </c>
      <c r="L37" s="17"/>
      <c r="M37" s="12" t="s">
        <v>157</v>
      </c>
      <c r="N37" s="15">
        <v>300.0</v>
      </c>
      <c r="O37" s="15">
        <v>1500.0</v>
      </c>
      <c r="P37" s="14" t="s">
        <v>34</v>
      </c>
      <c r="Q37" s="15" t="s">
        <v>62</v>
      </c>
      <c r="R37" s="12"/>
      <c r="S37" s="17" t="b">
        <v>0</v>
      </c>
      <c r="T37" s="17" t="b">
        <v>0</v>
      </c>
      <c r="U37" s="17" t="b">
        <v>0</v>
      </c>
      <c r="V37" s="17" t="b">
        <v>0</v>
      </c>
      <c r="W37" s="16" t="b">
        <v>1</v>
      </c>
    </row>
    <row r="38" ht="15.75" hidden="1" customHeight="1">
      <c r="A38" s="7" t="s">
        <v>23</v>
      </c>
      <c r="B38" s="12" t="s">
        <v>24</v>
      </c>
      <c r="C38" s="15">
        <v>1.0</v>
      </c>
      <c r="D38" s="14">
        <v>2010.0</v>
      </c>
      <c r="E38" s="15" t="s">
        <v>158</v>
      </c>
      <c r="F38" s="19" t="s">
        <v>159</v>
      </c>
      <c r="G38" s="12" t="s">
        <v>74</v>
      </c>
      <c r="H38" s="12" t="s">
        <v>41</v>
      </c>
      <c r="I38" s="12" t="s">
        <v>75</v>
      </c>
      <c r="J38" s="12" t="s">
        <v>146</v>
      </c>
      <c r="K38" s="26" t="s">
        <v>160</v>
      </c>
      <c r="L38" s="17"/>
      <c r="M38" s="17"/>
      <c r="N38" s="15">
        <v>90.0</v>
      </c>
      <c r="O38" s="15">
        <v>750.0</v>
      </c>
      <c r="P38" s="14" t="s">
        <v>34</v>
      </c>
      <c r="Q38" s="15" t="s">
        <v>161</v>
      </c>
      <c r="R38" s="12"/>
      <c r="S38" s="16" t="b">
        <v>1</v>
      </c>
      <c r="T38" s="17" t="b">
        <v>0</v>
      </c>
      <c r="U38" s="17" t="b">
        <v>0</v>
      </c>
      <c r="V38" s="16" t="b">
        <v>1</v>
      </c>
      <c r="W38" s="16" t="b">
        <v>0</v>
      </c>
    </row>
    <row r="39" ht="15.75" hidden="1" customHeight="1">
      <c r="A39" s="7" t="s">
        <v>23</v>
      </c>
      <c r="B39" s="12" t="s">
        <v>44</v>
      </c>
      <c r="C39" s="15">
        <v>1.0</v>
      </c>
      <c r="D39" s="14">
        <v>2012.0</v>
      </c>
      <c r="E39" s="15" t="s">
        <v>103</v>
      </c>
      <c r="F39" s="19" t="s">
        <v>162</v>
      </c>
      <c r="G39" s="12" t="s">
        <v>40</v>
      </c>
      <c r="H39" s="12" t="s">
        <v>28</v>
      </c>
      <c r="I39" s="12" t="s">
        <v>29</v>
      </c>
      <c r="J39" s="12" t="s">
        <v>30</v>
      </c>
      <c r="K39" s="20"/>
      <c r="L39" s="17"/>
      <c r="M39" s="17"/>
      <c r="N39" s="15">
        <v>57.0</v>
      </c>
      <c r="O39" s="15">
        <v>750.0</v>
      </c>
      <c r="P39" s="14" t="s">
        <v>34</v>
      </c>
      <c r="Q39" s="15" t="s">
        <v>48</v>
      </c>
      <c r="R39" s="12"/>
      <c r="S39" s="16" t="b">
        <v>1</v>
      </c>
      <c r="T39" s="16" t="b">
        <v>1</v>
      </c>
      <c r="U39" s="16" t="b">
        <v>0</v>
      </c>
      <c r="V39" s="16" t="b">
        <v>0</v>
      </c>
      <c r="W39" s="16" t="b">
        <v>0</v>
      </c>
    </row>
    <row r="40">
      <c r="A40" s="7" t="s">
        <v>23</v>
      </c>
      <c r="B40" s="8" t="s">
        <v>24</v>
      </c>
      <c r="C40" s="11">
        <v>1.0</v>
      </c>
      <c r="D40" s="10">
        <v>2014.0</v>
      </c>
      <c r="E40" s="11" t="s">
        <v>80</v>
      </c>
      <c r="F40" s="18" t="s">
        <v>116</v>
      </c>
      <c r="G40" s="8" t="s">
        <v>40</v>
      </c>
      <c r="H40" s="8" t="s">
        <v>82</v>
      </c>
      <c r="I40" s="12"/>
      <c r="J40" s="8" t="s">
        <v>83</v>
      </c>
      <c r="K40" s="8"/>
      <c r="L40" s="20"/>
      <c r="M40" s="17"/>
      <c r="N40" s="21">
        <v>110.0</v>
      </c>
      <c r="O40" s="11">
        <v>750.0</v>
      </c>
      <c r="P40" s="14" t="s">
        <v>34</v>
      </c>
      <c r="Q40" s="27" t="s">
        <v>94</v>
      </c>
      <c r="R40" s="12"/>
      <c r="S40" s="17" t="b">
        <v>0</v>
      </c>
      <c r="T40" s="17" t="b">
        <v>0</v>
      </c>
      <c r="U40" s="17" t="b">
        <v>0</v>
      </c>
      <c r="V40" s="17" t="b">
        <v>0</v>
      </c>
      <c r="W40" s="17" t="b">
        <v>0</v>
      </c>
    </row>
    <row r="41" hidden="1">
      <c r="A41" s="7" t="s">
        <v>23</v>
      </c>
      <c r="B41" s="12" t="s">
        <v>24</v>
      </c>
      <c r="C41" s="15">
        <v>1.0</v>
      </c>
      <c r="D41" s="14">
        <v>2014.0</v>
      </c>
      <c r="E41" s="15" t="s">
        <v>99</v>
      </c>
      <c r="F41" s="19" t="s">
        <v>100</v>
      </c>
      <c r="G41" s="12" t="s">
        <v>27</v>
      </c>
      <c r="H41" s="12" t="s">
        <v>28</v>
      </c>
      <c r="I41" s="12" t="s">
        <v>29</v>
      </c>
      <c r="J41" s="12" t="s">
        <v>30</v>
      </c>
      <c r="K41" s="26" t="s">
        <v>31</v>
      </c>
      <c r="L41" s="23" t="s">
        <v>101</v>
      </c>
      <c r="M41" s="15" t="s">
        <v>102</v>
      </c>
      <c r="N41" s="15">
        <v>140.0</v>
      </c>
      <c r="O41" s="15">
        <v>750.0</v>
      </c>
      <c r="P41" s="14" t="s">
        <v>34</v>
      </c>
      <c r="Q41" s="40" t="s">
        <v>98</v>
      </c>
      <c r="R41" s="15"/>
      <c r="S41" s="16" t="b">
        <v>1</v>
      </c>
      <c r="T41" s="16" t="b">
        <v>1</v>
      </c>
      <c r="U41" s="17" t="b">
        <v>0</v>
      </c>
      <c r="V41" s="17" t="b">
        <v>0</v>
      </c>
      <c r="W41" s="16" t="b">
        <v>1</v>
      </c>
    </row>
    <row r="42" ht="15.75" hidden="1" customHeight="1">
      <c r="A42" s="7" t="s">
        <v>23</v>
      </c>
      <c r="B42" s="12" t="s">
        <v>24</v>
      </c>
      <c r="C42" s="41">
        <v>2.0</v>
      </c>
      <c r="D42" s="14">
        <v>2014.0</v>
      </c>
      <c r="E42" s="15" t="s">
        <v>163</v>
      </c>
      <c r="F42" s="15" t="s">
        <v>164</v>
      </c>
      <c r="G42" s="12" t="s">
        <v>74</v>
      </c>
      <c r="H42" s="12" t="s">
        <v>28</v>
      </c>
      <c r="I42" s="12" t="s">
        <v>58</v>
      </c>
      <c r="J42" s="12" t="s">
        <v>59</v>
      </c>
      <c r="K42" s="26" t="s">
        <v>165</v>
      </c>
      <c r="L42" s="26" t="s">
        <v>165</v>
      </c>
      <c r="M42" s="12" t="s">
        <v>166</v>
      </c>
      <c r="N42" s="41">
        <v>110.0</v>
      </c>
      <c r="O42" s="15">
        <v>750.0</v>
      </c>
      <c r="P42" s="14" t="s">
        <v>105</v>
      </c>
      <c r="Q42" s="15" t="s">
        <v>167</v>
      </c>
      <c r="R42" s="12"/>
      <c r="S42" s="16" t="b">
        <v>1</v>
      </c>
      <c r="T42" s="16" t="b">
        <v>1</v>
      </c>
      <c r="U42" s="17" t="b">
        <v>0</v>
      </c>
      <c r="V42" s="17" t="b">
        <v>0</v>
      </c>
      <c r="W42" s="17" t="b">
        <v>0</v>
      </c>
    </row>
    <row r="43">
      <c r="A43" s="7" t="s">
        <v>23</v>
      </c>
      <c r="B43" s="12" t="s">
        <v>24</v>
      </c>
      <c r="C43" s="15">
        <v>1.0</v>
      </c>
      <c r="D43" s="14">
        <v>2014.0</v>
      </c>
      <c r="E43" s="15" t="s">
        <v>95</v>
      </c>
      <c r="F43" s="19" t="s">
        <v>168</v>
      </c>
      <c r="G43" s="12" t="s">
        <v>74</v>
      </c>
      <c r="H43" s="12" t="s">
        <v>28</v>
      </c>
      <c r="I43" s="12" t="s">
        <v>29</v>
      </c>
      <c r="J43" s="12" t="s">
        <v>30</v>
      </c>
      <c r="K43" s="23" t="s">
        <v>97</v>
      </c>
      <c r="L43" s="20"/>
      <c r="M43" s="17"/>
      <c r="N43" s="28">
        <v>50.0</v>
      </c>
      <c r="O43" s="15">
        <v>750.0</v>
      </c>
      <c r="P43" s="14" t="s">
        <v>105</v>
      </c>
      <c r="Q43" s="15" t="s">
        <v>125</v>
      </c>
      <c r="R43" s="12"/>
      <c r="S43" s="17" t="b">
        <v>0</v>
      </c>
      <c r="T43" s="17" t="b">
        <v>0</v>
      </c>
      <c r="U43" s="16" t="b">
        <v>1</v>
      </c>
      <c r="V43" s="17" t="b">
        <v>0</v>
      </c>
      <c r="W43" s="16" t="b">
        <v>1</v>
      </c>
    </row>
    <row r="44" ht="15.75" hidden="1" customHeight="1">
      <c r="A44" s="30" t="s">
        <v>23</v>
      </c>
      <c r="B44" s="31" t="s">
        <v>24</v>
      </c>
      <c r="C44" s="31">
        <v>1.0</v>
      </c>
      <c r="D44" s="32">
        <v>2005.0</v>
      </c>
      <c r="E44" s="31" t="s">
        <v>72</v>
      </c>
      <c r="F44" s="33" t="s">
        <v>73</v>
      </c>
      <c r="G44" s="31" t="s">
        <v>74</v>
      </c>
      <c r="H44" s="31" t="s">
        <v>41</v>
      </c>
      <c r="I44" s="31" t="s">
        <v>75</v>
      </c>
      <c r="J44" s="31" t="s">
        <v>76</v>
      </c>
      <c r="K44" s="34" t="s">
        <v>77</v>
      </c>
      <c r="L44" s="36"/>
      <c r="M44" s="36"/>
      <c r="N44" s="31">
        <v>55.0</v>
      </c>
      <c r="O44" s="31">
        <v>750.0</v>
      </c>
      <c r="P44" s="32" t="s">
        <v>34</v>
      </c>
      <c r="Q44" s="31" t="s">
        <v>79</v>
      </c>
      <c r="R44" s="31"/>
      <c r="S44" s="37" t="b">
        <v>1</v>
      </c>
      <c r="T44" s="37" t="b">
        <v>1</v>
      </c>
      <c r="U44" s="36" t="b">
        <v>0</v>
      </c>
      <c r="V44" s="37" t="b">
        <v>1</v>
      </c>
      <c r="W44" s="37" t="b">
        <v>0</v>
      </c>
    </row>
    <row r="45" ht="15.75" hidden="1" customHeight="1">
      <c r="A45" s="7" t="s">
        <v>23</v>
      </c>
      <c r="B45" s="12" t="s">
        <v>24</v>
      </c>
      <c r="C45" s="15">
        <v>1.0</v>
      </c>
      <c r="D45" s="14">
        <v>2014.0</v>
      </c>
      <c r="E45" s="15" t="s">
        <v>95</v>
      </c>
      <c r="F45" s="19" t="s">
        <v>168</v>
      </c>
      <c r="G45" s="12" t="s">
        <v>74</v>
      </c>
      <c r="H45" s="12" t="s">
        <v>28</v>
      </c>
      <c r="I45" s="12" t="s">
        <v>29</v>
      </c>
      <c r="J45" s="12" t="s">
        <v>30</v>
      </c>
      <c r="K45" s="23" t="s">
        <v>97</v>
      </c>
      <c r="L45" s="20"/>
      <c r="M45" s="17"/>
      <c r="N45" s="15">
        <v>50.0</v>
      </c>
      <c r="O45" s="15">
        <v>750.0</v>
      </c>
      <c r="P45" s="14" t="s">
        <v>105</v>
      </c>
      <c r="Q45" s="27" t="s">
        <v>78</v>
      </c>
      <c r="R45" s="12"/>
      <c r="S45" s="16" t="b">
        <v>1</v>
      </c>
      <c r="T45" s="16" t="b">
        <v>1</v>
      </c>
      <c r="U45" s="17" t="b">
        <v>0</v>
      </c>
      <c r="V45" s="17" t="b">
        <v>0</v>
      </c>
      <c r="W45" s="16" t="b">
        <v>1</v>
      </c>
    </row>
    <row r="46">
      <c r="A46" s="7" t="s">
        <v>23</v>
      </c>
      <c r="B46" s="8" t="s">
        <v>24</v>
      </c>
      <c r="C46" s="11">
        <v>1.0</v>
      </c>
      <c r="D46" s="10">
        <v>2014.0</v>
      </c>
      <c r="E46" s="11" t="s">
        <v>95</v>
      </c>
      <c r="F46" s="18" t="s">
        <v>168</v>
      </c>
      <c r="G46" s="8" t="s">
        <v>74</v>
      </c>
      <c r="H46" s="8" t="s">
        <v>28</v>
      </c>
      <c r="I46" s="8" t="s">
        <v>29</v>
      </c>
      <c r="J46" s="8" t="s">
        <v>30</v>
      </c>
      <c r="K46" s="8" t="s">
        <v>169</v>
      </c>
      <c r="L46" s="42"/>
      <c r="M46" s="18"/>
      <c r="N46" s="21">
        <v>40.0</v>
      </c>
      <c r="O46" s="11">
        <v>750.0</v>
      </c>
      <c r="P46" s="10" t="s">
        <v>47</v>
      </c>
      <c r="Q46" s="11" t="s">
        <v>43</v>
      </c>
      <c r="R46" s="12"/>
      <c r="S46" s="17" t="b">
        <v>0</v>
      </c>
      <c r="T46" s="17" t="b">
        <v>0</v>
      </c>
      <c r="U46" s="17" t="b">
        <v>0</v>
      </c>
      <c r="V46" s="17" t="b">
        <v>0</v>
      </c>
      <c r="W46" s="16" t="b">
        <v>1</v>
      </c>
    </row>
    <row r="47" hidden="1">
      <c r="A47" s="30" t="s">
        <v>23</v>
      </c>
      <c r="B47" s="31" t="s">
        <v>24</v>
      </c>
      <c r="C47" s="31">
        <v>1.0</v>
      </c>
      <c r="D47" s="32">
        <v>2014.0</v>
      </c>
      <c r="E47" s="31" t="s">
        <v>170</v>
      </c>
      <c r="F47" s="33" t="s">
        <v>171</v>
      </c>
      <c r="G47" s="31" t="s">
        <v>27</v>
      </c>
      <c r="H47" s="31" t="s">
        <v>28</v>
      </c>
      <c r="I47" s="31" t="s">
        <v>29</v>
      </c>
      <c r="J47" s="31" t="s">
        <v>30</v>
      </c>
      <c r="K47" s="34" t="s">
        <v>31</v>
      </c>
      <c r="L47" s="34"/>
      <c r="M47" s="31"/>
      <c r="N47" s="31">
        <v>150.0</v>
      </c>
      <c r="O47" s="31">
        <v>750.0</v>
      </c>
      <c r="P47" s="32" t="s">
        <v>105</v>
      </c>
      <c r="Q47" s="31" t="s">
        <v>125</v>
      </c>
      <c r="R47" s="31"/>
      <c r="S47" s="37" t="b">
        <v>1</v>
      </c>
      <c r="T47" s="36" t="b">
        <v>0</v>
      </c>
      <c r="U47" s="36" t="b">
        <v>0</v>
      </c>
      <c r="V47" s="37" t="b">
        <v>1</v>
      </c>
      <c r="W47" s="37" t="b">
        <v>0</v>
      </c>
    </row>
    <row r="48" ht="15.75" hidden="1" customHeight="1">
      <c r="A48" s="7" t="s">
        <v>23</v>
      </c>
      <c r="B48" s="12" t="s">
        <v>24</v>
      </c>
      <c r="C48" s="15">
        <v>1.0</v>
      </c>
      <c r="D48" s="14">
        <v>2015.0</v>
      </c>
      <c r="E48" s="15" t="s">
        <v>172</v>
      </c>
      <c r="F48" s="18" t="s">
        <v>173</v>
      </c>
      <c r="G48" s="12" t="s">
        <v>74</v>
      </c>
      <c r="H48" s="12" t="s">
        <v>28</v>
      </c>
      <c r="I48" s="12" t="s">
        <v>29</v>
      </c>
      <c r="J48" s="12" t="s">
        <v>30</v>
      </c>
      <c r="K48" s="26" t="s">
        <v>31</v>
      </c>
      <c r="L48" s="23"/>
      <c r="M48" s="15"/>
      <c r="N48" s="11">
        <v>150.0</v>
      </c>
      <c r="O48" s="11">
        <v>750.0</v>
      </c>
      <c r="P48" s="14" t="s">
        <v>34</v>
      </c>
      <c r="Q48" s="40" t="s">
        <v>98</v>
      </c>
      <c r="R48" s="15"/>
      <c r="S48" s="16" t="b">
        <v>1</v>
      </c>
      <c r="T48" s="16" t="b">
        <v>1</v>
      </c>
      <c r="U48" s="16" t="b">
        <v>1</v>
      </c>
      <c r="V48" s="16" t="b">
        <v>0</v>
      </c>
      <c r="W48" s="16" t="b">
        <v>0</v>
      </c>
    </row>
    <row r="49">
      <c r="A49" s="7" t="s">
        <v>23</v>
      </c>
      <c r="B49" s="8" t="s">
        <v>24</v>
      </c>
      <c r="C49" s="8">
        <v>1.0</v>
      </c>
      <c r="D49" s="10">
        <v>2015.0</v>
      </c>
      <c r="E49" s="8" t="s">
        <v>172</v>
      </c>
      <c r="F49" s="8" t="s">
        <v>174</v>
      </c>
      <c r="G49" s="8" t="s">
        <v>74</v>
      </c>
      <c r="H49" s="8" t="s">
        <v>28</v>
      </c>
      <c r="I49" s="8" t="s">
        <v>29</v>
      </c>
      <c r="J49" s="8" t="s">
        <v>30</v>
      </c>
      <c r="K49" s="13" t="s">
        <v>31</v>
      </c>
      <c r="L49" s="26"/>
      <c r="M49" s="17"/>
      <c r="N49" s="43">
        <v>300.0</v>
      </c>
      <c r="O49" s="8">
        <v>1500.0</v>
      </c>
      <c r="P49" s="10" t="s">
        <v>53</v>
      </c>
      <c r="Q49" s="11" t="s">
        <v>62</v>
      </c>
      <c r="R49" s="12"/>
      <c r="S49" s="17" t="b">
        <v>0</v>
      </c>
      <c r="T49" s="17" t="b">
        <v>0</v>
      </c>
      <c r="U49" s="17" t="b">
        <v>0</v>
      </c>
      <c r="V49" s="17" t="b">
        <v>0</v>
      </c>
      <c r="W49" s="17" t="b">
        <v>0</v>
      </c>
    </row>
    <row r="50" hidden="1">
      <c r="A50" s="30" t="s">
        <v>23</v>
      </c>
      <c r="B50" s="31" t="s">
        <v>24</v>
      </c>
      <c r="C50" s="31">
        <v>1.0</v>
      </c>
      <c r="D50" s="32">
        <v>2015.0</v>
      </c>
      <c r="E50" s="31" t="s">
        <v>175</v>
      </c>
      <c r="F50" s="33" t="s">
        <v>27</v>
      </c>
      <c r="G50" s="31" t="s">
        <v>27</v>
      </c>
      <c r="H50" s="31" t="s">
        <v>28</v>
      </c>
      <c r="I50" s="31" t="s">
        <v>29</v>
      </c>
      <c r="J50" s="31" t="s">
        <v>30</v>
      </c>
      <c r="K50" s="34" t="s">
        <v>31</v>
      </c>
      <c r="L50" s="34" t="s">
        <v>176</v>
      </c>
      <c r="M50" s="31"/>
      <c r="N50" s="31">
        <v>100.0</v>
      </c>
      <c r="O50" s="31">
        <v>750.0</v>
      </c>
      <c r="P50" s="32" t="s">
        <v>34</v>
      </c>
      <c r="Q50" s="31" t="s">
        <v>66</v>
      </c>
      <c r="R50" s="31"/>
      <c r="S50" s="37" t="b">
        <v>1</v>
      </c>
      <c r="T50" s="36" t="b">
        <v>0</v>
      </c>
      <c r="U50" s="36" t="b">
        <v>0</v>
      </c>
      <c r="V50" s="37" t="b">
        <v>1</v>
      </c>
      <c r="W50" s="37" t="b">
        <v>0</v>
      </c>
    </row>
    <row r="51" hidden="1">
      <c r="A51" s="30" t="s">
        <v>23</v>
      </c>
      <c r="B51" s="31" t="s">
        <v>24</v>
      </c>
      <c r="C51" s="31">
        <v>1.0</v>
      </c>
      <c r="D51" s="32">
        <v>2009.0</v>
      </c>
      <c r="E51" s="31" t="s">
        <v>72</v>
      </c>
      <c r="F51" s="33" t="s">
        <v>73</v>
      </c>
      <c r="G51" s="31" t="s">
        <v>74</v>
      </c>
      <c r="H51" s="31" t="s">
        <v>41</v>
      </c>
      <c r="I51" s="31" t="s">
        <v>75</v>
      </c>
      <c r="J51" s="31" t="s">
        <v>76</v>
      </c>
      <c r="K51" s="34" t="s">
        <v>77</v>
      </c>
      <c r="L51" s="36"/>
      <c r="M51" s="36"/>
      <c r="N51" s="31">
        <v>55.0</v>
      </c>
      <c r="O51" s="31">
        <v>750.0</v>
      </c>
      <c r="P51" s="32" t="s">
        <v>34</v>
      </c>
      <c r="Q51" s="31" t="s">
        <v>79</v>
      </c>
      <c r="R51" s="31"/>
      <c r="S51" s="37" t="b">
        <v>1</v>
      </c>
      <c r="T51" s="36" t="b">
        <v>0</v>
      </c>
      <c r="U51" s="36" t="b">
        <v>0</v>
      </c>
      <c r="V51" s="37" t="b">
        <v>1</v>
      </c>
      <c r="W51" s="37" t="b">
        <v>0</v>
      </c>
    </row>
    <row r="52" ht="15.75" hidden="1" customHeight="1">
      <c r="A52" s="22" t="s">
        <v>23</v>
      </c>
      <c r="B52" s="15" t="s">
        <v>24</v>
      </c>
      <c r="C52" s="15">
        <v>1.0</v>
      </c>
      <c r="D52" s="14">
        <v>2015.0</v>
      </c>
      <c r="E52" s="15" t="s">
        <v>177</v>
      </c>
      <c r="F52" s="19" t="s">
        <v>178</v>
      </c>
      <c r="G52" s="15" t="s">
        <v>27</v>
      </c>
      <c r="H52" s="15" t="s">
        <v>28</v>
      </c>
      <c r="I52" s="15" t="s">
        <v>29</v>
      </c>
      <c r="J52" s="15" t="s">
        <v>30</v>
      </c>
      <c r="K52" s="23" t="s">
        <v>31</v>
      </c>
      <c r="L52" s="38"/>
      <c r="M52" s="19" t="s">
        <v>179</v>
      </c>
      <c r="N52" s="28">
        <v>150.0</v>
      </c>
      <c r="O52" s="15">
        <v>750.0</v>
      </c>
      <c r="P52" s="14" t="s">
        <v>34</v>
      </c>
      <c r="Q52" s="15" t="s">
        <v>180</v>
      </c>
      <c r="R52" s="15"/>
      <c r="S52" s="24" t="b">
        <v>1</v>
      </c>
      <c r="T52" s="25" t="b">
        <v>0</v>
      </c>
      <c r="U52" s="24" t="b">
        <v>1</v>
      </c>
      <c r="V52" s="24" t="b">
        <v>0</v>
      </c>
      <c r="W52" s="24" t="b">
        <v>1</v>
      </c>
    </row>
    <row r="53" ht="15.75" hidden="1" customHeight="1">
      <c r="A53" s="7" t="s">
        <v>23</v>
      </c>
      <c r="B53" s="12" t="s">
        <v>24</v>
      </c>
      <c r="C53" s="11">
        <v>1.0</v>
      </c>
      <c r="D53" s="14">
        <v>2015.0</v>
      </c>
      <c r="E53" s="11" t="s">
        <v>122</v>
      </c>
      <c r="F53" s="15" t="s">
        <v>181</v>
      </c>
      <c r="G53" s="12" t="s">
        <v>27</v>
      </c>
      <c r="H53" s="12" t="s">
        <v>28</v>
      </c>
      <c r="I53" s="12" t="s">
        <v>29</v>
      </c>
      <c r="J53" s="12" t="s">
        <v>30</v>
      </c>
      <c r="K53" s="26" t="s">
        <v>31</v>
      </c>
      <c r="L53" s="26" t="s">
        <v>182</v>
      </c>
      <c r="M53" s="17"/>
      <c r="N53" s="28">
        <v>125.0</v>
      </c>
      <c r="O53" s="15">
        <v>750.0</v>
      </c>
      <c r="P53" s="14" t="s">
        <v>34</v>
      </c>
      <c r="Q53" s="11" t="s">
        <v>183</v>
      </c>
      <c r="R53" s="12"/>
      <c r="S53" s="16" t="b">
        <v>1</v>
      </c>
      <c r="T53" s="17" t="b">
        <v>0</v>
      </c>
      <c r="U53" s="17" t="b">
        <v>0</v>
      </c>
      <c r="V53" s="17" t="b">
        <v>0</v>
      </c>
      <c r="W53" s="17" t="b">
        <v>0</v>
      </c>
    </row>
    <row r="54" hidden="1">
      <c r="A54" s="30" t="s">
        <v>23</v>
      </c>
      <c r="B54" s="31" t="s">
        <v>24</v>
      </c>
      <c r="C54" s="31">
        <v>1.0</v>
      </c>
      <c r="D54" s="32">
        <v>2015.0</v>
      </c>
      <c r="E54" s="31" t="s">
        <v>84</v>
      </c>
      <c r="F54" s="33" t="s">
        <v>184</v>
      </c>
      <c r="G54" s="31" t="s">
        <v>27</v>
      </c>
      <c r="H54" s="31" t="s">
        <v>28</v>
      </c>
      <c r="I54" s="31" t="s">
        <v>29</v>
      </c>
      <c r="J54" s="31" t="s">
        <v>30</v>
      </c>
      <c r="K54" s="34" t="s">
        <v>31</v>
      </c>
      <c r="L54" s="31"/>
      <c r="M54" s="31"/>
      <c r="N54" s="31">
        <v>180.0</v>
      </c>
      <c r="O54" s="31">
        <v>750.0</v>
      </c>
      <c r="P54" s="32" t="s">
        <v>34</v>
      </c>
      <c r="Q54" s="31" t="s">
        <v>98</v>
      </c>
      <c r="R54" s="31"/>
      <c r="S54" s="37" t="b">
        <v>1</v>
      </c>
      <c r="T54" s="37" t="b">
        <v>1</v>
      </c>
      <c r="U54" s="37" t="b">
        <v>1</v>
      </c>
      <c r="V54" s="37" t="b">
        <v>1</v>
      </c>
      <c r="W54" s="37" t="b">
        <v>0</v>
      </c>
    </row>
    <row r="55" ht="15.75" hidden="1" customHeight="1">
      <c r="A55" s="7" t="s">
        <v>23</v>
      </c>
      <c r="B55" s="12" t="s">
        <v>24</v>
      </c>
      <c r="C55" s="15">
        <v>1.0</v>
      </c>
      <c r="D55" s="14">
        <v>2015.0</v>
      </c>
      <c r="E55" s="15" t="s">
        <v>172</v>
      </c>
      <c r="F55" s="19" t="s">
        <v>185</v>
      </c>
      <c r="G55" s="12" t="s">
        <v>27</v>
      </c>
      <c r="H55" s="12" t="s">
        <v>28</v>
      </c>
      <c r="I55" s="12" t="s">
        <v>29</v>
      </c>
      <c r="J55" s="12" t="s">
        <v>30</v>
      </c>
      <c r="K55" s="26" t="s">
        <v>31</v>
      </c>
      <c r="L55" s="23" t="s">
        <v>186</v>
      </c>
      <c r="M55" s="15" t="s">
        <v>187</v>
      </c>
      <c r="N55" s="15">
        <v>121.0</v>
      </c>
      <c r="O55" s="15">
        <v>750.0</v>
      </c>
      <c r="P55" s="14" t="s">
        <v>34</v>
      </c>
      <c r="Q55" s="29" t="s">
        <v>78</v>
      </c>
      <c r="R55" s="15"/>
      <c r="S55" s="16" t="b">
        <v>1</v>
      </c>
      <c r="T55" s="17" t="b">
        <v>0</v>
      </c>
      <c r="U55" s="17" t="b">
        <v>0</v>
      </c>
      <c r="V55" s="16" t="b">
        <v>1</v>
      </c>
      <c r="W55" s="16" t="b">
        <v>1</v>
      </c>
    </row>
    <row r="56" hidden="1">
      <c r="A56" s="7" t="s">
        <v>23</v>
      </c>
      <c r="B56" s="12" t="s">
        <v>24</v>
      </c>
      <c r="C56" s="15">
        <v>1.0</v>
      </c>
      <c r="D56" s="14">
        <v>2013.0</v>
      </c>
      <c r="E56" s="15" t="s">
        <v>95</v>
      </c>
      <c r="F56" s="19" t="s">
        <v>96</v>
      </c>
      <c r="G56" s="12" t="s">
        <v>74</v>
      </c>
      <c r="H56" s="12" t="s">
        <v>28</v>
      </c>
      <c r="I56" s="12" t="s">
        <v>29</v>
      </c>
      <c r="J56" s="12" t="s">
        <v>30</v>
      </c>
      <c r="K56" s="23" t="s">
        <v>31</v>
      </c>
      <c r="L56" s="17"/>
      <c r="M56" s="17"/>
      <c r="N56" s="15">
        <v>75.0</v>
      </c>
      <c r="O56" s="15">
        <v>750.0</v>
      </c>
      <c r="P56" s="14" t="s">
        <v>105</v>
      </c>
      <c r="Q56" s="15" t="s">
        <v>125</v>
      </c>
      <c r="R56" s="12"/>
      <c r="S56" s="16" t="b">
        <v>1</v>
      </c>
      <c r="T56" s="17" t="b">
        <v>1</v>
      </c>
      <c r="U56" s="17" t="b">
        <v>0</v>
      </c>
      <c r="V56" s="17" t="b">
        <v>0</v>
      </c>
      <c r="W56" s="17" t="b">
        <v>0</v>
      </c>
    </row>
    <row r="57">
      <c r="A57" s="7" t="s">
        <v>23</v>
      </c>
      <c r="B57" s="12" t="s">
        <v>24</v>
      </c>
      <c r="C57" s="15">
        <v>1.0</v>
      </c>
      <c r="D57" s="14">
        <v>2015.0</v>
      </c>
      <c r="E57" s="15" t="s">
        <v>158</v>
      </c>
      <c r="F57" s="19" t="s">
        <v>159</v>
      </c>
      <c r="G57" s="12" t="s">
        <v>74</v>
      </c>
      <c r="H57" s="12" t="s">
        <v>41</v>
      </c>
      <c r="I57" s="12" t="s">
        <v>75</v>
      </c>
      <c r="J57" s="12" t="s">
        <v>146</v>
      </c>
      <c r="K57" s="26" t="s">
        <v>160</v>
      </c>
      <c r="L57" s="20"/>
      <c r="M57" s="17"/>
      <c r="N57" s="28">
        <v>90.0</v>
      </c>
      <c r="O57" s="15">
        <v>750.0</v>
      </c>
      <c r="P57" s="14" t="s">
        <v>34</v>
      </c>
      <c r="Q57" s="15" t="s">
        <v>161</v>
      </c>
      <c r="R57" s="12"/>
      <c r="S57" s="16" t="b">
        <v>0</v>
      </c>
      <c r="T57" s="16" t="b">
        <v>0</v>
      </c>
      <c r="U57" s="17" t="b">
        <v>0</v>
      </c>
      <c r="V57" s="16" t="b">
        <v>1</v>
      </c>
      <c r="W57" s="16" t="b">
        <v>0</v>
      </c>
    </row>
    <row r="58" ht="15.75" hidden="1" customHeight="1">
      <c r="A58" s="22" t="s">
        <v>23</v>
      </c>
      <c r="B58" s="15" t="s">
        <v>24</v>
      </c>
      <c r="C58" s="15">
        <v>1.0</v>
      </c>
      <c r="D58" s="14">
        <v>2015.0</v>
      </c>
      <c r="E58" s="15" t="s">
        <v>188</v>
      </c>
      <c r="F58" s="19" t="s">
        <v>178</v>
      </c>
      <c r="G58" s="15" t="s">
        <v>27</v>
      </c>
      <c r="H58" s="15" t="s">
        <v>28</v>
      </c>
      <c r="I58" s="15" t="s">
        <v>29</v>
      </c>
      <c r="J58" s="15" t="s">
        <v>30</v>
      </c>
      <c r="K58" s="23" t="s">
        <v>31</v>
      </c>
      <c r="L58" s="38"/>
      <c r="M58" s="15"/>
      <c r="N58" s="15">
        <v>80.0</v>
      </c>
      <c r="O58" s="15">
        <v>750.0</v>
      </c>
      <c r="P58" s="14" t="s">
        <v>105</v>
      </c>
      <c r="Q58" s="15" t="s">
        <v>125</v>
      </c>
      <c r="R58" s="15"/>
      <c r="S58" s="24" t="b">
        <v>1</v>
      </c>
      <c r="T58" s="24" t="b">
        <v>1</v>
      </c>
      <c r="U58" s="25" t="b">
        <v>0</v>
      </c>
      <c r="V58" s="24" t="b">
        <v>0</v>
      </c>
      <c r="W58" s="24" t="b">
        <v>1</v>
      </c>
    </row>
    <row r="59" ht="15.75" hidden="1" customHeight="1">
      <c r="A59" s="30" t="s">
        <v>23</v>
      </c>
      <c r="B59" s="31" t="s">
        <v>24</v>
      </c>
      <c r="C59" s="31">
        <v>1.0</v>
      </c>
      <c r="D59" s="32">
        <v>2015.0</v>
      </c>
      <c r="E59" s="31" t="s">
        <v>189</v>
      </c>
      <c r="F59" s="33" t="s">
        <v>190</v>
      </c>
      <c r="G59" s="31" t="s">
        <v>191</v>
      </c>
      <c r="H59" s="31" t="s">
        <v>28</v>
      </c>
      <c r="I59" s="31" t="s">
        <v>29</v>
      </c>
      <c r="J59" s="31" t="s">
        <v>30</v>
      </c>
      <c r="K59" s="34" t="s">
        <v>130</v>
      </c>
      <c r="L59" s="35"/>
      <c r="M59" s="33" t="s">
        <v>192</v>
      </c>
      <c r="N59" s="31">
        <v>86.0</v>
      </c>
      <c r="O59" s="31">
        <v>750.0</v>
      </c>
      <c r="P59" s="32" t="s">
        <v>105</v>
      </c>
      <c r="Q59" s="31" t="s">
        <v>193</v>
      </c>
      <c r="R59" s="31"/>
      <c r="S59" s="37" t="b">
        <v>1</v>
      </c>
      <c r="T59" s="36" t="b">
        <v>0</v>
      </c>
      <c r="U59" s="36" t="b">
        <v>1</v>
      </c>
      <c r="V59" s="37" t="b">
        <v>1</v>
      </c>
      <c r="W59" s="37" t="b">
        <v>1</v>
      </c>
    </row>
    <row r="60">
      <c r="A60" s="7" t="s">
        <v>23</v>
      </c>
      <c r="B60" s="8" t="s">
        <v>24</v>
      </c>
      <c r="C60" s="11">
        <v>1.0</v>
      </c>
      <c r="D60" s="10">
        <v>2015.0</v>
      </c>
      <c r="E60" s="11" t="s">
        <v>194</v>
      </c>
      <c r="F60" s="18" t="s">
        <v>195</v>
      </c>
      <c r="G60" s="8" t="s">
        <v>40</v>
      </c>
      <c r="H60" s="8" t="s">
        <v>82</v>
      </c>
      <c r="I60" s="8"/>
      <c r="J60" s="8" t="s">
        <v>90</v>
      </c>
      <c r="K60" s="8"/>
      <c r="L60" s="20"/>
      <c r="M60" s="18" t="s">
        <v>196</v>
      </c>
      <c r="N60" s="21">
        <v>85.0</v>
      </c>
      <c r="O60" s="11">
        <v>750.0</v>
      </c>
      <c r="P60" s="14" t="s">
        <v>34</v>
      </c>
      <c r="Q60" s="11" t="s">
        <v>43</v>
      </c>
      <c r="R60" s="12"/>
      <c r="S60" s="17" t="b">
        <v>0</v>
      </c>
      <c r="T60" s="17" t="b">
        <v>0</v>
      </c>
      <c r="U60" s="17" t="b">
        <v>0</v>
      </c>
      <c r="V60" s="17" t="b">
        <v>0</v>
      </c>
      <c r="W60" s="17" t="b">
        <v>0</v>
      </c>
    </row>
    <row r="61" hidden="1">
      <c r="A61" s="7" t="s">
        <v>23</v>
      </c>
      <c r="B61" s="15" t="s">
        <v>24</v>
      </c>
      <c r="C61" s="11">
        <v>1.0</v>
      </c>
      <c r="D61" s="14">
        <v>2015.0</v>
      </c>
      <c r="E61" s="15" t="s">
        <v>197</v>
      </c>
      <c r="F61" s="15" t="s">
        <v>198</v>
      </c>
      <c r="G61" s="15" t="s">
        <v>27</v>
      </c>
      <c r="H61" s="15" t="s">
        <v>28</v>
      </c>
      <c r="I61" s="15" t="s">
        <v>29</v>
      </c>
      <c r="J61" s="15" t="s">
        <v>30</v>
      </c>
      <c r="K61" s="23" t="s">
        <v>31</v>
      </c>
      <c r="L61" s="23" t="s">
        <v>199</v>
      </c>
      <c r="M61" s="15" t="s">
        <v>200</v>
      </c>
      <c r="N61" s="15">
        <v>75.0</v>
      </c>
      <c r="O61" s="15">
        <v>750.0</v>
      </c>
      <c r="P61" s="14" t="s">
        <v>34</v>
      </c>
      <c r="Q61" s="27" t="s">
        <v>78</v>
      </c>
      <c r="R61" s="15"/>
      <c r="S61" s="24" t="b">
        <v>1</v>
      </c>
      <c r="T61" s="25" t="b">
        <v>0</v>
      </c>
      <c r="U61" s="24" t="b">
        <v>0</v>
      </c>
      <c r="V61" s="24" t="b">
        <v>1</v>
      </c>
      <c r="W61" s="24" t="b">
        <v>1</v>
      </c>
    </row>
    <row r="62" hidden="1">
      <c r="A62" s="7" t="s">
        <v>23</v>
      </c>
      <c r="B62" s="12" t="s">
        <v>24</v>
      </c>
      <c r="C62" s="15">
        <v>1.0</v>
      </c>
      <c r="D62" s="14">
        <v>2014.0</v>
      </c>
      <c r="E62" s="15" t="s">
        <v>84</v>
      </c>
      <c r="F62" s="19" t="s">
        <v>201</v>
      </c>
      <c r="G62" s="12" t="s">
        <v>27</v>
      </c>
      <c r="H62" s="12" t="s">
        <v>28</v>
      </c>
      <c r="I62" s="12" t="s">
        <v>29</v>
      </c>
      <c r="J62" s="12" t="s">
        <v>30</v>
      </c>
      <c r="K62" s="23" t="s">
        <v>31</v>
      </c>
      <c r="L62" s="12" t="s">
        <v>75</v>
      </c>
      <c r="M62" s="17"/>
      <c r="N62" s="15">
        <v>80.0</v>
      </c>
      <c r="O62" s="15">
        <v>750.0</v>
      </c>
      <c r="P62" s="14" t="s">
        <v>105</v>
      </c>
      <c r="Q62" s="15" t="s">
        <v>125</v>
      </c>
      <c r="R62" s="12"/>
      <c r="S62" s="16" t="b">
        <v>1</v>
      </c>
      <c r="T62" s="16" t="b">
        <v>1</v>
      </c>
      <c r="U62" s="16" t="b">
        <v>0</v>
      </c>
      <c r="V62" s="16" t="b">
        <v>0</v>
      </c>
      <c r="W62" s="16" t="b">
        <v>0</v>
      </c>
    </row>
    <row r="63" hidden="1">
      <c r="A63" s="30" t="s">
        <v>153</v>
      </c>
      <c r="B63" s="31" t="s">
        <v>24</v>
      </c>
      <c r="C63" s="31">
        <v>1.0</v>
      </c>
      <c r="D63" s="32">
        <v>2017.0</v>
      </c>
      <c r="E63" s="31" t="s">
        <v>202</v>
      </c>
      <c r="F63" s="33" t="s">
        <v>203</v>
      </c>
      <c r="G63" s="31" t="s">
        <v>27</v>
      </c>
      <c r="H63" s="31" t="s">
        <v>28</v>
      </c>
      <c r="I63" s="31" t="s">
        <v>29</v>
      </c>
      <c r="J63" s="31" t="s">
        <v>30</v>
      </c>
      <c r="K63" s="34" t="s">
        <v>31</v>
      </c>
      <c r="L63" s="31"/>
      <c r="M63" s="36"/>
      <c r="N63" s="31">
        <v>110.0</v>
      </c>
      <c r="O63" s="31">
        <v>750.0</v>
      </c>
      <c r="P63" s="32" t="s">
        <v>34</v>
      </c>
      <c r="Q63" s="31" t="s">
        <v>204</v>
      </c>
      <c r="R63" s="31"/>
      <c r="S63" s="37" t="b">
        <v>1</v>
      </c>
      <c r="T63" s="37" t="b">
        <v>1</v>
      </c>
      <c r="U63" s="37" t="b">
        <v>1</v>
      </c>
      <c r="V63" s="37" t="b">
        <v>1</v>
      </c>
      <c r="W63" s="37" t="b">
        <v>0</v>
      </c>
    </row>
    <row r="64" hidden="1">
      <c r="A64" s="7" t="s">
        <v>23</v>
      </c>
      <c r="B64" s="12" t="s">
        <v>24</v>
      </c>
      <c r="C64" s="15">
        <v>1.0</v>
      </c>
      <c r="D64" s="14">
        <v>2014.0</v>
      </c>
      <c r="E64" s="15" t="s">
        <v>205</v>
      </c>
      <c r="F64" s="15" t="s">
        <v>206</v>
      </c>
      <c r="G64" s="8" t="s">
        <v>27</v>
      </c>
      <c r="H64" s="12" t="s">
        <v>28</v>
      </c>
      <c r="I64" s="12" t="s">
        <v>29</v>
      </c>
      <c r="J64" s="12" t="s">
        <v>30</v>
      </c>
      <c r="K64" s="26" t="s">
        <v>31</v>
      </c>
      <c r="L64" s="44" t="s">
        <v>207</v>
      </c>
      <c r="M64" s="17"/>
      <c r="N64" s="15">
        <v>100.0</v>
      </c>
      <c r="O64" s="15">
        <v>750.0</v>
      </c>
      <c r="P64" s="14" t="s">
        <v>105</v>
      </c>
      <c r="Q64" s="15" t="s">
        <v>125</v>
      </c>
      <c r="R64" s="12"/>
      <c r="S64" s="16" t="b">
        <v>1</v>
      </c>
      <c r="T64" s="16" t="b">
        <v>1</v>
      </c>
      <c r="U64" s="16" t="b">
        <v>0</v>
      </c>
      <c r="V64" s="16" t="b">
        <v>0</v>
      </c>
      <c r="W64" s="16" t="b">
        <v>0</v>
      </c>
    </row>
    <row r="65" hidden="1">
      <c r="A65" s="7" t="s">
        <v>23</v>
      </c>
      <c r="B65" s="12" t="s">
        <v>24</v>
      </c>
      <c r="C65" s="11">
        <v>1.0</v>
      </c>
      <c r="D65" s="14">
        <v>2015.0</v>
      </c>
      <c r="E65" s="15" t="s">
        <v>99</v>
      </c>
      <c r="F65" s="19" t="s">
        <v>208</v>
      </c>
      <c r="G65" s="12" t="s">
        <v>191</v>
      </c>
      <c r="H65" s="12" t="s">
        <v>28</v>
      </c>
      <c r="I65" s="12" t="s">
        <v>29</v>
      </c>
      <c r="J65" s="12" t="s">
        <v>30</v>
      </c>
      <c r="K65" s="45" t="s">
        <v>97</v>
      </c>
      <c r="L65" s="12" t="s">
        <v>209</v>
      </c>
      <c r="M65" s="12"/>
      <c r="N65" s="15">
        <v>60.0</v>
      </c>
      <c r="O65" s="15">
        <v>750.0</v>
      </c>
      <c r="P65" s="14" t="s">
        <v>105</v>
      </c>
      <c r="Q65" s="15" t="s">
        <v>193</v>
      </c>
      <c r="R65" s="12"/>
      <c r="S65" s="16" t="b">
        <v>1</v>
      </c>
      <c r="T65" s="16" t="b">
        <v>1</v>
      </c>
      <c r="U65" s="16" t="b">
        <v>0</v>
      </c>
      <c r="V65" s="16" t="b">
        <v>0</v>
      </c>
      <c r="W65" s="16" t="b">
        <v>0</v>
      </c>
    </row>
    <row r="66" hidden="1">
      <c r="A66" s="30" t="s">
        <v>23</v>
      </c>
      <c r="B66" s="31" t="s">
        <v>24</v>
      </c>
      <c r="C66" s="31">
        <v>2.0</v>
      </c>
      <c r="D66" s="32">
        <v>2016.0</v>
      </c>
      <c r="E66" s="31" t="s">
        <v>210</v>
      </c>
      <c r="F66" s="33" t="s">
        <v>211</v>
      </c>
      <c r="G66" s="31" t="s">
        <v>139</v>
      </c>
      <c r="H66" s="31" t="s">
        <v>28</v>
      </c>
      <c r="I66" s="31" t="s">
        <v>29</v>
      </c>
      <c r="J66" s="31" t="s">
        <v>30</v>
      </c>
      <c r="K66" s="34" t="s">
        <v>212</v>
      </c>
      <c r="L66" s="35"/>
      <c r="M66" s="31"/>
      <c r="N66" s="46">
        <v>25.0</v>
      </c>
      <c r="O66" s="31">
        <v>750.0</v>
      </c>
      <c r="P66" s="32" t="s">
        <v>105</v>
      </c>
      <c r="Q66" s="31" t="s">
        <v>213</v>
      </c>
      <c r="R66" s="31"/>
      <c r="S66" s="37" t="b">
        <v>1</v>
      </c>
      <c r="T66" s="36" t="b">
        <v>0</v>
      </c>
      <c r="U66" s="36" t="b">
        <v>0</v>
      </c>
      <c r="V66" s="37" t="b">
        <v>1</v>
      </c>
      <c r="W66" s="37" t="b">
        <v>1</v>
      </c>
    </row>
    <row r="67" hidden="1">
      <c r="A67" s="7" t="s">
        <v>23</v>
      </c>
      <c r="B67" s="12" t="s">
        <v>24</v>
      </c>
      <c r="C67" s="15">
        <v>1.0</v>
      </c>
      <c r="D67" s="14">
        <v>2015.0</v>
      </c>
      <c r="E67" s="11" t="s">
        <v>122</v>
      </c>
      <c r="F67" s="19" t="s">
        <v>214</v>
      </c>
      <c r="G67" s="12" t="s">
        <v>27</v>
      </c>
      <c r="H67" s="12" t="s">
        <v>28</v>
      </c>
      <c r="I67" s="12" t="s">
        <v>29</v>
      </c>
      <c r="J67" s="12" t="s">
        <v>30</v>
      </c>
      <c r="K67" s="23" t="s">
        <v>31</v>
      </c>
      <c r="L67" s="26" t="s">
        <v>75</v>
      </c>
      <c r="M67" s="17"/>
      <c r="N67" s="15">
        <v>55.0</v>
      </c>
      <c r="O67" s="15">
        <v>750.0</v>
      </c>
      <c r="P67" s="14" t="s">
        <v>105</v>
      </c>
      <c r="Q67" s="11" t="s">
        <v>132</v>
      </c>
      <c r="R67" s="12"/>
      <c r="S67" s="16" t="b">
        <v>1</v>
      </c>
      <c r="T67" s="16" t="b">
        <v>1</v>
      </c>
      <c r="U67" s="17" t="b">
        <v>0</v>
      </c>
      <c r="V67" s="16" t="b">
        <v>0</v>
      </c>
      <c r="W67" s="16" t="b">
        <v>1</v>
      </c>
    </row>
    <row r="68">
      <c r="A68" s="22" t="s">
        <v>23</v>
      </c>
      <c r="B68" s="11" t="s">
        <v>24</v>
      </c>
      <c r="C68" s="11">
        <v>1.0</v>
      </c>
      <c r="D68" s="10">
        <v>2016.0</v>
      </c>
      <c r="E68" s="11" t="s">
        <v>215</v>
      </c>
      <c r="F68" s="18" t="s">
        <v>216</v>
      </c>
      <c r="G68" s="11" t="s">
        <v>40</v>
      </c>
      <c r="H68" s="11" t="s">
        <v>217</v>
      </c>
      <c r="I68" s="12"/>
      <c r="J68" s="12" t="s">
        <v>218</v>
      </c>
      <c r="K68" s="11"/>
      <c r="L68" s="11" t="s">
        <v>219</v>
      </c>
      <c r="M68" s="18"/>
      <c r="N68" s="21">
        <v>80.0</v>
      </c>
      <c r="O68" s="11">
        <v>750.0</v>
      </c>
      <c r="P68" s="10" t="s">
        <v>34</v>
      </c>
      <c r="Q68" s="29" t="s">
        <v>94</v>
      </c>
      <c r="R68" s="15"/>
      <c r="S68" s="25" t="b">
        <v>0</v>
      </c>
      <c r="T68" s="24" t="b">
        <v>0</v>
      </c>
      <c r="U68" s="25" t="b">
        <v>0</v>
      </c>
      <c r="V68" s="24" t="b">
        <v>0</v>
      </c>
      <c r="W68" s="24" t="b">
        <v>0</v>
      </c>
    </row>
    <row r="69">
      <c r="A69" s="7" t="s">
        <v>23</v>
      </c>
      <c r="B69" s="12" t="s">
        <v>24</v>
      </c>
      <c r="C69" s="15">
        <v>1.0</v>
      </c>
      <c r="D69" s="14">
        <v>2016.0</v>
      </c>
      <c r="E69" s="15" t="s">
        <v>158</v>
      </c>
      <c r="F69" s="19" t="s">
        <v>220</v>
      </c>
      <c r="G69" s="12" t="s">
        <v>74</v>
      </c>
      <c r="H69" s="12" t="s">
        <v>41</v>
      </c>
      <c r="I69" s="12" t="s">
        <v>75</v>
      </c>
      <c r="J69" s="12" t="s">
        <v>76</v>
      </c>
      <c r="K69" s="26" t="s">
        <v>160</v>
      </c>
      <c r="L69" s="20"/>
      <c r="M69" s="17"/>
      <c r="N69" s="28">
        <v>350.0</v>
      </c>
      <c r="O69" s="15">
        <v>750.0</v>
      </c>
      <c r="P69" s="14" t="s">
        <v>53</v>
      </c>
      <c r="Q69" s="15" t="s">
        <v>161</v>
      </c>
      <c r="R69" s="12"/>
      <c r="S69" s="17" t="b">
        <v>0</v>
      </c>
      <c r="T69" s="17" t="b">
        <v>0</v>
      </c>
      <c r="U69" s="17" t="b">
        <v>0</v>
      </c>
      <c r="V69" s="17" t="b">
        <v>0</v>
      </c>
      <c r="W69" s="17" t="b">
        <v>0</v>
      </c>
    </row>
    <row r="70">
      <c r="A70" s="7" t="s">
        <v>23</v>
      </c>
      <c r="B70" s="12" t="s">
        <v>24</v>
      </c>
      <c r="C70" s="15">
        <v>1.0</v>
      </c>
      <c r="D70" s="14">
        <v>2016.0</v>
      </c>
      <c r="E70" s="15" t="s">
        <v>84</v>
      </c>
      <c r="F70" s="19" t="s">
        <v>152</v>
      </c>
      <c r="G70" s="12" t="s">
        <v>27</v>
      </c>
      <c r="H70" s="12" t="s">
        <v>28</v>
      </c>
      <c r="I70" s="12" t="s">
        <v>29</v>
      </c>
      <c r="J70" s="12" t="s">
        <v>30</v>
      </c>
      <c r="K70" s="23" t="s">
        <v>31</v>
      </c>
      <c r="L70" s="26" t="s">
        <v>221</v>
      </c>
      <c r="M70" s="17"/>
      <c r="N70" s="28">
        <v>185.0</v>
      </c>
      <c r="O70" s="15">
        <v>750.0</v>
      </c>
      <c r="P70" s="14" t="s">
        <v>34</v>
      </c>
      <c r="Q70" s="15" t="s">
        <v>183</v>
      </c>
      <c r="R70" s="12"/>
      <c r="S70" s="17" t="b">
        <v>0</v>
      </c>
      <c r="T70" s="17" t="b">
        <v>0</v>
      </c>
      <c r="U70" s="17" t="b">
        <v>0</v>
      </c>
      <c r="V70" s="17" t="b">
        <v>0</v>
      </c>
      <c r="W70" s="16" t="b">
        <v>1</v>
      </c>
    </row>
    <row r="71">
      <c r="A71" s="7" t="s">
        <v>23</v>
      </c>
      <c r="B71" s="12" t="s">
        <v>24</v>
      </c>
      <c r="C71" s="15">
        <v>1.0</v>
      </c>
      <c r="D71" s="14">
        <v>2016.0</v>
      </c>
      <c r="E71" s="15" t="s">
        <v>84</v>
      </c>
      <c r="F71" s="19" t="s">
        <v>120</v>
      </c>
      <c r="G71" s="12" t="s">
        <v>27</v>
      </c>
      <c r="H71" s="12" t="s">
        <v>28</v>
      </c>
      <c r="I71" s="12" t="s">
        <v>29</v>
      </c>
      <c r="J71" s="12" t="s">
        <v>30</v>
      </c>
      <c r="K71" s="23" t="s">
        <v>31</v>
      </c>
      <c r="L71" s="26" t="s">
        <v>121</v>
      </c>
      <c r="M71" s="17"/>
      <c r="N71" s="28">
        <v>185.0</v>
      </c>
      <c r="O71" s="15">
        <v>750.0</v>
      </c>
      <c r="P71" s="14" t="s">
        <v>34</v>
      </c>
      <c r="Q71" s="15" t="s">
        <v>183</v>
      </c>
      <c r="R71" s="12"/>
      <c r="S71" s="17" t="b">
        <v>0</v>
      </c>
      <c r="T71" s="17" t="b">
        <v>0</v>
      </c>
      <c r="U71" s="17" t="b">
        <v>0</v>
      </c>
      <c r="V71" s="17" t="b">
        <v>0</v>
      </c>
      <c r="W71" s="17" t="b">
        <v>0</v>
      </c>
    </row>
    <row r="72">
      <c r="A72" s="7" t="s">
        <v>23</v>
      </c>
      <c r="B72" s="12" t="s">
        <v>24</v>
      </c>
      <c r="C72" s="15">
        <v>2.0</v>
      </c>
      <c r="D72" s="14">
        <v>2016.0</v>
      </c>
      <c r="E72" s="15" t="s">
        <v>84</v>
      </c>
      <c r="F72" s="19" t="s">
        <v>184</v>
      </c>
      <c r="G72" s="12" t="s">
        <v>27</v>
      </c>
      <c r="H72" s="12" t="s">
        <v>28</v>
      </c>
      <c r="I72" s="12" t="s">
        <v>29</v>
      </c>
      <c r="J72" s="12" t="s">
        <v>30</v>
      </c>
      <c r="K72" s="26" t="s">
        <v>31</v>
      </c>
      <c r="L72" s="23"/>
      <c r="M72" s="15"/>
      <c r="N72" s="28">
        <v>180.0</v>
      </c>
      <c r="O72" s="15">
        <v>750.0</v>
      </c>
      <c r="P72" s="14" t="s">
        <v>34</v>
      </c>
      <c r="Q72" s="15" t="s">
        <v>183</v>
      </c>
      <c r="R72" s="15"/>
      <c r="S72" s="17" t="b">
        <v>0</v>
      </c>
      <c r="T72" s="17" t="b">
        <v>0</v>
      </c>
      <c r="U72" s="17" t="b">
        <v>0</v>
      </c>
      <c r="V72" s="17" t="b">
        <v>0</v>
      </c>
      <c r="W72" s="17" t="b">
        <v>0</v>
      </c>
    </row>
    <row r="73">
      <c r="A73" s="7" t="s">
        <v>23</v>
      </c>
      <c r="B73" s="12" t="s">
        <v>24</v>
      </c>
      <c r="C73" s="15">
        <v>1.0</v>
      </c>
      <c r="D73" s="14">
        <v>2016.0</v>
      </c>
      <c r="E73" s="15" t="s">
        <v>84</v>
      </c>
      <c r="F73" s="19" t="s">
        <v>222</v>
      </c>
      <c r="G73" s="12" t="s">
        <v>27</v>
      </c>
      <c r="H73" s="12" t="s">
        <v>28</v>
      </c>
      <c r="I73" s="12" t="s">
        <v>29</v>
      </c>
      <c r="J73" s="12" t="s">
        <v>30</v>
      </c>
      <c r="K73" s="26" t="s">
        <v>31</v>
      </c>
      <c r="L73" s="23"/>
      <c r="M73" s="15"/>
      <c r="N73" s="28">
        <v>165.0</v>
      </c>
      <c r="O73" s="15">
        <v>750.0</v>
      </c>
      <c r="P73" s="14" t="s">
        <v>34</v>
      </c>
      <c r="Q73" s="15" t="s">
        <v>183</v>
      </c>
      <c r="R73" s="15"/>
      <c r="S73" s="17" t="b">
        <v>0</v>
      </c>
      <c r="T73" s="17" t="b">
        <v>0</v>
      </c>
      <c r="U73" s="17" t="b">
        <v>0</v>
      </c>
      <c r="V73" s="17" t="b">
        <v>0</v>
      </c>
      <c r="W73" s="17" t="b">
        <v>0</v>
      </c>
    </row>
    <row r="74">
      <c r="A74" s="7" t="s">
        <v>23</v>
      </c>
      <c r="B74" s="8" t="s">
        <v>24</v>
      </c>
      <c r="C74" s="11">
        <v>1.0</v>
      </c>
      <c r="D74" s="10">
        <v>2016.0</v>
      </c>
      <c r="E74" s="11" t="s">
        <v>223</v>
      </c>
      <c r="F74" s="18" t="s">
        <v>144</v>
      </c>
      <c r="G74" s="8" t="s">
        <v>74</v>
      </c>
      <c r="H74" s="12" t="s">
        <v>41</v>
      </c>
      <c r="I74" s="12"/>
      <c r="J74" s="12" t="s">
        <v>146</v>
      </c>
      <c r="K74" s="8" t="s">
        <v>224</v>
      </c>
      <c r="L74" s="20"/>
      <c r="M74" s="17"/>
      <c r="N74" s="21">
        <v>150.0</v>
      </c>
      <c r="O74" s="11">
        <v>750.0</v>
      </c>
      <c r="P74" s="14" t="s">
        <v>34</v>
      </c>
      <c r="Q74" s="11" t="s">
        <v>43</v>
      </c>
      <c r="R74" s="12"/>
      <c r="S74" s="17" t="b">
        <v>0</v>
      </c>
      <c r="T74" s="17" t="b">
        <v>0</v>
      </c>
      <c r="U74" s="17" t="b">
        <v>0</v>
      </c>
      <c r="V74" s="17" t="b">
        <v>0</v>
      </c>
      <c r="W74" s="17" t="b">
        <v>0</v>
      </c>
    </row>
    <row r="75">
      <c r="A75" s="7" t="s">
        <v>23</v>
      </c>
      <c r="B75" s="12" t="s">
        <v>24</v>
      </c>
      <c r="C75" s="15">
        <v>1.0</v>
      </c>
      <c r="D75" s="14">
        <v>2016.0</v>
      </c>
      <c r="E75" s="15" t="s">
        <v>225</v>
      </c>
      <c r="F75" s="19" t="s">
        <v>226</v>
      </c>
      <c r="G75" s="12" t="s">
        <v>139</v>
      </c>
      <c r="H75" s="12" t="s">
        <v>41</v>
      </c>
      <c r="I75" s="12" t="s">
        <v>75</v>
      </c>
      <c r="J75" s="12" t="s">
        <v>227</v>
      </c>
      <c r="K75" s="26" t="s">
        <v>140</v>
      </c>
      <c r="L75" s="26" t="s">
        <v>228</v>
      </c>
      <c r="M75" s="17"/>
      <c r="N75" s="21">
        <v>140.0</v>
      </c>
      <c r="O75" s="15">
        <v>750.0</v>
      </c>
      <c r="P75" s="14" t="s">
        <v>34</v>
      </c>
      <c r="Q75" s="15" t="s">
        <v>35</v>
      </c>
      <c r="R75" s="12"/>
      <c r="S75" s="17" t="b">
        <v>0</v>
      </c>
      <c r="T75" s="17" t="b">
        <v>0</v>
      </c>
      <c r="U75" s="17" t="b">
        <v>0</v>
      </c>
      <c r="V75" s="17" t="b">
        <v>0</v>
      </c>
      <c r="W75" s="17" t="b">
        <v>0</v>
      </c>
    </row>
    <row r="76" hidden="1">
      <c r="A76" s="7" t="s">
        <v>23</v>
      </c>
      <c r="B76" s="12" t="s">
        <v>24</v>
      </c>
      <c r="C76" s="15">
        <v>1.0</v>
      </c>
      <c r="D76" s="14">
        <v>2016.0</v>
      </c>
      <c r="E76" s="15" t="s">
        <v>229</v>
      </c>
      <c r="F76" s="19" t="s">
        <v>230</v>
      </c>
      <c r="G76" s="12" t="s">
        <v>156</v>
      </c>
      <c r="H76" s="12" t="s">
        <v>28</v>
      </c>
      <c r="I76" s="12" t="s">
        <v>29</v>
      </c>
      <c r="J76" s="12" t="s">
        <v>30</v>
      </c>
      <c r="K76" s="23" t="s">
        <v>97</v>
      </c>
      <c r="L76" s="23" t="s">
        <v>130</v>
      </c>
      <c r="M76" s="15" t="s">
        <v>231</v>
      </c>
      <c r="N76" s="15">
        <v>125.0</v>
      </c>
      <c r="O76" s="15">
        <v>750.0</v>
      </c>
      <c r="P76" s="14" t="s">
        <v>34</v>
      </c>
      <c r="Q76" s="15" t="s">
        <v>204</v>
      </c>
      <c r="R76" s="15"/>
      <c r="S76" s="16" t="b">
        <v>1</v>
      </c>
      <c r="T76" s="17" t="b">
        <v>0</v>
      </c>
      <c r="U76" s="17" t="b">
        <v>0</v>
      </c>
      <c r="V76" s="17" t="b">
        <v>0</v>
      </c>
      <c r="W76" s="16" t="b">
        <v>0</v>
      </c>
    </row>
    <row r="77" ht="15.75" customHeight="1">
      <c r="A77" s="22" t="s">
        <v>153</v>
      </c>
      <c r="B77" s="15" t="s">
        <v>24</v>
      </c>
      <c r="C77" s="15">
        <v>1.0</v>
      </c>
      <c r="D77" s="14">
        <v>2016.0</v>
      </c>
      <c r="E77" s="15" t="s">
        <v>154</v>
      </c>
      <c r="F77" s="19" t="s">
        <v>232</v>
      </c>
      <c r="G77" s="15" t="s">
        <v>27</v>
      </c>
      <c r="H77" s="15" t="s">
        <v>28</v>
      </c>
      <c r="I77" s="15" t="s">
        <v>29</v>
      </c>
      <c r="J77" s="15" t="s">
        <v>30</v>
      </c>
      <c r="K77" s="23" t="s">
        <v>31</v>
      </c>
      <c r="L77" s="15"/>
      <c r="M77" s="25"/>
      <c r="N77" s="15">
        <v>100.0</v>
      </c>
      <c r="O77" s="15">
        <v>750.0</v>
      </c>
      <c r="P77" s="14" t="s">
        <v>34</v>
      </c>
      <c r="Q77" s="15" t="s">
        <v>180</v>
      </c>
      <c r="R77" s="15"/>
      <c r="S77" s="25" t="b">
        <v>0</v>
      </c>
      <c r="T77" s="25" t="b">
        <v>0</v>
      </c>
      <c r="U77" s="25" t="b">
        <v>0</v>
      </c>
      <c r="V77" s="24" t="b">
        <v>0</v>
      </c>
      <c r="W77" s="24" t="b">
        <v>1</v>
      </c>
    </row>
    <row r="78" hidden="1">
      <c r="A78" s="7" t="s">
        <v>23</v>
      </c>
      <c r="B78" s="12" t="s">
        <v>24</v>
      </c>
      <c r="C78" s="15">
        <v>1.0</v>
      </c>
      <c r="D78" s="14">
        <v>2016.0</v>
      </c>
      <c r="E78" s="15" t="s">
        <v>103</v>
      </c>
      <c r="F78" s="19" t="s">
        <v>233</v>
      </c>
      <c r="G78" s="12" t="s">
        <v>191</v>
      </c>
      <c r="H78" s="12" t="s">
        <v>28</v>
      </c>
      <c r="I78" s="12" t="s">
        <v>29</v>
      </c>
      <c r="J78" s="12" t="s">
        <v>30</v>
      </c>
      <c r="K78" s="20"/>
      <c r="L78" s="20"/>
      <c r="M78" s="17"/>
      <c r="N78" s="15">
        <v>85.0</v>
      </c>
      <c r="O78" s="15">
        <v>750.0</v>
      </c>
      <c r="P78" s="14" t="s">
        <v>105</v>
      </c>
      <c r="Q78" s="15" t="s">
        <v>193</v>
      </c>
      <c r="R78" s="12"/>
      <c r="S78" s="16" t="b">
        <v>1</v>
      </c>
      <c r="T78" s="17" t="b">
        <v>0</v>
      </c>
      <c r="U78" s="17" t="b">
        <v>0</v>
      </c>
      <c r="V78" s="17" t="b">
        <v>0</v>
      </c>
      <c r="W78" s="17" t="b">
        <v>0</v>
      </c>
    </row>
    <row r="79" hidden="1">
      <c r="A79" s="30" t="s">
        <v>23</v>
      </c>
      <c r="B79" s="31" t="s">
        <v>24</v>
      </c>
      <c r="C79" s="31">
        <v>1.0</v>
      </c>
      <c r="D79" s="32">
        <v>2016.0</v>
      </c>
      <c r="E79" s="31" t="s">
        <v>205</v>
      </c>
      <c r="F79" s="31" t="s">
        <v>234</v>
      </c>
      <c r="G79" s="31" t="s">
        <v>235</v>
      </c>
      <c r="H79" s="31" t="s">
        <v>28</v>
      </c>
      <c r="I79" s="31" t="s">
        <v>29</v>
      </c>
      <c r="J79" s="31" t="s">
        <v>30</v>
      </c>
      <c r="K79" s="34" t="s">
        <v>31</v>
      </c>
      <c r="L79" s="31" t="s">
        <v>182</v>
      </c>
      <c r="M79" s="36"/>
      <c r="N79" s="31">
        <v>50.0</v>
      </c>
      <c r="O79" s="31">
        <v>750.0</v>
      </c>
      <c r="P79" s="32" t="s">
        <v>34</v>
      </c>
      <c r="Q79" s="31" t="s">
        <v>66</v>
      </c>
      <c r="R79" s="31"/>
      <c r="S79" s="37" t="b">
        <v>1</v>
      </c>
      <c r="T79" s="37" t="b">
        <v>1</v>
      </c>
      <c r="U79" s="36" t="b">
        <v>0</v>
      </c>
      <c r="V79" s="37" t="b">
        <v>1</v>
      </c>
      <c r="W79" s="37" t="b">
        <v>0</v>
      </c>
    </row>
    <row r="80" hidden="1">
      <c r="A80" s="7" t="s">
        <v>23</v>
      </c>
      <c r="B80" s="12" t="s">
        <v>24</v>
      </c>
      <c r="C80" s="11">
        <v>1.0</v>
      </c>
      <c r="D80" s="14">
        <v>2016.0</v>
      </c>
      <c r="E80" s="15" t="s">
        <v>56</v>
      </c>
      <c r="F80" s="19" t="s">
        <v>236</v>
      </c>
      <c r="G80" s="12" t="s">
        <v>191</v>
      </c>
      <c r="H80" s="12" t="s">
        <v>28</v>
      </c>
      <c r="I80" s="12" t="s">
        <v>237</v>
      </c>
      <c r="J80" s="17"/>
      <c r="K80" s="26" t="s">
        <v>238</v>
      </c>
      <c r="L80" s="20"/>
      <c r="M80" s="12" t="s">
        <v>239</v>
      </c>
      <c r="N80" s="15">
        <v>33.0</v>
      </c>
      <c r="O80" s="15">
        <v>750.0</v>
      </c>
      <c r="P80" s="14" t="s">
        <v>105</v>
      </c>
      <c r="Q80" s="15" t="s">
        <v>193</v>
      </c>
      <c r="R80" s="12"/>
      <c r="S80" s="16" t="b">
        <v>1</v>
      </c>
      <c r="T80" s="16" t="b">
        <v>0</v>
      </c>
      <c r="U80" s="17" t="b">
        <v>0</v>
      </c>
      <c r="V80" s="16" t="b">
        <v>0</v>
      </c>
      <c r="W80" s="16" t="b">
        <v>1</v>
      </c>
    </row>
    <row r="81">
      <c r="A81" s="7" t="s">
        <v>23</v>
      </c>
      <c r="B81" s="12" t="s">
        <v>24</v>
      </c>
      <c r="C81" s="15">
        <v>1.0</v>
      </c>
      <c r="D81" s="14">
        <v>2016.0</v>
      </c>
      <c r="E81" s="11" t="s">
        <v>122</v>
      </c>
      <c r="F81" s="15" t="s">
        <v>181</v>
      </c>
      <c r="G81" s="12" t="s">
        <v>27</v>
      </c>
      <c r="H81" s="12" t="s">
        <v>28</v>
      </c>
      <c r="I81" s="12" t="s">
        <v>29</v>
      </c>
      <c r="J81" s="12" t="s">
        <v>30</v>
      </c>
      <c r="K81" s="26" t="s">
        <v>31</v>
      </c>
      <c r="L81" s="26" t="s">
        <v>182</v>
      </c>
      <c r="M81" s="17"/>
      <c r="N81" s="28">
        <v>125.0</v>
      </c>
      <c r="O81" s="15">
        <v>750.0</v>
      </c>
      <c r="P81" s="14" t="s">
        <v>34</v>
      </c>
      <c r="Q81" s="15" t="s">
        <v>183</v>
      </c>
      <c r="R81" s="12"/>
      <c r="S81" s="17" t="b">
        <v>0</v>
      </c>
      <c r="T81" s="17" t="b">
        <v>0</v>
      </c>
      <c r="U81" s="17" t="b">
        <v>0</v>
      </c>
      <c r="V81" s="17" t="b">
        <v>0</v>
      </c>
      <c r="W81" s="17" t="b">
        <v>0</v>
      </c>
    </row>
    <row r="82">
      <c r="A82" s="7" t="s">
        <v>23</v>
      </c>
      <c r="B82" s="12" t="s">
        <v>24</v>
      </c>
      <c r="C82" s="12">
        <v>1.0</v>
      </c>
      <c r="D82" s="14">
        <v>2016.0</v>
      </c>
      <c r="E82" s="12" t="s">
        <v>240</v>
      </c>
      <c r="F82" s="12" t="s">
        <v>156</v>
      </c>
      <c r="G82" s="12" t="s">
        <v>156</v>
      </c>
      <c r="H82" s="12" t="s">
        <v>28</v>
      </c>
      <c r="I82" s="12" t="s">
        <v>29</v>
      </c>
      <c r="J82" s="12" t="s">
        <v>30</v>
      </c>
      <c r="K82" s="26" t="s">
        <v>31</v>
      </c>
      <c r="L82" s="26" t="s">
        <v>241</v>
      </c>
      <c r="M82" s="17"/>
      <c r="N82" s="47">
        <v>120.0</v>
      </c>
      <c r="O82" s="12">
        <v>1500.0</v>
      </c>
      <c r="P82" s="14" t="s">
        <v>53</v>
      </c>
      <c r="Q82" s="15" t="s">
        <v>62</v>
      </c>
      <c r="R82" s="12"/>
      <c r="S82" s="17" t="b">
        <v>0</v>
      </c>
      <c r="T82" s="17" t="b">
        <v>0</v>
      </c>
      <c r="U82" s="17" t="b">
        <v>0</v>
      </c>
      <c r="V82" s="17" t="b">
        <v>0</v>
      </c>
      <c r="W82" s="17" t="b">
        <v>0</v>
      </c>
    </row>
    <row r="83">
      <c r="A83" s="7" t="s">
        <v>23</v>
      </c>
      <c r="B83" s="12" t="s">
        <v>24</v>
      </c>
      <c r="C83" s="15">
        <v>2.0</v>
      </c>
      <c r="D83" s="14">
        <v>2016.0</v>
      </c>
      <c r="E83" s="15" t="s">
        <v>163</v>
      </c>
      <c r="F83" s="19" t="s">
        <v>164</v>
      </c>
      <c r="G83" s="12" t="s">
        <v>74</v>
      </c>
      <c r="H83" s="12" t="s">
        <v>28</v>
      </c>
      <c r="I83" s="12" t="s">
        <v>58</v>
      </c>
      <c r="J83" s="12" t="s">
        <v>59</v>
      </c>
      <c r="K83" s="26" t="s">
        <v>165</v>
      </c>
      <c r="L83" s="26" t="s">
        <v>165</v>
      </c>
      <c r="M83" s="12" t="s">
        <v>166</v>
      </c>
      <c r="N83" s="28">
        <v>110.0</v>
      </c>
      <c r="O83" s="15">
        <v>750.0</v>
      </c>
      <c r="P83" s="14" t="s">
        <v>34</v>
      </c>
      <c r="Q83" s="15" t="s">
        <v>167</v>
      </c>
      <c r="R83" s="12"/>
      <c r="S83" s="17" t="b">
        <v>0</v>
      </c>
      <c r="T83" s="17" t="b">
        <v>0</v>
      </c>
      <c r="U83" s="17" t="b">
        <v>0</v>
      </c>
      <c r="V83" s="17" t="b">
        <v>0</v>
      </c>
      <c r="W83" s="17" t="b">
        <v>0</v>
      </c>
    </row>
    <row r="84" hidden="1">
      <c r="A84" s="7" t="s">
        <v>23</v>
      </c>
      <c r="B84" s="8" t="s">
        <v>24</v>
      </c>
      <c r="C84" s="11">
        <v>1.0</v>
      </c>
      <c r="D84" s="10">
        <v>2014.0</v>
      </c>
      <c r="E84" s="11" t="s">
        <v>80</v>
      </c>
      <c r="F84" s="18" t="s">
        <v>242</v>
      </c>
      <c r="G84" s="8" t="s">
        <v>40</v>
      </c>
      <c r="H84" s="8" t="s">
        <v>82</v>
      </c>
      <c r="I84" s="12"/>
      <c r="J84" s="8" t="s">
        <v>83</v>
      </c>
      <c r="K84" s="8"/>
      <c r="L84" s="17"/>
      <c r="M84" s="17"/>
      <c r="N84" s="11">
        <v>121.0</v>
      </c>
      <c r="O84" s="11">
        <v>750.0</v>
      </c>
      <c r="P84" s="14" t="s">
        <v>34</v>
      </c>
      <c r="Q84" s="11"/>
      <c r="R84" s="12"/>
      <c r="S84" s="16" t="b">
        <v>1</v>
      </c>
      <c r="T84" s="17" t="b">
        <v>0</v>
      </c>
      <c r="U84" s="17" t="b">
        <v>0</v>
      </c>
      <c r="V84" s="17" t="b">
        <v>0</v>
      </c>
      <c r="W84" s="17" t="b">
        <v>0</v>
      </c>
    </row>
    <row r="85" hidden="1">
      <c r="A85" s="30" t="s">
        <v>153</v>
      </c>
      <c r="B85" s="31" t="s">
        <v>24</v>
      </c>
      <c r="C85" s="31">
        <v>1.0</v>
      </c>
      <c r="D85" s="32">
        <v>2017.0</v>
      </c>
      <c r="E85" s="31" t="s">
        <v>243</v>
      </c>
      <c r="F85" s="33" t="s">
        <v>244</v>
      </c>
      <c r="G85" s="31" t="s">
        <v>74</v>
      </c>
      <c r="H85" s="31" t="s">
        <v>28</v>
      </c>
      <c r="I85" s="31" t="s">
        <v>29</v>
      </c>
      <c r="J85" s="31" t="s">
        <v>30</v>
      </c>
      <c r="K85" s="34" t="s">
        <v>31</v>
      </c>
      <c r="L85" s="31"/>
      <c r="M85" s="36"/>
      <c r="N85" s="31">
        <v>170.0</v>
      </c>
      <c r="O85" s="31">
        <v>750.0</v>
      </c>
      <c r="P85" s="32" t="s">
        <v>34</v>
      </c>
      <c r="Q85" s="31" t="s">
        <v>204</v>
      </c>
      <c r="R85" s="31"/>
      <c r="S85" s="37" t="b">
        <v>1</v>
      </c>
      <c r="T85" s="37" t="b">
        <v>1</v>
      </c>
      <c r="U85" s="37" t="b">
        <v>1</v>
      </c>
      <c r="V85" s="37" t="b">
        <v>1</v>
      </c>
      <c r="W85" s="37" t="b">
        <v>0</v>
      </c>
    </row>
    <row r="86">
      <c r="A86" s="7" t="s">
        <v>23</v>
      </c>
      <c r="B86" s="12" t="s">
        <v>24</v>
      </c>
      <c r="C86" s="15">
        <v>1.0</v>
      </c>
      <c r="D86" s="14">
        <v>2016.0</v>
      </c>
      <c r="E86" s="15" t="s">
        <v>163</v>
      </c>
      <c r="F86" s="19" t="s">
        <v>164</v>
      </c>
      <c r="G86" s="12" t="s">
        <v>74</v>
      </c>
      <c r="H86" s="12" t="s">
        <v>28</v>
      </c>
      <c r="I86" s="12" t="s">
        <v>58</v>
      </c>
      <c r="J86" s="12" t="s">
        <v>59</v>
      </c>
      <c r="K86" s="26" t="s">
        <v>165</v>
      </c>
      <c r="L86" s="26" t="s">
        <v>165</v>
      </c>
      <c r="M86" s="12" t="s">
        <v>166</v>
      </c>
      <c r="N86" s="28">
        <v>110.0</v>
      </c>
      <c r="O86" s="15">
        <v>750.0</v>
      </c>
      <c r="P86" s="14" t="s">
        <v>34</v>
      </c>
      <c r="Q86" s="15" t="s">
        <v>62</v>
      </c>
      <c r="R86" s="12"/>
      <c r="S86" s="17" t="b">
        <v>0</v>
      </c>
      <c r="T86" s="17" t="b">
        <v>0</v>
      </c>
      <c r="U86" s="16" t="b">
        <v>0</v>
      </c>
      <c r="V86" s="16" t="b">
        <v>0</v>
      </c>
      <c r="W86" s="16" t="b">
        <v>0</v>
      </c>
    </row>
    <row r="87" hidden="1">
      <c r="A87" s="7" t="s">
        <v>23</v>
      </c>
      <c r="B87" s="12" t="s">
        <v>24</v>
      </c>
      <c r="C87" s="15">
        <v>1.0</v>
      </c>
      <c r="D87" s="14">
        <v>2016.0</v>
      </c>
      <c r="E87" s="15" t="s">
        <v>84</v>
      </c>
      <c r="F87" s="19" t="s">
        <v>201</v>
      </c>
      <c r="G87" s="12" t="s">
        <v>27</v>
      </c>
      <c r="H87" s="12" t="s">
        <v>28</v>
      </c>
      <c r="I87" s="12" t="s">
        <v>29</v>
      </c>
      <c r="J87" s="12" t="s">
        <v>30</v>
      </c>
      <c r="K87" s="23" t="s">
        <v>31</v>
      </c>
      <c r="L87" s="26" t="s">
        <v>75</v>
      </c>
      <c r="M87" s="17"/>
      <c r="N87" s="15">
        <v>80.0</v>
      </c>
      <c r="O87" s="15">
        <v>750.0</v>
      </c>
      <c r="P87" s="14" t="s">
        <v>34</v>
      </c>
      <c r="Q87" s="15" t="s">
        <v>66</v>
      </c>
      <c r="R87" s="12"/>
      <c r="S87" s="16" t="b">
        <v>1</v>
      </c>
      <c r="T87" s="17" t="b">
        <v>0</v>
      </c>
      <c r="U87" s="17" t="b">
        <v>0</v>
      </c>
      <c r="V87" s="17" t="b">
        <v>0</v>
      </c>
      <c r="W87" s="17" t="b">
        <v>0</v>
      </c>
    </row>
    <row r="88" ht="15.75" hidden="1" customHeight="1">
      <c r="A88" s="30" t="s">
        <v>23</v>
      </c>
      <c r="B88" s="31" t="s">
        <v>24</v>
      </c>
      <c r="C88" s="31">
        <v>2.0</v>
      </c>
      <c r="D88" s="32">
        <v>2016.0</v>
      </c>
      <c r="E88" s="31" t="s">
        <v>229</v>
      </c>
      <c r="F88" s="33" t="s">
        <v>245</v>
      </c>
      <c r="G88" s="31" t="s">
        <v>27</v>
      </c>
      <c r="H88" s="31" t="s">
        <v>28</v>
      </c>
      <c r="I88" s="31" t="s">
        <v>29</v>
      </c>
      <c r="J88" s="31" t="s">
        <v>30</v>
      </c>
      <c r="K88" s="34" t="s">
        <v>31</v>
      </c>
      <c r="L88" s="31" t="s">
        <v>221</v>
      </c>
      <c r="M88" s="31"/>
      <c r="N88" s="31">
        <v>150.0</v>
      </c>
      <c r="O88" s="31">
        <v>750.0</v>
      </c>
      <c r="P88" s="32" t="s">
        <v>34</v>
      </c>
      <c r="Q88" s="31" t="s">
        <v>204</v>
      </c>
      <c r="R88" s="31"/>
      <c r="S88" s="37" t="b">
        <v>1</v>
      </c>
      <c r="T88" s="36" t="b">
        <v>0</v>
      </c>
      <c r="U88" s="36" t="b">
        <v>0</v>
      </c>
      <c r="V88" s="37" t="b">
        <v>1</v>
      </c>
      <c r="W88" s="37" t="b">
        <v>0</v>
      </c>
    </row>
    <row r="89">
      <c r="A89" s="7" t="s">
        <v>23</v>
      </c>
      <c r="B89" s="12" t="s">
        <v>24</v>
      </c>
      <c r="C89" s="41">
        <v>1.0</v>
      </c>
      <c r="D89" s="14">
        <v>2016.0</v>
      </c>
      <c r="E89" s="15" t="s">
        <v>246</v>
      </c>
      <c r="F89" s="19" t="s">
        <v>247</v>
      </c>
      <c r="G89" s="12" t="s">
        <v>129</v>
      </c>
      <c r="H89" s="12" t="s">
        <v>28</v>
      </c>
      <c r="I89" s="12" t="s">
        <v>29</v>
      </c>
      <c r="J89" s="12" t="s">
        <v>212</v>
      </c>
      <c r="K89" s="26" t="s">
        <v>248</v>
      </c>
      <c r="L89" s="20"/>
      <c r="M89" s="12" t="s">
        <v>249</v>
      </c>
      <c r="N89" s="28">
        <v>110.0</v>
      </c>
      <c r="O89" s="15">
        <v>750.0</v>
      </c>
      <c r="P89" s="14" t="s">
        <v>34</v>
      </c>
      <c r="Q89" s="15" t="s">
        <v>180</v>
      </c>
      <c r="R89" s="12"/>
      <c r="S89" s="17" t="b">
        <v>0</v>
      </c>
      <c r="T89" s="17" t="b">
        <v>0</v>
      </c>
      <c r="U89" s="17" t="b">
        <v>0</v>
      </c>
      <c r="V89" s="17" t="b">
        <v>0</v>
      </c>
      <c r="W89" s="17" t="b">
        <v>0</v>
      </c>
    </row>
    <row r="90" hidden="1">
      <c r="A90" s="22" t="s">
        <v>23</v>
      </c>
      <c r="B90" s="15" t="s">
        <v>24</v>
      </c>
      <c r="C90" s="15">
        <v>1.0</v>
      </c>
      <c r="D90" s="14">
        <v>2015.0</v>
      </c>
      <c r="E90" s="15" t="s">
        <v>84</v>
      </c>
      <c r="F90" s="19">
        <v>1873.0</v>
      </c>
      <c r="G90" s="15" t="s">
        <v>27</v>
      </c>
      <c r="H90" s="15" t="s">
        <v>28</v>
      </c>
      <c r="I90" s="15" t="s">
        <v>29</v>
      </c>
      <c r="J90" s="15" t="s">
        <v>30</v>
      </c>
      <c r="K90" s="23" t="s">
        <v>31</v>
      </c>
      <c r="L90" s="25"/>
      <c r="M90" s="25"/>
      <c r="N90" s="15">
        <v>85.0</v>
      </c>
      <c r="O90" s="15">
        <v>750.0</v>
      </c>
      <c r="P90" s="14" t="s">
        <v>34</v>
      </c>
      <c r="Q90" s="15" t="s">
        <v>98</v>
      </c>
      <c r="R90" s="15"/>
      <c r="S90" s="24" t="b">
        <v>1</v>
      </c>
      <c r="T90" s="24" t="b">
        <v>1</v>
      </c>
      <c r="U90" s="25" t="b">
        <v>0</v>
      </c>
      <c r="V90" s="25" t="b">
        <v>0</v>
      </c>
      <c r="W90" s="25" t="b">
        <v>0</v>
      </c>
    </row>
    <row r="91" hidden="1">
      <c r="A91" s="7" t="s">
        <v>23</v>
      </c>
      <c r="B91" s="12" t="s">
        <v>44</v>
      </c>
      <c r="C91" s="15">
        <v>1.0</v>
      </c>
      <c r="D91" s="14">
        <v>2016.0</v>
      </c>
      <c r="E91" s="15" t="s">
        <v>189</v>
      </c>
      <c r="F91" s="19" t="s">
        <v>250</v>
      </c>
      <c r="G91" s="12" t="s">
        <v>40</v>
      </c>
      <c r="H91" s="12" t="s">
        <v>28</v>
      </c>
      <c r="I91" s="12" t="s">
        <v>29</v>
      </c>
      <c r="J91" s="12" t="s">
        <v>30</v>
      </c>
      <c r="K91" s="20"/>
      <c r="L91" s="17"/>
      <c r="M91" s="17"/>
      <c r="N91" s="15">
        <v>65.0</v>
      </c>
      <c r="O91" s="15">
        <v>750.0</v>
      </c>
      <c r="P91" s="14" t="s">
        <v>47</v>
      </c>
      <c r="Q91" s="15" t="s">
        <v>48</v>
      </c>
      <c r="R91" s="12"/>
      <c r="S91" s="16" t="b">
        <v>1</v>
      </c>
      <c r="T91" s="16" t="b">
        <v>1</v>
      </c>
      <c r="U91" s="16" t="b">
        <v>0</v>
      </c>
      <c r="V91" s="16" t="b">
        <v>0</v>
      </c>
      <c r="W91" s="16" t="b">
        <v>0</v>
      </c>
    </row>
    <row r="92" hidden="1">
      <c r="A92" s="22" t="s">
        <v>23</v>
      </c>
      <c r="B92" s="15" t="s">
        <v>24</v>
      </c>
      <c r="C92" s="11">
        <v>2.0</v>
      </c>
      <c r="D92" s="14">
        <v>2016.0</v>
      </c>
      <c r="E92" s="11" t="s">
        <v>122</v>
      </c>
      <c r="F92" s="19" t="s">
        <v>206</v>
      </c>
      <c r="G92" s="15" t="s">
        <v>74</v>
      </c>
      <c r="H92" s="15" t="s">
        <v>28</v>
      </c>
      <c r="I92" s="15" t="s">
        <v>29</v>
      </c>
      <c r="J92" s="15" t="s">
        <v>30</v>
      </c>
      <c r="K92" s="23" t="s">
        <v>31</v>
      </c>
      <c r="L92" s="23" t="s">
        <v>207</v>
      </c>
      <c r="M92" s="15" t="s">
        <v>251</v>
      </c>
      <c r="N92" s="15">
        <v>100.0</v>
      </c>
      <c r="O92" s="15">
        <v>750.0</v>
      </c>
      <c r="P92" s="14" t="s">
        <v>34</v>
      </c>
      <c r="Q92" s="15" t="s">
        <v>183</v>
      </c>
      <c r="R92" s="15"/>
      <c r="S92" s="24" t="b">
        <v>1</v>
      </c>
      <c r="T92" s="24" t="b">
        <v>1</v>
      </c>
      <c r="U92" s="25" t="b">
        <v>0</v>
      </c>
      <c r="V92" s="24" t="b">
        <v>1</v>
      </c>
      <c r="W92" s="24" t="b">
        <v>1</v>
      </c>
    </row>
    <row r="93" ht="15.75" hidden="1" customHeight="1">
      <c r="A93" s="30" t="s">
        <v>23</v>
      </c>
      <c r="B93" s="31" t="s">
        <v>24</v>
      </c>
      <c r="C93" s="31">
        <v>1.0</v>
      </c>
      <c r="D93" s="32">
        <v>2017.0</v>
      </c>
      <c r="E93" s="31" t="s">
        <v>229</v>
      </c>
      <c r="F93" s="33" t="s">
        <v>252</v>
      </c>
      <c r="G93" s="31" t="s">
        <v>139</v>
      </c>
      <c r="H93" s="31" t="s">
        <v>28</v>
      </c>
      <c r="I93" s="31" t="s">
        <v>29</v>
      </c>
      <c r="J93" s="31" t="s">
        <v>30</v>
      </c>
      <c r="K93" s="34" t="s">
        <v>97</v>
      </c>
      <c r="L93" s="31" t="s">
        <v>253</v>
      </c>
      <c r="M93" s="31"/>
      <c r="N93" s="31">
        <v>95.0</v>
      </c>
      <c r="O93" s="31">
        <v>750.0</v>
      </c>
      <c r="P93" s="32" t="s">
        <v>34</v>
      </c>
      <c r="Q93" s="31" t="s">
        <v>35</v>
      </c>
      <c r="R93" s="31"/>
      <c r="S93" s="37" t="b">
        <v>1</v>
      </c>
      <c r="T93" s="37" t="b">
        <v>1</v>
      </c>
      <c r="U93" s="37" t="b">
        <v>1</v>
      </c>
      <c r="V93" s="37" t="b">
        <v>1</v>
      </c>
      <c r="W93" s="37" t="b">
        <v>0</v>
      </c>
    </row>
    <row r="94" ht="15.75" customHeight="1">
      <c r="A94" s="7" t="s">
        <v>23</v>
      </c>
      <c r="B94" s="12" t="s">
        <v>24</v>
      </c>
      <c r="C94" s="41">
        <v>1.0</v>
      </c>
      <c r="D94" s="14">
        <v>2016.0</v>
      </c>
      <c r="E94" s="15" t="s">
        <v>254</v>
      </c>
      <c r="F94" s="19" t="s">
        <v>255</v>
      </c>
      <c r="G94" s="12" t="s">
        <v>129</v>
      </c>
      <c r="H94" s="12" t="s">
        <v>28</v>
      </c>
      <c r="I94" s="12" t="s">
        <v>237</v>
      </c>
      <c r="J94" s="12" t="s">
        <v>59</v>
      </c>
      <c r="K94" s="26" t="s">
        <v>256</v>
      </c>
      <c r="L94" s="26" t="s">
        <v>257</v>
      </c>
      <c r="M94" s="12" t="s">
        <v>255</v>
      </c>
      <c r="N94" s="28">
        <v>97.0</v>
      </c>
      <c r="O94" s="15">
        <v>750.0</v>
      </c>
      <c r="P94" s="14" t="s">
        <v>34</v>
      </c>
      <c r="Q94" s="15" t="s">
        <v>35</v>
      </c>
      <c r="R94" s="12"/>
      <c r="S94" s="17" t="b">
        <v>0</v>
      </c>
      <c r="T94" s="17" t="b">
        <v>0</v>
      </c>
      <c r="U94" s="17" t="b">
        <v>0</v>
      </c>
      <c r="V94" s="17" t="b">
        <v>0</v>
      </c>
      <c r="W94" s="17" t="b">
        <v>0</v>
      </c>
    </row>
    <row r="95" ht="15.75" customHeight="1">
      <c r="A95" s="7" t="s">
        <v>23</v>
      </c>
      <c r="B95" s="8" t="s">
        <v>24</v>
      </c>
      <c r="C95" s="11">
        <v>2.0</v>
      </c>
      <c r="D95" s="10">
        <v>2016.0</v>
      </c>
      <c r="E95" s="11" t="s">
        <v>258</v>
      </c>
      <c r="F95" s="18" t="s">
        <v>259</v>
      </c>
      <c r="G95" s="8" t="s">
        <v>40</v>
      </c>
      <c r="H95" s="8" t="s">
        <v>82</v>
      </c>
      <c r="I95" s="12"/>
      <c r="J95" s="8" t="s">
        <v>218</v>
      </c>
      <c r="K95" s="8" t="s">
        <v>219</v>
      </c>
      <c r="L95" s="20"/>
      <c r="M95" s="17"/>
      <c r="N95" s="21">
        <v>90.0</v>
      </c>
      <c r="O95" s="11">
        <v>750.0</v>
      </c>
      <c r="P95" s="14" t="s">
        <v>34</v>
      </c>
      <c r="Q95" s="11" t="s">
        <v>43</v>
      </c>
      <c r="R95" s="12"/>
      <c r="S95" s="17" t="b">
        <v>0</v>
      </c>
      <c r="T95" s="17" t="b">
        <v>0</v>
      </c>
      <c r="U95" s="17" t="b">
        <v>0</v>
      </c>
      <c r="V95" s="17" t="b">
        <v>0</v>
      </c>
      <c r="W95" s="17" t="b">
        <v>0</v>
      </c>
    </row>
    <row r="96">
      <c r="A96" s="7" t="s">
        <v>23</v>
      </c>
      <c r="B96" s="8" t="s">
        <v>24</v>
      </c>
      <c r="C96" s="11">
        <v>1.0</v>
      </c>
      <c r="D96" s="10">
        <v>2016.0</v>
      </c>
      <c r="E96" s="11" t="s">
        <v>118</v>
      </c>
      <c r="F96" s="18" t="s">
        <v>119</v>
      </c>
      <c r="G96" s="12" t="s">
        <v>89</v>
      </c>
      <c r="H96" s="8" t="s">
        <v>82</v>
      </c>
      <c r="I96" s="12"/>
      <c r="J96" s="12" t="s">
        <v>90</v>
      </c>
      <c r="K96" s="26" t="s">
        <v>91</v>
      </c>
      <c r="L96" s="26" t="s">
        <v>92</v>
      </c>
      <c r="M96" s="12" t="s">
        <v>93</v>
      </c>
      <c r="N96" s="21">
        <v>90.0</v>
      </c>
      <c r="O96" s="11">
        <v>750.0</v>
      </c>
      <c r="P96" s="14" t="s">
        <v>34</v>
      </c>
      <c r="Q96" s="11"/>
      <c r="R96" s="12"/>
      <c r="S96" s="17" t="b">
        <v>0</v>
      </c>
      <c r="T96" s="17" t="b">
        <v>0</v>
      </c>
      <c r="U96" s="16" t="b">
        <v>1</v>
      </c>
      <c r="V96" s="17" t="b">
        <v>0</v>
      </c>
      <c r="W96" s="17" t="b">
        <v>0</v>
      </c>
    </row>
    <row r="97">
      <c r="A97" s="7" t="s">
        <v>23</v>
      </c>
      <c r="B97" s="8" t="s">
        <v>24</v>
      </c>
      <c r="C97" s="11">
        <v>2.0</v>
      </c>
      <c r="D97" s="10">
        <v>2016.0</v>
      </c>
      <c r="E97" s="11" t="s">
        <v>260</v>
      </c>
      <c r="F97" s="18" t="s">
        <v>261</v>
      </c>
      <c r="G97" s="8" t="s">
        <v>40</v>
      </c>
      <c r="H97" s="8" t="s">
        <v>82</v>
      </c>
      <c r="I97" s="12"/>
      <c r="J97" s="8" t="s">
        <v>90</v>
      </c>
      <c r="K97" s="8" t="s">
        <v>92</v>
      </c>
      <c r="L97" s="20"/>
      <c r="M97" s="18" t="s">
        <v>261</v>
      </c>
      <c r="N97" s="21">
        <v>88.0</v>
      </c>
      <c r="O97" s="11">
        <v>750.0</v>
      </c>
      <c r="P97" s="14" t="s">
        <v>34</v>
      </c>
      <c r="Q97" s="11" t="s">
        <v>43</v>
      </c>
      <c r="R97" s="12"/>
      <c r="S97" s="17" t="b">
        <v>0</v>
      </c>
      <c r="T97" s="17" t="b">
        <v>0</v>
      </c>
      <c r="U97" s="17" t="b">
        <v>0</v>
      </c>
      <c r="V97" s="17" t="b">
        <v>0</v>
      </c>
      <c r="W97" s="17" t="b">
        <v>0</v>
      </c>
    </row>
    <row r="98">
      <c r="A98" s="7" t="s">
        <v>23</v>
      </c>
      <c r="B98" s="12" t="s">
        <v>24</v>
      </c>
      <c r="C98" s="15">
        <v>1.0</v>
      </c>
      <c r="D98" s="14">
        <v>2016.0</v>
      </c>
      <c r="E98" s="15" t="s">
        <v>262</v>
      </c>
      <c r="F98" s="18" t="s">
        <v>263</v>
      </c>
      <c r="G98" s="12" t="s">
        <v>139</v>
      </c>
      <c r="H98" s="12" t="s">
        <v>41</v>
      </c>
      <c r="I98" s="12" t="s">
        <v>75</v>
      </c>
      <c r="J98" s="12" t="s">
        <v>227</v>
      </c>
      <c r="K98" s="18" t="s">
        <v>263</v>
      </c>
      <c r="L98" s="20"/>
      <c r="M98" s="17"/>
      <c r="N98" s="28">
        <v>80.0</v>
      </c>
      <c r="O98" s="15">
        <v>750.0</v>
      </c>
      <c r="P98" s="14" t="s">
        <v>34</v>
      </c>
      <c r="Q98" s="15" t="s">
        <v>161</v>
      </c>
      <c r="R98" s="12"/>
      <c r="S98" s="17" t="b">
        <v>0</v>
      </c>
      <c r="T98" s="17" t="b">
        <v>0</v>
      </c>
      <c r="U98" s="17" t="b">
        <v>0</v>
      </c>
      <c r="V98" s="17" t="b">
        <v>0</v>
      </c>
      <c r="W98" s="17" t="b">
        <v>0</v>
      </c>
    </row>
    <row r="99">
      <c r="A99" s="7" t="s">
        <v>23</v>
      </c>
      <c r="B99" s="12" t="s">
        <v>24</v>
      </c>
      <c r="C99" s="15">
        <v>1.0</v>
      </c>
      <c r="D99" s="14">
        <v>2016.0</v>
      </c>
      <c r="E99" s="15" t="s">
        <v>264</v>
      </c>
      <c r="F99" s="19" t="s">
        <v>119</v>
      </c>
      <c r="G99" s="12" t="s">
        <v>89</v>
      </c>
      <c r="H99" s="12" t="s">
        <v>82</v>
      </c>
      <c r="I99" s="12" t="s">
        <v>75</v>
      </c>
      <c r="J99" s="12" t="s">
        <v>90</v>
      </c>
      <c r="K99" s="8" t="s">
        <v>92</v>
      </c>
      <c r="L99" s="26" t="s">
        <v>91</v>
      </c>
      <c r="M99" s="18" t="s">
        <v>265</v>
      </c>
      <c r="N99" s="28">
        <v>80.0</v>
      </c>
      <c r="O99" s="15">
        <v>750.0</v>
      </c>
      <c r="P99" s="14" t="s">
        <v>34</v>
      </c>
      <c r="Q99" s="15" t="s">
        <v>35</v>
      </c>
      <c r="R99" s="12"/>
      <c r="S99" s="17" t="b">
        <v>0</v>
      </c>
      <c r="T99" s="17" t="b">
        <v>0</v>
      </c>
      <c r="U99" s="17" t="b">
        <v>0</v>
      </c>
      <c r="V99" s="17" t="b">
        <v>0</v>
      </c>
      <c r="W99" s="17" t="b">
        <v>0</v>
      </c>
    </row>
    <row r="100">
      <c r="A100" s="22" t="s">
        <v>23</v>
      </c>
      <c r="B100" s="15" t="s">
        <v>24</v>
      </c>
      <c r="C100" s="11">
        <v>2.0</v>
      </c>
      <c r="D100" s="14">
        <v>2016.0</v>
      </c>
      <c r="E100" s="15" t="s">
        <v>188</v>
      </c>
      <c r="F100" s="19" t="s">
        <v>178</v>
      </c>
      <c r="G100" s="15" t="s">
        <v>27</v>
      </c>
      <c r="H100" s="15" t="s">
        <v>28</v>
      </c>
      <c r="I100" s="15" t="s">
        <v>29</v>
      </c>
      <c r="J100" s="15" t="s">
        <v>30</v>
      </c>
      <c r="K100" s="23" t="s">
        <v>31</v>
      </c>
      <c r="L100" s="38"/>
      <c r="M100" s="15"/>
      <c r="N100" s="28">
        <v>80.0</v>
      </c>
      <c r="O100" s="15">
        <v>750.0</v>
      </c>
      <c r="P100" s="14" t="s">
        <v>34</v>
      </c>
      <c r="Q100" s="15" t="s">
        <v>183</v>
      </c>
      <c r="R100" s="15"/>
      <c r="S100" s="25" t="b">
        <v>0</v>
      </c>
      <c r="T100" s="25" t="b">
        <v>0</v>
      </c>
      <c r="U100" s="25" t="b">
        <v>0</v>
      </c>
      <c r="V100" s="24" t="b">
        <v>1</v>
      </c>
      <c r="W100" s="24" t="b">
        <v>1</v>
      </c>
    </row>
    <row r="101" ht="15.75" hidden="1" customHeight="1">
      <c r="A101" s="7" t="s">
        <v>23</v>
      </c>
      <c r="B101" s="12" t="s">
        <v>24</v>
      </c>
      <c r="C101" s="11">
        <v>1.0</v>
      </c>
      <c r="D101" s="10">
        <v>2016.0</v>
      </c>
      <c r="E101" s="15" t="s">
        <v>95</v>
      </c>
      <c r="F101" s="19" t="s">
        <v>96</v>
      </c>
      <c r="G101" s="12" t="s">
        <v>74</v>
      </c>
      <c r="H101" s="12" t="s">
        <v>28</v>
      </c>
      <c r="I101" s="12" t="s">
        <v>29</v>
      </c>
      <c r="J101" s="12" t="s">
        <v>30</v>
      </c>
      <c r="K101" s="23" t="s">
        <v>97</v>
      </c>
      <c r="L101" s="20"/>
      <c r="M101" s="17"/>
      <c r="N101" s="28">
        <v>75.0</v>
      </c>
      <c r="O101" s="15">
        <v>750.0</v>
      </c>
      <c r="P101" s="14" t="s">
        <v>34</v>
      </c>
      <c r="Q101" s="27" t="s">
        <v>78</v>
      </c>
      <c r="R101" s="12"/>
      <c r="S101" s="16" t="b">
        <v>1</v>
      </c>
      <c r="T101" s="16" t="b">
        <v>1</v>
      </c>
      <c r="U101" s="17" t="b">
        <v>0</v>
      </c>
      <c r="V101" s="16" t="b">
        <v>1</v>
      </c>
      <c r="W101" s="16" t="b">
        <v>1</v>
      </c>
    </row>
    <row r="102" ht="15.75" hidden="1" customHeight="1">
      <c r="A102" s="30" t="s">
        <v>23</v>
      </c>
      <c r="B102" s="31" t="s">
        <v>24</v>
      </c>
      <c r="C102" s="31">
        <v>1.0</v>
      </c>
      <c r="D102" s="32">
        <v>2016.0</v>
      </c>
      <c r="E102" s="31" t="s">
        <v>84</v>
      </c>
      <c r="F102" s="33" t="s">
        <v>266</v>
      </c>
      <c r="G102" s="31" t="s">
        <v>27</v>
      </c>
      <c r="H102" s="31" t="s">
        <v>28</v>
      </c>
      <c r="I102" s="31" t="s">
        <v>29</v>
      </c>
      <c r="J102" s="31" t="s">
        <v>30</v>
      </c>
      <c r="K102" s="34" t="s">
        <v>31</v>
      </c>
      <c r="L102" s="31"/>
      <c r="M102" s="31"/>
      <c r="N102" s="31">
        <v>70.0</v>
      </c>
      <c r="O102" s="31">
        <v>750.0</v>
      </c>
      <c r="P102" s="32" t="s">
        <v>34</v>
      </c>
      <c r="Q102" s="31" t="s">
        <v>204</v>
      </c>
      <c r="R102" s="31"/>
      <c r="S102" s="37" t="b">
        <v>1</v>
      </c>
      <c r="T102" s="36" t="b">
        <v>0</v>
      </c>
      <c r="U102" s="36" t="b">
        <v>0</v>
      </c>
      <c r="V102" s="37" t="b">
        <v>1</v>
      </c>
      <c r="W102" s="37" t="b">
        <v>0</v>
      </c>
    </row>
    <row r="103" ht="15.75" hidden="1" customHeight="1">
      <c r="A103" s="30" t="s">
        <v>23</v>
      </c>
      <c r="B103" s="31" t="s">
        <v>24</v>
      </c>
      <c r="C103" s="31">
        <v>1.0</v>
      </c>
      <c r="D103" s="32">
        <v>2016.0</v>
      </c>
      <c r="E103" s="31" t="s">
        <v>103</v>
      </c>
      <c r="F103" s="33" t="s">
        <v>267</v>
      </c>
      <c r="G103" s="31" t="s">
        <v>191</v>
      </c>
      <c r="H103" s="31" t="s">
        <v>28</v>
      </c>
      <c r="I103" s="31" t="s">
        <v>29</v>
      </c>
      <c r="J103" s="31" t="s">
        <v>30</v>
      </c>
      <c r="K103" s="34" t="s">
        <v>31</v>
      </c>
      <c r="L103" s="34" t="s">
        <v>268</v>
      </c>
      <c r="M103" s="36"/>
      <c r="N103" s="31">
        <v>60.0</v>
      </c>
      <c r="O103" s="31">
        <v>750.0</v>
      </c>
      <c r="P103" s="32" t="s">
        <v>105</v>
      </c>
      <c r="Q103" s="31" t="s">
        <v>193</v>
      </c>
      <c r="R103" s="31"/>
      <c r="S103" s="37" t="b">
        <v>1</v>
      </c>
      <c r="T103" s="37" t="b">
        <v>0</v>
      </c>
      <c r="U103" s="36" t="b">
        <v>0</v>
      </c>
      <c r="V103" s="37" t="b">
        <v>1</v>
      </c>
      <c r="W103" s="37" t="b">
        <v>1</v>
      </c>
    </row>
    <row r="104" hidden="1">
      <c r="A104" s="30" t="s">
        <v>23</v>
      </c>
      <c r="B104" s="31" t="s">
        <v>24</v>
      </c>
      <c r="C104" s="31">
        <v>1.0</v>
      </c>
      <c r="D104" s="32">
        <v>2013.0</v>
      </c>
      <c r="E104" s="31" t="s">
        <v>99</v>
      </c>
      <c r="F104" s="33" t="s">
        <v>269</v>
      </c>
      <c r="G104" s="31" t="s">
        <v>27</v>
      </c>
      <c r="H104" s="31" t="s">
        <v>28</v>
      </c>
      <c r="I104" s="31" t="s">
        <v>29</v>
      </c>
      <c r="J104" s="31" t="s">
        <v>30</v>
      </c>
      <c r="K104" s="34" t="s">
        <v>31</v>
      </c>
      <c r="L104" s="31"/>
      <c r="M104" s="31"/>
      <c r="N104" s="31">
        <v>85.0</v>
      </c>
      <c r="O104" s="31">
        <v>750.0</v>
      </c>
      <c r="P104" s="32" t="s">
        <v>105</v>
      </c>
      <c r="Q104" s="31" t="s">
        <v>86</v>
      </c>
      <c r="R104" s="31"/>
      <c r="S104" s="37" t="b">
        <v>1</v>
      </c>
      <c r="T104" s="36" t="b">
        <v>0</v>
      </c>
      <c r="U104" s="36" t="b">
        <v>0</v>
      </c>
      <c r="V104" s="37" t="b">
        <v>1</v>
      </c>
      <c r="W104" s="37" t="b">
        <v>0</v>
      </c>
    </row>
    <row r="105" hidden="1">
      <c r="A105" s="7" t="s">
        <v>23</v>
      </c>
      <c r="B105" s="12" t="s">
        <v>24</v>
      </c>
      <c r="C105" s="15">
        <v>1.0</v>
      </c>
      <c r="D105" s="14">
        <v>2016.0</v>
      </c>
      <c r="E105" s="15" t="s">
        <v>84</v>
      </c>
      <c r="F105" s="19" t="s">
        <v>270</v>
      </c>
      <c r="G105" s="12" t="s">
        <v>27</v>
      </c>
      <c r="H105" s="12" t="s">
        <v>28</v>
      </c>
      <c r="I105" s="12" t="s">
        <v>29</v>
      </c>
      <c r="J105" s="12" t="s">
        <v>30</v>
      </c>
      <c r="K105" s="23" t="s">
        <v>31</v>
      </c>
      <c r="L105" s="20"/>
      <c r="M105" s="17"/>
      <c r="N105" s="28">
        <v>70.0</v>
      </c>
      <c r="O105" s="15">
        <v>750.0</v>
      </c>
      <c r="P105" s="14" t="s">
        <v>34</v>
      </c>
      <c r="Q105" s="15" t="s">
        <v>204</v>
      </c>
      <c r="R105" s="12"/>
      <c r="S105" s="16" t="b">
        <v>1</v>
      </c>
      <c r="T105" s="16" t="b">
        <v>0</v>
      </c>
      <c r="U105" s="17" t="b">
        <v>0</v>
      </c>
      <c r="V105" s="17" t="b">
        <v>0</v>
      </c>
      <c r="W105" s="16" t="b">
        <v>1</v>
      </c>
    </row>
    <row r="106" hidden="1">
      <c r="A106" s="7" t="s">
        <v>23</v>
      </c>
      <c r="B106" s="12" t="s">
        <v>24</v>
      </c>
      <c r="C106" s="41">
        <v>1.0</v>
      </c>
      <c r="D106" s="14">
        <v>2016.0</v>
      </c>
      <c r="E106" s="15" t="s">
        <v>197</v>
      </c>
      <c r="F106" s="19" t="s">
        <v>271</v>
      </c>
      <c r="G106" s="12" t="s">
        <v>156</v>
      </c>
      <c r="H106" s="12" t="s">
        <v>28</v>
      </c>
      <c r="I106" s="12" t="s">
        <v>29</v>
      </c>
      <c r="J106" s="12" t="s">
        <v>30</v>
      </c>
      <c r="K106" s="26" t="s">
        <v>31</v>
      </c>
      <c r="L106" s="20"/>
      <c r="M106" s="12"/>
      <c r="N106" s="15">
        <v>50.0</v>
      </c>
      <c r="O106" s="15">
        <v>750.0</v>
      </c>
      <c r="P106" s="14" t="s">
        <v>34</v>
      </c>
      <c r="Q106" s="15" t="s">
        <v>66</v>
      </c>
      <c r="R106" s="12"/>
      <c r="S106" s="16" t="b">
        <v>1</v>
      </c>
      <c r="T106" s="17" t="b">
        <v>0</v>
      </c>
      <c r="U106" s="16" t="b">
        <v>1</v>
      </c>
      <c r="V106" s="16" t="b">
        <v>0</v>
      </c>
      <c r="W106" s="16" t="b">
        <v>1</v>
      </c>
    </row>
    <row r="107">
      <c r="A107" s="7" t="s">
        <v>23</v>
      </c>
      <c r="B107" s="8" t="s">
        <v>24</v>
      </c>
      <c r="C107" s="11">
        <v>1.0</v>
      </c>
      <c r="D107" s="10">
        <v>2016.0</v>
      </c>
      <c r="E107" s="11" t="s">
        <v>127</v>
      </c>
      <c r="F107" s="18" t="s">
        <v>272</v>
      </c>
      <c r="G107" s="8" t="s">
        <v>129</v>
      </c>
      <c r="H107" s="8" t="s">
        <v>28</v>
      </c>
      <c r="I107" s="8" t="s">
        <v>29</v>
      </c>
      <c r="J107" s="48" t="s">
        <v>30</v>
      </c>
      <c r="K107" s="8" t="s">
        <v>130</v>
      </c>
      <c r="L107" s="20"/>
      <c r="M107" s="18" t="s">
        <v>273</v>
      </c>
      <c r="N107" s="21">
        <v>60.0</v>
      </c>
      <c r="O107" s="11">
        <v>750.0</v>
      </c>
      <c r="P107" s="14" t="s">
        <v>34</v>
      </c>
      <c r="Q107" s="11" t="s">
        <v>43</v>
      </c>
      <c r="R107" s="12"/>
      <c r="S107" s="17" t="b">
        <v>0</v>
      </c>
      <c r="T107" s="17" t="b">
        <v>0</v>
      </c>
      <c r="U107" s="17" t="b">
        <v>0</v>
      </c>
      <c r="V107" s="17" t="b">
        <v>0</v>
      </c>
      <c r="W107" s="17" t="b">
        <v>0</v>
      </c>
    </row>
    <row r="108">
      <c r="A108" s="7" t="s">
        <v>23</v>
      </c>
      <c r="B108" s="12" t="s">
        <v>24</v>
      </c>
      <c r="C108" s="11">
        <v>1.0</v>
      </c>
      <c r="D108" s="14">
        <v>2016.0</v>
      </c>
      <c r="E108" s="15" t="s">
        <v>210</v>
      </c>
      <c r="F108" s="19" t="s">
        <v>274</v>
      </c>
      <c r="G108" s="12" t="s">
        <v>129</v>
      </c>
      <c r="H108" s="12" t="s">
        <v>28</v>
      </c>
      <c r="I108" s="12" t="s">
        <v>29</v>
      </c>
      <c r="J108" s="12" t="s">
        <v>30</v>
      </c>
      <c r="K108" s="26" t="s">
        <v>212</v>
      </c>
      <c r="L108" s="20"/>
      <c r="M108" s="12" t="s">
        <v>275</v>
      </c>
      <c r="N108" s="21">
        <v>55.0</v>
      </c>
      <c r="O108" s="15">
        <v>750.0</v>
      </c>
      <c r="P108" s="14" t="s">
        <v>34</v>
      </c>
      <c r="Q108" s="11" t="s">
        <v>78</v>
      </c>
      <c r="R108" s="12"/>
      <c r="S108" s="17" t="b">
        <v>0</v>
      </c>
      <c r="T108" s="16" t="b">
        <v>0</v>
      </c>
      <c r="U108" s="17" t="b">
        <v>0</v>
      </c>
      <c r="V108" s="17" t="b">
        <v>0</v>
      </c>
      <c r="W108" s="16" t="b">
        <v>1</v>
      </c>
    </row>
    <row r="109" ht="15.75" customHeight="1">
      <c r="A109" s="7" t="s">
        <v>23</v>
      </c>
      <c r="B109" s="12" t="s">
        <v>24</v>
      </c>
      <c r="C109" s="15">
        <v>1.0</v>
      </c>
      <c r="D109" s="14">
        <v>2016.0</v>
      </c>
      <c r="E109" s="11" t="s">
        <v>122</v>
      </c>
      <c r="F109" s="19" t="s">
        <v>214</v>
      </c>
      <c r="G109" s="12" t="s">
        <v>27</v>
      </c>
      <c r="H109" s="12" t="s">
        <v>28</v>
      </c>
      <c r="I109" s="12" t="s">
        <v>29</v>
      </c>
      <c r="J109" s="12" t="s">
        <v>30</v>
      </c>
      <c r="K109" s="23" t="s">
        <v>31</v>
      </c>
      <c r="L109" s="26" t="s">
        <v>75</v>
      </c>
      <c r="M109" s="17"/>
      <c r="N109" s="28">
        <v>55.0</v>
      </c>
      <c r="O109" s="15">
        <v>750.0</v>
      </c>
      <c r="P109" s="14" t="s">
        <v>34</v>
      </c>
      <c r="Q109" s="11" t="s">
        <v>183</v>
      </c>
      <c r="R109" s="12"/>
      <c r="S109" s="17" t="b">
        <v>0</v>
      </c>
      <c r="T109" s="17" t="b">
        <v>0</v>
      </c>
      <c r="U109" s="17" t="b">
        <v>0</v>
      </c>
      <c r="V109" s="17" t="b">
        <v>0</v>
      </c>
      <c r="W109" s="17" t="b">
        <v>0</v>
      </c>
    </row>
    <row r="110" ht="15.75" hidden="1" customHeight="1">
      <c r="A110" s="30" t="s">
        <v>23</v>
      </c>
      <c r="B110" s="31" t="s">
        <v>24</v>
      </c>
      <c r="C110" s="31">
        <v>1.0</v>
      </c>
      <c r="D110" s="32">
        <v>2016.0</v>
      </c>
      <c r="E110" s="31" t="s">
        <v>276</v>
      </c>
      <c r="F110" s="33" t="s">
        <v>277</v>
      </c>
      <c r="G110" s="31" t="s">
        <v>27</v>
      </c>
      <c r="H110" s="31" t="s">
        <v>28</v>
      </c>
      <c r="I110" s="31" t="s">
        <v>29</v>
      </c>
      <c r="J110" s="31" t="s">
        <v>30</v>
      </c>
      <c r="K110" s="34" t="s">
        <v>97</v>
      </c>
      <c r="L110" s="34"/>
      <c r="M110" s="36"/>
      <c r="N110" s="31">
        <v>50.0</v>
      </c>
      <c r="O110" s="31">
        <v>750.0</v>
      </c>
      <c r="P110" s="32" t="s">
        <v>105</v>
      </c>
      <c r="Q110" s="49" t="s">
        <v>125</v>
      </c>
      <c r="R110" s="31"/>
      <c r="S110" s="37" t="b">
        <v>1</v>
      </c>
      <c r="T110" s="37" t="b">
        <v>0</v>
      </c>
      <c r="U110" s="37" t="b">
        <v>0</v>
      </c>
      <c r="V110" s="37" t="b">
        <v>1</v>
      </c>
      <c r="W110" s="37" t="b">
        <v>0</v>
      </c>
    </row>
    <row r="111" hidden="1">
      <c r="A111" s="7" t="s">
        <v>23</v>
      </c>
      <c r="B111" s="8" t="s">
        <v>24</v>
      </c>
      <c r="C111" s="11">
        <v>1.0</v>
      </c>
      <c r="D111" s="10">
        <v>2007.0</v>
      </c>
      <c r="E111" s="11" t="s">
        <v>278</v>
      </c>
      <c r="F111" s="18" t="s">
        <v>196</v>
      </c>
      <c r="G111" s="8" t="s">
        <v>40</v>
      </c>
      <c r="H111" s="8" t="s">
        <v>82</v>
      </c>
      <c r="I111" s="8"/>
      <c r="J111" s="8" t="s">
        <v>90</v>
      </c>
      <c r="K111" s="8"/>
      <c r="L111" s="17"/>
      <c r="M111" s="18" t="s">
        <v>196</v>
      </c>
      <c r="N111" s="11">
        <v>58.0</v>
      </c>
      <c r="O111" s="11">
        <v>50.0</v>
      </c>
      <c r="P111" s="10" t="s">
        <v>47</v>
      </c>
      <c r="Q111" s="11" t="s">
        <v>43</v>
      </c>
      <c r="R111" s="8" t="s">
        <v>279</v>
      </c>
      <c r="S111" s="16" t="b">
        <v>1</v>
      </c>
      <c r="T111" s="16" t="b">
        <v>1</v>
      </c>
      <c r="U111" s="17" t="b">
        <v>0</v>
      </c>
      <c r="V111" s="17" t="b">
        <v>0</v>
      </c>
      <c r="W111" s="17" t="b">
        <v>0</v>
      </c>
    </row>
    <row r="112">
      <c r="A112" s="22" t="s">
        <v>23</v>
      </c>
      <c r="B112" s="15" t="s">
        <v>24</v>
      </c>
      <c r="C112" s="11">
        <v>1.0</v>
      </c>
      <c r="D112" s="14">
        <v>2016.0</v>
      </c>
      <c r="E112" s="11" t="s">
        <v>122</v>
      </c>
      <c r="F112" s="15" t="s">
        <v>280</v>
      </c>
      <c r="G112" s="15" t="s">
        <v>156</v>
      </c>
      <c r="H112" s="15" t="s">
        <v>28</v>
      </c>
      <c r="I112" s="15" t="s">
        <v>29</v>
      </c>
      <c r="J112" s="15" t="s">
        <v>30</v>
      </c>
      <c r="K112" s="23" t="s">
        <v>31</v>
      </c>
      <c r="L112" s="23" t="s">
        <v>281</v>
      </c>
      <c r="M112" s="25"/>
      <c r="N112" s="28">
        <v>50.0</v>
      </c>
      <c r="O112" s="15">
        <v>750.0</v>
      </c>
      <c r="P112" s="14" t="s">
        <v>34</v>
      </c>
      <c r="Q112" s="11" t="s">
        <v>204</v>
      </c>
      <c r="R112" s="15"/>
      <c r="S112" s="25" t="b">
        <v>0</v>
      </c>
      <c r="T112" s="24" t="b">
        <v>0</v>
      </c>
      <c r="U112" s="25" t="b">
        <v>0</v>
      </c>
      <c r="V112" s="24" t="b">
        <v>0</v>
      </c>
      <c r="W112" s="24" t="b">
        <v>1</v>
      </c>
    </row>
    <row r="113">
      <c r="A113" s="7" t="s">
        <v>153</v>
      </c>
      <c r="B113" s="12" t="s">
        <v>24</v>
      </c>
      <c r="C113" s="15">
        <v>1.0</v>
      </c>
      <c r="D113" s="14">
        <v>2016.0</v>
      </c>
      <c r="E113" s="15" t="s">
        <v>282</v>
      </c>
      <c r="F113" s="19" t="s">
        <v>283</v>
      </c>
      <c r="G113" s="12" t="s">
        <v>27</v>
      </c>
      <c r="H113" s="12" t="s">
        <v>28</v>
      </c>
      <c r="I113" s="12" t="s">
        <v>29</v>
      </c>
      <c r="J113" s="12" t="s">
        <v>30</v>
      </c>
      <c r="K113" s="20" t="s">
        <v>31</v>
      </c>
      <c r="L113" s="17"/>
      <c r="M113" s="17"/>
      <c r="N113" s="11">
        <v>100.0</v>
      </c>
      <c r="O113" s="15">
        <v>750.0</v>
      </c>
      <c r="P113" s="14" t="s">
        <v>105</v>
      </c>
      <c r="Q113" s="11" t="s">
        <v>284</v>
      </c>
      <c r="R113" s="12"/>
      <c r="S113" s="17" t="b">
        <v>0</v>
      </c>
      <c r="T113" s="17" t="b">
        <v>0</v>
      </c>
      <c r="U113" s="17" t="b">
        <v>0</v>
      </c>
      <c r="V113" s="17" t="b">
        <v>0</v>
      </c>
      <c r="W113" s="17" t="b">
        <v>0</v>
      </c>
    </row>
    <row r="114" hidden="1">
      <c r="A114" s="30" t="s">
        <v>23</v>
      </c>
      <c r="B114" s="31" t="s">
        <v>24</v>
      </c>
      <c r="C114" s="31">
        <v>1.0</v>
      </c>
      <c r="D114" s="32">
        <v>2012.0</v>
      </c>
      <c r="E114" s="31" t="s">
        <v>127</v>
      </c>
      <c r="F114" s="33" t="s">
        <v>285</v>
      </c>
      <c r="G114" s="31" t="s">
        <v>129</v>
      </c>
      <c r="H114" s="31" t="s">
        <v>28</v>
      </c>
      <c r="I114" s="31" t="s">
        <v>29</v>
      </c>
      <c r="J114" s="31" t="s">
        <v>212</v>
      </c>
      <c r="K114" s="34" t="s">
        <v>248</v>
      </c>
      <c r="L114" s="36"/>
      <c r="M114" s="31" t="s">
        <v>286</v>
      </c>
      <c r="N114" s="31">
        <v>40.0</v>
      </c>
      <c r="O114" s="31">
        <v>750.0</v>
      </c>
      <c r="P114" s="32" t="s">
        <v>47</v>
      </c>
      <c r="Q114" s="31" t="s">
        <v>213</v>
      </c>
      <c r="R114" s="31"/>
      <c r="S114" s="37" t="b">
        <v>1</v>
      </c>
      <c r="T114" s="37" t="b">
        <v>1</v>
      </c>
      <c r="U114" s="36" t="b">
        <v>0</v>
      </c>
      <c r="V114" s="37" t="b">
        <v>0</v>
      </c>
      <c r="W114" s="37" t="b">
        <v>0</v>
      </c>
    </row>
    <row r="115">
      <c r="A115" s="7" t="s">
        <v>23</v>
      </c>
      <c r="B115" s="12" t="s">
        <v>24</v>
      </c>
      <c r="C115" s="15">
        <v>1.0</v>
      </c>
      <c r="D115" s="14">
        <v>2016.0</v>
      </c>
      <c r="E115" s="15" t="s">
        <v>127</v>
      </c>
      <c r="F115" s="18" t="s">
        <v>131</v>
      </c>
      <c r="G115" s="12" t="s">
        <v>129</v>
      </c>
      <c r="H115" s="12" t="s">
        <v>28</v>
      </c>
      <c r="I115" s="12" t="s">
        <v>29</v>
      </c>
      <c r="J115" s="12" t="s">
        <v>30</v>
      </c>
      <c r="K115" s="26" t="s">
        <v>130</v>
      </c>
      <c r="L115" s="20"/>
      <c r="M115" s="12" t="s">
        <v>131</v>
      </c>
      <c r="N115" s="28">
        <v>50.0</v>
      </c>
      <c r="O115" s="15">
        <v>750.0</v>
      </c>
      <c r="P115" s="14" t="s">
        <v>34</v>
      </c>
      <c r="Q115" s="11" t="s">
        <v>78</v>
      </c>
      <c r="R115" s="12"/>
      <c r="S115" s="17" t="b">
        <v>0</v>
      </c>
      <c r="T115" s="17" t="b">
        <v>0</v>
      </c>
      <c r="U115" s="17" t="b">
        <v>0</v>
      </c>
      <c r="V115" s="17" t="b">
        <v>0</v>
      </c>
      <c r="W115" s="17" t="b">
        <v>0</v>
      </c>
    </row>
    <row r="116" hidden="1">
      <c r="A116" s="7" t="s">
        <v>23</v>
      </c>
      <c r="B116" s="8" t="s">
        <v>24</v>
      </c>
      <c r="C116" s="11">
        <v>1.0</v>
      </c>
      <c r="D116" s="10">
        <v>2011.0</v>
      </c>
      <c r="E116" s="11" t="s">
        <v>287</v>
      </c>
      <c r="F116" s="18" t="s">
        <v>288</v>
      </c>
      <c r="G116" s="8" t="s">
        <v>27</v>
      </c>
      <c r="H116" s="12" t="s">
        <v>28</v>
      </c>
      <c r="I116" s="12" t="s">
        <v>29</v>
      </c>
      <c r="J116" s="8" t="s">
        <v>30</v>
      </c>
      <c r="K116" s="8" t="s">
        <v>101</v>
      </c>
      <c r="L116" s="17"/>
      <c r="M116" s="17"/>
      <c r="N116" s="11">
        <v>171.0</v>
      </c>
      <c r="O116" s="11">
        <v>750.0</v>
      </c>
      <c r="P116" s="10" t="s">
        <v>34</v>
      </c>
      <c r="Q116" s="11" t="s">
        <v>71</v>
      </c>
      <c r="R116" s="12"/>
      <c r="S116" s="16" t="b">
        <v>1</v>
      </c>
      <c r="T116" s="17" t="b">
        <v>0</v>
      </c>
      <c r="U116" s="17" t="b">
        <v>0</v>
      </c>
      <c r="V116" s="17" t="b">
        <v>0</v>
      </c>
      <c r="W116" s="17" t="b">
        <v>0</v>
      </c>
    </row>
    <row r="117" hidden="1">
      <c r="A117" s="7" t="s">
        <v>23</v>
      </c>
      <c r="B117" s="12" t="s">
        <v>24</v>
      </c>
      <c r="C117" s="11">
        <v>1.0</v>
      </c>
      <c r="D117" s="10">
        <v>2017.0</v>
      </c>
      <c r="E117" s="15" t="s">
        <v>210</v>
      </c>
      <c r="F117" s="18" t="s">
        <v>211</v>
      </c>
      <c r="G117" s="8" t="s">
        <v>40</v>
      </c>
      <c r="H117" s="12" t="s">
        <v>28</v>
      </c>
      <c r="I117" s="12" t="s">
        <v>29</v>
      </c>
      <c r="J117" s="12" t="s">
        <v>30</v>
      </c>
      <c r="K117" s="26" t="s">
        <v>212</v>
      </c>
      <c r="L117" s="20"/>
      <c r="M117" s="12"/>
      <c r="N117" s="11">
        <v>35.0</v>
      </c>
      <c r="O117" s="15">
        <v>750.0</v>
      </c>
      <c r="P117" s="10" t="s">
        <v>105</v>
      </c>
      <c r="Q117" s="27" t="s">
        <v>78</v>
      </c>
      <c r="R117" s="12"/>
      <c r="S117" s="16" t="b">
        <v>1</v>
      </c>
      <c r="T117" s="16" t="b">
        <v>1</v>
      </c>
      <c r="U117" s="17" t="b">
        <v>0</v>
      </c>
      <c r="V117" s="16" t="b">
        <v>1</v>
      </c>
      <c r="W117" s="17" t="b">
        <v>0</v>
      </c>
    </row>
    <row r="118" hidden="1">
      <c r="A118" s="30" t="s">
        <v>23</v>
      </c>
      <c r="B118" s="31" t="s">
        <v>24</v>
      </c>
      <c r="C118" s="31">
        <v>1.0</v>
      </c>
      <c r="D118" s="50">
        <v>2012.0</v>
      </c>
      <c r="E118" s="31" t="s">
        <v>72</v>
      </c>
      <c r="F118" s="51" t="s">
        <v>144</v>
      </c>
      <c r="G118" s="31" t="s">
        <v>74</v>
      </c>
      <c r="H118" s="31" t="s">
        <v>41</v>
      </c>
      <c r="I118" s="31" t="s">
        <v>75</v>
      </c>
      <c r="J118" s="31" t="s">
        <v>76</v>
      </c>
      <c r="K118" s="34" t="s">
        <v>77</v>
      </c>
      <c r="L118" s="36"/>
      <c r="M118" s="36"/>
      <c r="N118" s="31">
        <v>55.0</v>
      </c>
      <c r="O118" s="31">
        <v>750.0</v>
      </c>
      <c r="P118" s="32" t="s">
        <v>34</v>
      </c>
      <c r="Q118" s="46" t="s">
        <v>289</v>
      </c>
      <c r="R118" s="31"/>
      <c r="S118" s="37" t="b">
        <v>1</v>
      </c>
      <c r="T118" s="36" t="b">
        <v>0</v>
      </c>
      <c r="U118" s="36" t="b">
        <v>0</v>
      </c>
      <c r="V118" s="37" t="b">
        <v>1</v>
      </c>
      <c r="W118" s="37" t="b">
        <v>0</v>
      </c>
    </row>
    <row r="119">
      <c r="A119" s="7" t="s">
        <v>153</v>
      </c>
      <c r="B119" s="8" t="s">
        <v>24</v>
      </c>
      <c r="C119" s="11">
        <v>1.0</v>
      </c>
      <c r="D119" s="10">
        <v>2017.0</v>
      </c>
      <c r="E119" s="11" t="s">
        <v>290</v>
      </c>
      <c r="F119" s="18" t="s">
        <v>291</v>
      </c>
      <c r="G119" s="8" t="s">
        <v>40</v>
      </c>
      <c r="H119" s="8" t="s">
        <v>82</v>
      </c>
      <c r="I119" s="8"/>
      <c r="J119" s="8" t="s">
        <v>218</v>
      </c>
      <c r="K119" s="8" t="s">
        <v>292</v>
      </c>
      <c r="L119" s="17"/>
      <c r="M119" s="18"/>
      <c r="N119" s="11">
        <v>75.0</v>
      </c>
      <c r="O119" s="11">
        <v>750.0</v>
      </c>
      <c r="P119" s="14" t="s">
        <v>34</v>
      </c>
      <c r="Q119" s="11" t="s">
        <v>43</v>
      </c>
      <c r="R119" s="12"/>
      <c r="S119" s="17" t="b">
        <v>0</v>
      </c>
      <c r="T119" s="17" t="b">
        <v>0</v>
      </c>
      <c r="U119" s="17" t="b">
        <v>0</v>
      </c>
      <c r="V119" s="17" t="b">
        <v>0</v>
      </c>
      <c r="W119" s="16" t="b">
        <v>0</v>
      </c>
    </row>
    <row r="120">
      <c r="A120" s="7" t="s">
        <v>153</v>
      </c>
      <c r="B120" s="12" t="s">
        <v>24</v>
      </c>
      <c r="C120" s="15">
        <v>1.0</v>
      </c>
      <c r="D120" s="14">
        <v>2017.0</v>
      </c>
      <c r="E120" s="15" t="s">
        <v>154</v>
      </c>
      <c r="F120" s="18" t="s">
        <v>293</v>
      </c>
      <c r="G120" s="12" t="s">
        <v>27</v>
      </c>
      <c r="H120" s="12" t="s">
        <v>28</v>
      </c>
      <c r="I120" s="12" t="s">
        <v>29</v>
      </c>
      <c r="J120" s="12" t="s">
        <v>30</v>
      </c>
      <c r="K120" s="26" t="s">
        <v>31</v>
      </c>
      <c r="L120" s="17"/>
      <c r="M120" s="12" t="s">
        <v>294</v>
      </c>
      <c r="N120" s="11">
        <v>225.0</v>
      </c>
      <c r="O120" s="15">
        <v>750.0</v>
      </c>
      <c r="P120" s="14" t="s">
        <v>34</v>
      </c>
      <c r="Q120" s="15" t="s">
        <v>161</v>
      </c>
      <c r="R120" s="12"/>
      <c r="S120" s="17" t="b">
        <v>0</v>
      </c>
      <c r="T120" s="17" t="b">
        <v>0</v>
      </c>
      <c r="U120" s="17" t="b">
        <v>0</v>
      </c>
      <c r="V120" s="17" t="b">
        <v>0</v>
      </c>
      <c r="W120" s="17" t="b">
        <v>0</v>
      </c>
    </row>
    <row r="121">
      <c r="A121" s="7" t="s">
        <v>153</v>
      </c>
      <c r="B121" s="12" t="s">
        <v>24</v>
      </c>
      <c r="C121" s="15">
        <v>1.0</v>
      </c>
      <c r="D121" s="14">
        <v>2017.0</v>
      </c>
      <c r="E121" s="15" t="s">
        <v>154</v>
      </c>
      <c r="F121" s="19" t="s">
        <v>295</v>
      </c>
      <c r="G121" s="12" t="s">
        <v>27</v>
      </c>
      <c r="H121" s="12" t="s">
        <v>28</v>
      </c>
      <c r="I121" s="12" t="s">
        <v>29</v>
      </c>
      <c r="J121" s="12" t="s">
        <v>30</v>
      </c>
      <c r="K121" s="26" t="s">
        <v>31</v>
      </c>
      <c r="L121" s="17"/>
      <c r="M121" s="12" t="s">
        <v>294</v>
      </c>
      <c r="N121" s="15">
        <v>450.0</v>
      </c>
      <c r="O121" s="15">
        <v>1500.0</v>
      </c>
      <c r="P121" s="10" t="s">
        <v>53</v>
      </c>
      <c r="Q121" s="15" t="s">
        <v>62</v>
      </c>
      <c r="R121" s="12"/>
      <c r="S121" s="17" t="b">
        <v>0</v>
      </c>
      <c r="T121" s="17" t="b">
        <v>0</v>
      </c>
      <c r="U121" s="17" t="b">
        <v>0</v>
      </c>
      <c r="V121" s="17" t="b">
        <v>0</v>
      </c>
      <c r="W121" s="17" t="b">
        <v>0</v>
      </c>
    </row>
    <row r="122" hidden="1">
      <c r="A122" s="30" t="s">
        <v>23</v>
      </c>
      <c r="B122" s="31" t="s">
        <v>24</v>
      </c>
      <c r="C122" s="31">
        <v>1.0</v>
      </c>
      <c r="D122" s="32">
        <v>2016.0</v>
      </c>
      <c r="E122" s="31" t="s">
        <v>103</v>
      </c>
      <c r="F122" s="33" t="s">
        <v>296</v>
      </c>
      <c r="G122" s="31" t="s">
        <v>191</v>
      </c>
      <c r="H122" s="31" t="s">
        <v>28</v>
      </c>
      <c r="I122" s="31" t="s">
        <v>29</v>
      </c>
      <c r="J122" s="31" t="s">
        <v>30</v>
      </c>
      <c r="K122" s="34" t="s">
        <v>31</v>
      </c>
      <c r="L122" s="31" t="s">
        <v>268</v>
      </c>
      <c r="M122" s="36"/>
      <c r="N122" s="31">
        <v>59.0</v>
      </c>
      <c r="O122" s="31">
        <v>750.0</v>
      </c>
      <c r="P122" s="32" t="s">
        <v>105</v>
      </c>
      <c r="Q122" s="31" t="s">
        <v>193</v>
      </c>
      <c r="R122" s="31"/>
      <c r="S122" s="37" t="b">
        <v>1</v>
      </c>
      <c r="T122" s="37" t="b">
        <v>1</v>
      </c>
      <c r="U122" s="36" t="b">
        <v>0</v>
      </c>
      <c r="V122" s="37" t="b">
        <v>1</v>
      </c>
      <c r="W122" s="37" t="b">
        <v>0</v>
      </c>
    </row>
    <row r="123">
      <c r="A123" s="52" t="s">
        <v>153</v>
      </c>
      <c r="B123" s="53" t="s">
        <v>24</v>
      </c>
      <c r="C123" s="53">
        <v>1.0</v>
      </c>
      <c r="D123" s="54">
        <v>2017.0</v>
      </c>
      <c r="E123" s="53" t="s">
        <v>240</v>
      </c>
      <c r="F123" s="55" t="s">
        <v>26</v>
      </c>
      <c r="G123" s="53" t="s">
        <v>27</v>
      </c>
      <c r="H123" s="53" t="s">
        <v>28</v>
      </c>
      <c r="I123" s="56" t="s">
        <v>29</v>
      </c>
      <c r="J123" s="53" t="s">
        <v>30</v>
      </c>
      <c r="K123" s="57" t="s">
        <v>31</v>
      </c>
      <c r="L123" s="53" t="s">
        <v>241</v>
      </c>
      <c r="M123" s="58"/>
      <c r="N123" s="53">
        <v>120.0</v>
      </c>
      <c r="O123" s="53">
        <v>750.0</v>
      </c>
      <c r="P123" s="54" t="s">
        <v>34</v>
      </c>
      <c r="Q123" s="56" t="s">
        <v>204</v>
      </c>
      <c r="R123" s="53"/>
      <c r="S123" s="58" t="b">
        <v>0</v>
      </c>
      <c r="T123" s="58" t="b">
        <v>0</v>
      </c>
      <c r="U123" s="58" t="b">
        <v>0</v>
      </c>
      <c r="V123" s="59" t="b">
        <v>0</v>
      </c>
      <c r="W123" s="59" t="b">
        <v>0</v>
      </c>
    </row>
    <row r="124" ht="15.75" customHeight="1">
      <c r="A124" s="7" t="s">
        <v>153</v>
      </c>
      <c r="B124" s="12" t="s">
        <v>24</v>
      </c>
      <c r="C124" s="15">
        <v>1.0</v>
      </c>
      <c r="D124" s="14">
        <v>2017.0</v>
      </c>
      <c r="E124" s="15" t="s">
        <v>243</v>
      </c>
      <c r="F124" s="19" t="s">
        <v>26</v>
      </c>
      <c r="G124" s="12" t="s">
        <v>27</v>
      </c>
      <c r="H124" s="12" t="s">
        <v>28</v>
      </c>
      <c r="I124" s="12" t="s">
        <v>29</v>
      </c>
      <c r="J124" s="12" t="s">
        <v>30</v>
      </c>
      <c r="K124" s="26" t="s">
        <v>31</v>
      </c>
      <c r="L124" s="17"/>
      <c r="M124" s="17"/>
      <c r="N124" s="15">
        <v>155.0</v>
      </c>
      <c r="O124" s="15">
        <v>750.0</v>
      </c>
      <c r="P124" s="14" t="s">
        <v>34</v>
      </c>
      <c r="Q124" s="15" t="s">
        <v>204</v>
      </c>
      <c r="R124" s="12"/>
      <c r="S124" s="17" t="b">
        <v>0</v>
      </c>
      <c r="T124" s="17" t="b">
        <v>0</v>
      </c>
      <c r="U124" s="17" t="b">
        <v>0</v>
      </c>
      <c r="V124" s="17" t="b">
        <v>0</v>
      </c>
      <c r="W124" s="17" t="b">
        <v>0</v>
      </c>
    </row>
    <row r="125">
      <c r="A125" s="7" t="s">
        <v>23</v>
      </c>
      <c r="B125" s="8" t="s">
        <v>24</v>
      </c>
      <c r="C125" s="11">
        <v>3.0</v>
      </c>
      <c r="D125" s="10">
        <v>2017.0</v>
      </c>
      <c r="E125" s="11" t="s">
        <v>297</v>
      </c>
      <c r="F125" s="18" t="s">
        <v>298</v>
      </c>
      <c r="G125" s="8" t="s">
        <v>74</v>
      </c>
      <c r="H125" s="8" t="s">
        <v>108</v>
      </c>
      <c r="I125" s="12"/>
      <c r="J125" s="8" t="s">
        <v>299</v>
      </c>
      <c r="K125" s="12" t="s">
        <v>300</v>
      </c>
      <c r="L125" s="20"/>
      <c r="M125" s="19"/>
      <c r="N125" s="21">
        <v>150.0</v>
      </c>
      <c r="O125" s="15">
        <v>750.0</v>
      </c>
      <c r="P125" s="14" t="s">
        <v>34</v>
      </c>
      <c r="Q125" s="11" t="s">
        <v>43</v>
      </c>
      <c r="R125" s="12"/>
      <c r="S125" s="17" t="b">
        <v>0</v>
      </c>
      <c r="T125" s="17" t="b">
        <v>0</v>
      </c>
      <c r="U125" s="17" t="b">
        <v>0</v>
      </c>
      <c r="V125" s="17" t="b">
        <v>0</v>
      </c>
      <c r="W125" s="17" t="b">
        <v>0</v>
      </c>
    </row>
    <row r="126" hidden="1">
      <c r="A126" s="7" t="s">
        <v>23</v>
      </c>
      <c r="B126" s="12" t="s">
        <v>24</v>
      </c>
      <c r="C126" s="11">
        <v>1.0</v>
      </c>
      <c r="D126" s="14">
        <v>2016.0</v>
      </c>
      <c r="E126" s="15" t="s">
        <v>301</v>
      </c>
      <c r="F126" s="19" t="s">
        <v>302</v>
      </c>
      <c r="G126" s="12" t="s">
        <v>191</v>
      </c>
      <c r="H126" s="12" t="s">
        <v>28</v>
      </c>
      <c r="I126" s="12" t="s">
        <v>29</v>
      </c>
      <c r="J126" s="12" t="s">
        <v>30</v>
      </c>
      <c r="K126" s="26" t="s">
        <v>212</v>
      </c>
      <c r="L126" s="12" t="s">
        <v>303</v>
      </c>
      <c r="M126" s="12" t="s">
        <v>304</v>
      </c>
      <c r="N126" s="15">
        <v>75.0</v>
      </c>
      <c r="O126" s="15">
        <v>750.0</v>
      </c>
      <c r="P126" s="14" t="s">
        <v>105</v>
      </c>
      <c r="Q126" s="15" t="s">
        <v>193</v>
      </c>
      <c r="R126" s="12"/>
      <c r="S126" s="16" t="b">
        <v>1</v>
      </c>
      <c r="T126" s="16" t="b">
        <v>1</v>
      </c>
      <c r="U126" s="16" t="b">
        <v>0</v>
      </c>
      <c r="V126" s="16" t="b">
        <v>0</v>
      </c>
      <c r="W126" s="16" t="b">
        <v>0</v>
      </c>
    </row>
    <row r="127">
      <c r="A127" s="7" t="s">
        <v>23</v>
      </c>
      <c r="B127" s="12" t="s">
        <v>24</v>
      </c>
      <c r="C127" s="11">
        <v>4.0</v>
      </c>
      <c r="D127" s="14">
        <v>2017.0</v>
      </c>
      <c r="E127" s="15" t="s">
        <v>305</v>
      </c>
      <c r="F127" s="18" t="s">
        <v>306</v>
      </c>
      <c r="G127" s="12" t="s">
        <v>40</v>
      </c>
      <c r="H127" s="12" t="s">
        <v>51</v>
      </c>
      <c r="I127" s="12"/>
      <c r="J127" s="12"/>
      <c r="K127" s="20"/>
      <c r="L127" s="18" t="s">
        <v>135</v>
      </c>
      <c r="M127" s="17"/>
      <c r="N127" s="28">
        <v>40.0</v>
      </c>
      <c r="O127" s="15">
        <v>750.0</v>
      </c>
      <c r="P127" s="14" t="s">
        <v>34</v>
      </c>
      <c r="Q127" s="11" t="s">
        <v>54</v>
      </c>
      <c r="R127" s="8" t="s">
        <v>55</v>
      </c>
      <c r="S127" s="16" t="b">
        <v>0</v>
      </c>
      <c r="T127" s="16" t="b">
        <v>0</v>
      </c>
      <c r="U127" s="16" t="b">
        <v>0</v>
      </c>
      <c r="V127" s="16" t="b">
        <v>0</v>
      </c>
      <c r="W127" s="16" t="b">
        <v>0</v>
      </c>
    </row>
    <row r="128" ht="15.75" customHeight="1">
      <c r="A128" s="7" t="s">
        <v>23</v>
      </c>
      <c r="B128" s="8" t="s">
        <v>24</v>
      </c>
      <c r="C128" s="11">
        <v>2.0</v>
      </c>
      <c r="D128" s="10">
        <v>2018.0</v>
      </c>
      <c r="E128" s="11" t="s">
        <v>258</v>
      </c>
      <c r="F128" s="18" t="s">
        <v>307</v>
      </c>
      <c r="G128" s="8" t="s">
        <v>40</v>
      </c>
      <c r="H128" s="8" t="s">
        <v>82</v>
      </c>
      <c r="I128" s="12"/>
      <c r="J128" s="8" t="s">
        <v>218</v>
      </c>
      <c r="K128" s="8" t="s">
        <v>308</v>
      </c>
      <c r="L128" s="20"/>
      <c r="M128" s="17"/>
      <c r="N128" s="21">
        <v>20.0</v>
      </c>
      <c r="O128" s="11">
        <v>750.0</v>
      </c>
      <c r="P128" s="14" t="s">
        <v>34</v>
      </c>
      <c r="Q128" s="11" t="s">
        <v>309</v>
      </c>
      <c r="R128" s="12"/>
      <c r="S128" s="17" t="b">
        <v>0</v>
      </c>
      <c r="T128" s="17" t="b">
        <v>0</v>
      </c>
      <c r="U128" s="16" t="b">
        <v>0</v>
      </c>
      <c r="V128" s="16" t="b">
        <v>1</v>
      </c>
      <c r="W128" s="16" t="b">
        <v>1</v>
      </c>
    </row>
    <row r="129">
      <c r="A129" s="22" t="s">
        <v>23</v>
      </c>
      <c r="B129" s="11" t="s">
        <v>24</v>
      </c>
      <c r="C129" s="11">
        <v>1.0</v>
      </c>
      <c r="D129" s="10">
        <v>2018.0</v>
      </c>
      <c r="E129" s="11" t="s">
        <v>310</v>
      </c>
      <c r="F129" s="18" t="s">
        <v>311</v>
      </c>
      <c r="G129" s="11" t="s">
        <v>139</v>
      </c>
      <c r="H129" s="11" t="s">
        <v>41</v>
      </c>
      <c r="I129" s="15"/>
      <c r="J129" s="11" t="s">
        <v>140</v>
      </c>
      <c r="K129" s="11" t="s">
        <v>312</v>
      </c>
      <c r="L129" s="38"/>
      <c r="M129" s="19"/>
      <c r="N129" s="21">
        <v>60.0</v>
      </c>
      <c r="O129" s="11">
        <v>1500.0</v>
      </c>
      <c r="P129" s="10" t="s">
        <v>34</v>
      </c>
      <c r="Q129" s="27" t="s">
        <v>62</v>
      </c>
      <c r="R129" s="15"/>
      <c r="S129" s="25" t="b">
        <v>0</v>
      </c>
      <c r="T129" s="24" t="b">
        <v>0</v>
      </c>
      <c r="U129" s="25" t="b">
        <v>0</v>
      </c>
      <c r="V129" s="24" t="b">
        <v>0</v>
      </c>
      <c r="W129" s="24" t="b">
        <v>0</v>
      </c>
    </row>
    <row r="130" ht="15.75" customHeight="1">
      <c r="A130" s="7" t="s">
        <v>153</v>
      </c>
      <c r="B130" s="12" t="s">
        <v>24</v>
      </c>
      <c r="C130" s="11">
        <v>1.0</v>
      </c>
      <c r="D130" s="10">
        <v>2018.0</v>
      </c>
      <c r="E130" s="15" t="s">
        <v>313</v>
      </c>
      <c r="F130" s="19" t="s">
        <v>314</v>
      </c>
      <c r="G130" s="12" t="s">
        <v>156</v>
      </c>
      <c r="H130" s="12" t="s">
        <v>28</v>
      </c>
      <c r="I130" s="12" t="s">
        <v>29</v>
      </c>
      <c r="J130" s="12" t="s">
        <v>30</v>
      </c>
      <c r="K130" s="12" t="s">
        <v>31</v>
      </c>
      <c r="L130" s="15" t="s">
        <v>186</v>
      </c>
      <c r="M130" s="19" t="s">
        <v>315</v>
      </c>
      <c r="N130" s="15">
        <v>225.0</v>
      </c>
      <c r="O130" s="15">
        <v>750.0</v>
      </c>
      <c r="P130" s="14" t="s">
        <v>34</v>
      </c>
      <c r="Q130" s="11" t="s">
        <v>316</v>
      </c>
      <c r="R130" s="12"/>
      <c r="S130" s="17" t="b">
        <v>0</v>
      </c>
      <c r="T130" s="17" t="b">
        <v>0</v>
      </c>
      <c r="U130" s="17" t="b">
        <v>0</v>
      </c>
      <c r="V130" s="17" t="b">
        <v>0</v>
      </c>
      <c r="W130" s="17" t="b">
        <v>0</v>
      </c>
    </row>
    <row r="131" ht="15.75" customHeight="1">
      <c r="A131" s="7" t="s">
        <v>153</v>
      </c>
      <c r="B131" s="12" t="s">
        <v>24</v>
      </c>
      <c r="C131" s="12">
        <v>1.0</v>
      </c>
      <c r="D131" s="14">
        <v>2018.0</v>
      </c>
      <c r="E131" s="12" t="s">
        <v>317</v>
      </c>
      <c r="F131" s="12" t="s">
        <v>318</v>
      </c>
      <c r="G131" s="12" t="s">
        <v>27</v>
      </c>
      <c r="H131" s="12" t="s">
        <v>28</v>
      </c>
      <c r="I131" s="12" t="s">
        <v>29</v>
      </c>
      <c r="J131" s="12" t="s">
        <v>30</v>
      </c>
      <c r="K131" s="26" t="s">
        <v>31</v>
      </c>
      <c r="L131" s="17"/>
      <c r="M131" s="17"/>
      <c r="N131" s="12">
        <v>255.0</v>
      </c>
      <c r="O131" s="12">
        <v>750.0</v>
      </c>
      <c r="P131" s="14" t="s">
        <v>53</v>
      </c>
      <c r="Q131" s="15" t="s">
        <v>180</v>
      </c>
      <c r="R131" s="12"/>
      <c r="S131" s="17" t="b">
        <v>0</v>
      </c>
      <c r="T131" s="17" t="b">
        <v>0</v>
      </c>
      <c r="U131" s="17" t="b">
        <v>0</v>
      </c>
      <c r="V131" s="17" t="b">
        <v>0</v>
      </c>
      <c r="W131" s="17" t="b">
        <v>0</v>
      </c>
    </row>
    <row r="132" ht="15.75" customHeight="1">
      <c r="A132" s="22" t="s">
        <v>23</v>
      </c>
      <c r="B132" s="11" t="s">
        <v>24</v>
      </c>
      <c r="C132" s="11">
        <v>2.0</v>
      </c>
      <c r="D132" s="10">
        <v>2018.0</v>
      </c>
      <c r="E132" s="11" t="s">
        <v>319</v>
      </c>
      <c r="F132" s="18" t="s">
        <v>320</v>
      </c>
      <c r="G132" s="11" t="s">
        <v>156</v>
      </c>
      <c r="H132" s="11" t="s">
        <v>28</v>
      </c>
      <c r="I132" s="12" t="s">
        <v>29</v>
      </c>
      <c r="J132" s="11" t="s">
        <v>31</v>
      </c>
      <c r="K132" s="15"/>
      <c r="L132" s="38"/>
      <c r="M132" s="18" t="s">
        <v>321</v>
      </c>
      <c r="N132" s="21">
        <v>75.0</v>
      </c>
      <c r="O132" s="11">
        <v>750.0</v>
      </c>
      <c r="P132" s="10" t="s">
        <v>34</v>
      </c>
      <c r="Q132" s="11" t="s">
        <v>204</v>
      </c>
      <c r="R132" s="15"/>
      <c r="S132" s="25" t="b">
        <v>0</v>
      </c>
      <c r="T132" s="24" t="b">
        <v>0</v>
      </c>
      <c r="U132" s="25" t="b">
        <v>0</v>
      </c>
      <c r="V132" s="24" t="b">
        <v>0</v>
      </c>
      <c r="W132" s="24" t="b">
        <v>0</v>
      </c>
    </row>
    <row r="133" ht="15.75" hidden="1" customHeight="1">
      <c r="A133" s="22" t="s">
        <v>23</v>
      </c>
      <c r="B133" s="11" t="s">
        <v>37</v>
      </c>
      <c r="C133" s="11">
        <v>1.0</v>
      </c>
      <c r="D133" s="10">
        <v>2018.0</v>
      </c>
      <c r="E133" s="11" t="s">
        <v>322</v>
      </c>
      <c r="F133" s="18" t="s">
        <v>323</v>
      </c>
      <c r="G133" s="11" t="s">
        <v>40</v>
      </c>
      <c r="H133" s="11" t="s">
        <v>28</v>
      </c>
      <c r="I133" s="12" t="s">
        <v>29</v>
      </c>
      <c r="J133" s="12" t="s">
        <v>30</v>
      </c>
      <c r="K133" s="11" t="s">
        <v>324</v>
      </c>
      <c r="L133" s="38"/>
      <c r="M133" s="18" t="s">
        <v>325</v>
      </c>
      <c r="N133" s="11" t="s">
        <v>326</v>
      </c>
      <c r="O133" s="11">
        <v>750.0</v>
      </c>
      <c r="P133" s="10" t="s">
        <v>105</v>
      </c>
      <c r="Q133" s="27" t="s">
        <v>78</v>
      </c>
      <c r="R133" s="15"/>
      <c r="S133" s="24" t="b">
        <v>1</v>
      </c>
      <c r="T133" s="24" t="b">
        <v>0</v>
      </c>
      <c r="U133" s="25" t="b">
        <v>0</v>
      </c>
      <c r="V133" s="24" t="b">
        <v>1</v>
      </c>
      <c r="W133" s="24" t="b">
        <v>0</v>
      </c>
    </row>
    <row r="134" ht="15.75" customHeight="1">
      <c r="A134" s="22" t="s">
        <v>153</v>
      </c>
      <c r="B134" s="15" t="s">
        <v>24</v>
      </c>
      <c r="C134" s="11">
        <v>1.0</v>
      </c>
      <c r="D134" s="14">
        <v>2018.0</v>
      </c>
      <c r="E134" s="15" t="s">
        <v>317</v>
      </c>
      <c r="F134" s="15" t="s">
        <v>156</v>
      </c>
      <c r="G134" s="15" t="s">
        <v>156</v>
      </c>
      <c r="H134" s="15" t="s">
        <v>28</v>
      </c>
      <c r="I134" s="15" t="s">
        <v>29</v>
      </c>
      <c r="J134" s="15" t="s">
        <v>30</v>
      </c>
      <c r="K134" s="23" t="s">
        <v>31</v>
      </c>
      <c r="L134" s="25"/>
      <c r="M134" s="25"/>
      <c r="N134" s="15">
        <v>80.0</v>
      </c>
      <c r="O134" s="15">
        <v>750.0</v>
      </c>
      <c r="P134" s="14" t="s">
        <v>34</v>
      </c>
      <c r="Q134" s="15" t="s">
        <v>180</v>
      </c>
      <c r="R134" s="15"/>
      <c r="S134" s="24" t="b">
        <v>0</v>
      </c>
      <c r="T134" s="25" t="b">
        <v>0</v>
      </c>
      <c r="U134" s="25" t="b">
        <v>0</v>
      </c>
      <c r="V134" s="24" t="b">
        <v>0</v>
      </c>
      <c r="W134" s="24" t="b">
        <v>0</v>
      </c>
    </row>
    <row r="135" ht="15.75" customHeight="1">
      <c r="A135" s="22" t="s">
        <v>153</v>
      </c>
      <c r="B135" s="15" t="s">
        <v>24</v>
      </c>
      <c r="C135" s="15">
        <v>4.0</v>
      </c>
      <c r="D135" s="14">
        <v>2018.0</v>
      </c>
      <c r="E135" s="15" t="s">
        <v>154</v>
      </c>
      <c r="F135" s="19" t="s">
        <v>327</v>
      </c>
      <c r="G135" s="15" t="s">
        <v>27</v>
      </c>
      <c r="H135" s="15" t="s">
        <v>28</v>
      </c>
      <c r="I135" s="15" t="s">
        <v>29</v>
      </c>
      <c r="J135" s="15" t="s">
        <v>30</v>
      </c>
      <c r="K135" s="23" t="s">
        <v>31</v>
      </c>
      <c r="L135" s="15" t="s">
        <v>186</v>
      </c>
      <c r="M135" s="25"/>
      <c r="N135" s="15">
        <v>100.0</v>
      </c>
      <c r="O135" s="15">
        <v>750.0</v>
      </c>
      <c r="P135" s="14" t="s">
        <v>34</v>
      </c>
      <c r="Q135" s="15" t="s">
        <v>180</v>
      </c>
      <c r="R135" s="15"/>
      <c r="S135" s="25" t="b">
        <v>0</v>
      </c>
      <c r="T135" s="25" t="b">
        <v>0</v>
      </c>
      <c r="U135" s="25" t="b">
        <v>0</v>
      </c>
      <c r="V135" s="24" t="b">
        <v>1</v>
      </c>
      <c r="W135" s="24" t="b">
        <v>1</v>
      </c>
    </row>
    <row r="136" ht="15.75" customHeight="1">
      <c r="A136" s="7" t="s">
        <v>23</v>
      </c>
      <c r="B136" s="12" t="s">
        <v>24</v>
      </c>
      <c r="C136" s="11">
        <v>2.0</v>
      </c>
      <c r="D136" s="10">
        <v>2018.0</v>
      </c>
      <c r="E136" s="15" t="s">
        <v>188</v>
      </c>
      <c r="F136" s="18" t="s">
        <v>328</v>
      </c>
      <c r="G136" s="12" t="s">
        <v>27</v>
      </c>
      <c r="H136" s="12" t="s">
        <v>28</v>
      </c>
      <c r="I136" s="12" t="s">
        <v>29</v>
      </c>
      <c r="J136" s="12" t="s">
        <v>30</v>
      </c>
      <c r="K136" s="23" t="s">
        <v>31</v>
      </c>
      <c r="L136" s="20"/>
      <c r="M136" s="12"/>
      <c r="N136" s="21">
        <v>315.0</v>
      </c>
      <c r="O136" s="15">
        <v>750.0</v>
      </c>
      <c r="P136" s="10" t="s">
        <v>53</v>
      </c>
      <c r="Q136" s="27" t="s">
        <v>94</v>
      </c>
      <c r="R136" s="12"/>
      <c r="S136" s="17" t="b">
        <v>0</v>
      </c>
      <c r="T136" s="17" t="b">
        <v>0</v>
      </c>
      <c r="U136" s="17" t="b">
        <v>0</v>
      </c>
      <c r="V136" s="17" t="b">
        <v>0</v>
      </c>
      <c r="W136" s="17" t="b">
        <v>0</v>
      </c>
    </row>
    <row r="137" ht="15.75" customHeight="1">
      <c r="A137" s="7" t="s">
        <v>153</v>
      </c>
      <c r="B137" s="12" t="s">
        <v>24</v>
      </c>
      <c r="C137" s="15">
        <v>1.0</v>
      </c>
      <c r="D137" s="14">
        <v>2018.0</v>
      </c>
      <c r="E137" s="15" t="s">
        <v>154</v>
      </c>
      <c r="F137" s="19" t="s">
        <v>155</v>
      </c>
      <c r="G137" s="12" t="s">
        <v>156</v>
      </c>
      <c r="H137" s="12" t="s">
        <v>28</v>
      </c>
      <c r="I137" s="12" t="s">
        <v>29</v>
      </c>
      <c r="J137" s="12" t="s">
        <v>30</v>
      </c>
      <c r="K137" s="26" t="s">
        <v>31</v>
      </c>
      <c r="L137" s="12" t="s">
        <v>221</v>
      </c>
      <c r="M137" s="12" t="s">
        <v>157</v>
      </c>
      <c r="N137" s="15">
        <v>100.0</v>
      </c>
      <c r="O137" s="15">
        <v>750.0</v>
      </c>
      <c r="P137" s="14" t="s">
        <v>34</v>
      </c>
      <c r="Q137" s="15" t="s">
        <v>161</v>
      </c>
      <c r="R137" s="12"/>
      <c r="S137" s="17" t="b">
        <v>0</v>
      </c>
      <c r="T137" s="17" t="b">
        <v>0</v>
      </c>
      <c r="U137" s="17" t="b">
        <v>0</v>
      </c>
      <c r="V137" s="17" t="b">
        <v>0</v>
      </c>
      <c r="W137" s="17" t="b">
        <v>0</v>
      </c>
    </row>
    <row r="138" ht="15.75" customHeight="1">
      <c r="A138" s="7" t="s">
        <v>153</v>
      </c>
      <c r="B138" s="12" t="s">
        <v>24</v>
      </c>
      <c r="C138" s="11">
        <v>3.0</v>
      </c>
      <c r="D138" s="10">
        <v>2018.0</v>
      </c>
      <c r="E138" s="15" t="s">
        <v>154</v>
      </c>
      <c r="F138" s="18" t="s">
        <v>293</v>
      </c>
      <c r="G138" s="12" t="s">
        <v>27</v>
      </c>
      <c r="H138" s="12" t="s">
        <v>28</v>
      </c>
      <c r="I138" s="12" t="s">
        <v>29</v>
      </c>
      <c r="J138" s="12" t="s">
        <v>30</v>
      </c>
      <c r="K138" s="26" t="s">
        <v>31</v>
      </c>
      <c r="L138" s="17"/>
      <c r="M138" s="12" t="s">
        <v>294</v>
      </c>
      <c r="N138" s="11">
        <v>220.0</v>
      </c>
      <c r="O138" s="15">
        <v>750.0</v>
      </c>
      <c r="P138" s="14" t="s">
        <v>53</v>
      </c>
      <c r="Q138" s="11" t="s">
        <v>284</v>
      </c>
      <c r="R138" s="12"/>
      <c r="S138" s="17" t="b">
        <v>0</v>
      </c>
      <c r="T138" s="17" t="b">
        <v>0</v>
      </c>
      <c r="U138" s="17" t="b">
        <v>0</v>
      </c>
      <c r="V138" s="17" t="b">
        <v>0</v>
      </c>
      <c r="W138" s="17" t="b">
        <v>0</v>
      </c>
    </row>
    <row r="139" ht="15.75" customHeight="1">
      <c r="A139" s="7" t="s">
        <v>153</v>
      </c>
      <c r="B139" s="12" t="s">
        <v>24</v>
      </c>
      <c r="C139" s="15">
        <v>1.0</v>
      </c>
      <c r="D139" s="14">
        <v>2018.0</v>
      </c>
      <c r="E139" s="15" t="s">
        <v>329</v>
      </c>
      <c r="F139" s="19" t="s">
        <v>330</v>
      </c>
      <c r="G139" s="12" t="s">
        <v>27</v>
      </c>
      <c r="H139" s="12" t="s">
        <v>28</v>
      </c>
      <c r="I139" s="12" t="s">
        <v>29</v>
      </c>
      <c r="J139" s="12" t="s">
        <v>30</v>
      </c>
      <c r="K139" s="26" t="s">
        <v>31</v>
      </c>
      <c r="L139" s="12" t="s">
        <v>331</v>
      </c>
      <c r="M139" s="12" t="s">
        <v>330</v>
      </c>
      <c r="N139" s="15">
        <v>100.0</v>
      </c>
      <c r="O139" s="15">
        <v>750.0</v>
      </c>
      <c r="P139" s="14" t="s">
        <v>34</v>
      </c>
      <c r="Q139" s="11" t="s">
        <v>309</v>
      </c>
      <c r="R139" s="12"/>
      <c r="S139" s="17" t="b">
        <v>0</v>
      </c>
      <c r="T139" s="17" t="b">
        <v>0</v>
      </c>
      <c r="U139" s="17" t="b">
        <v>0</v>
      </c>
      <c r="V139" s="17" t="b">
        <v>0</v>
      </c>
      <c r="W139" s="17" t="b">
        <v>0</v>
      </c>
    </row>
    <row r="140" ht="15.75" customHeight="1">
      <c r="A140" s="22" t="s">
        <v>153</v>
      </c>
      <c r="B140" s="15" t="s">
        <v>24</v>
      </c>
      <c r="C140" s="15">
        <v>3.0</v>
      </c>
      <c r="D140" s="14">
        <v>2018.0</v>
      </c>
      <c r="E140" s="15" t="s">
        <v>329</v>
      </c>
      <c r="F140" s="19" t="s">
        <v>332</v>
      </c>
      <c r="G140" s="15" t="s">
        <v>27</v>
      </c>
      <c r="H140" s="15" t="s">
        <v>28</v>
      </c>
      <c r="I140" s="15" t="s">
        <v>29</v>
      </c>
      <c r="J140" s="40" t="s">
        <v>30</v>
      </c>
      <c r="K140" s="23" t="s">
        <v>31</v>
      </c>
      <c r="L140" s="15" t="s">
        <v>333</v>
      </c>
      <c r="M140" s="15" t="s">
        <v>332</v>
      </c>
      <c r="N140" s="15">
        <v>110.0</v>
      </c>
      <c r="O140" s="15">
        <v>750.0</v>
      </c>
      <c r="P140" s="14" t="s">
        <v>34</v>
      </c>
      <c r="Q140" s="40" t="s">
        <v>204</v>
      </c>
      <c r="R140" s="15"/>
      <c r="S140" s="25" t="b">
        <v>0</v>
      </c>
      <c r="T140" s="25" t="b">
        <v>0</v>
      </c>
      <c r="U140" s="25" t="b">
        <v>0</v>
      </c>
      <c r="V140" s="24" t="b">
        <v>0</v>
      </c>
      <c r="W140" s="24" t="b">
        <v>0</v>
      </c>
    </row>
    <row r="141" ht="15.75" hidden="1" customHeight="1">
      <c r="A141" s="30" t="s">
        <v>23</v>
      </c>
      <c r="B141" s="31" t="s">
        <v>24</v>
      </c>
      <c r="C141" s="31">
        <v>1.0</v>
      </c>
      <c r="D141" s="32">
        <v>2018.0</v>
      </c>
      <c r="E141" s="31" t="s">
        <v>188</v>
      </c>
      <c r="F141" s="33" t="s">
        <v>334</v>
      </c>
      <c r="G141" s="31" t="s">
        <v>191</v>
      </c>
      <c r="H141" s="31" t="s">
        <v>28</v>
      </c>
      <c r="I141" s="31" t="s">
        <v>29</v>
      </c>
      <c r="J141" s="31" t="s">
        <v>130</v>
      </c>
      <c r="K141" s="31"/>
      <c r="L141" s="35"/>
      <c r="M141" s="31" t="s">
        <v>334</v>
      </c>
      <c r="N141" s="31">
        <v>45.0</v>
      </c>
      <c r="O141" s="31">
        <v>750.0</v>
      </c>
      <c r="P141" s="32" t="s">
        <v>47</v>
      </c>
      <c r="Q141" s="31" t="s">
        <v>35</v>
      </c>
      <c r="R141" s="31"/>
      <c r="S141" s="37" t="b">
        <v>1</v>
      </c>
      <c r="T141" s="36" t="b">
        <v>0</v>
      </c>
      <c r="U141" s="37" t="b">
        <v>1</v>
      </c>
      <c r="V141" s="37" t="b">
        <v>1</v>
      </c>
      <c r="W141" s="37" t="b">
        <v>0</v>
      </c>
    </row>
    <row r="142" ht="15.75" customHeight="1">
      <c r="A142" s="7" t="s">
        <v>23</v>
      </c>
      <c r="B142" s="12" t="s">
        <v>24</v>
      </c>
      <c r="C142" s="15">
        <v>1.0</v>
      </c>
      <c r="D142" s="10">
        <v>2018.0</v>
      </c>
      <c r="E142" s="15" t="s">
        <v>158</v>
      </c>
      <c r="F142" s="19" t="s">
        <v>220</v>
      </c>
      <c r="G142" s="12" t="s">
        <v>74</v>
      </c>
      <c r="H142" s="12" t="s">
        <v>41</v>
      </c>
      <c r="I142" s="12" t="s">
        <v>75</v>
      </c>
      <c r="J142" s="60" t="s">
        <v>146</v>
      </c>
      <c r="K142" s="26" t="s">
        <v>160</v>
      </c>
      <c r="L142" s="20"/>
      <c r="M142" s="17"/>
      <c r="N142" s="21">
        <v>300.0</v>
      </c>
      <c r="O142" s="15">
        <v>750.0</v>
      </c>
      <c r="P142" s="14" t="s">
        <v>34</v>
      </c>
      <c r="Q142" s="11" t="s">
        <v>43</v>
      </c>
      <c r="R142" s="12"/>
      <c r="S142" s="17" t="b">
        <v>0</v>
      </c>
      <c r="T142" s="17" t="b">
        <v>0</v>
      </c>
      <c r="U142" s="17" t="b">
        <v>0</v>
      </c>
      <c r="V142" s="17" t="b">
        <v>0</v>
      </c>
      <c r="W142" s="17" t="b">
        <v>0</v>
      </c>
    </row>
    <row r="143" ht="15.75" hidden="1" customHeight="1">
      <c r="A143" s="30" t="s">
        <v>23</v>
      </c>
      <c r="B143" s="31" t="s">
        <v>24</v>
      </c>
      <c r="C143" s="31">
        <v>1.0</v>
      </c>
      <c r="D143" s="32">
        <v>2017.0</v>
      </c>
      <c r="E143" s="31" t="s">
        <v>335</v>
      </c>
      <c r="F143" s="33" t="s">
        <v>336</v>
      </c>
      <c r="G143" s="31" t="s">
        <v>191</v>
      </c>
      <c r="H143" s="31" t="s">
        <v>28</v>
      </c>
      <c r="I143" s="31" t="s">
        <v>29</v>
      </c>
      <c r="J143" s="31" t="s">
        <v>30</v>
      </c>
      <c r="K143" s="61" t="s">
        <v>337</v>
      </c>
      <c r="L143" s="31" t="s">
        <v>338</v>
      </c>
      <c r="M143" s="31" t="s">
        <v>339</v>
      </c>
      <c r="N143" s="31">
        <v>40.0</v>
      </c>
      <c r="O143" s="31">
        <v>750.0</v>
      </c>
      <c r="P143" s="32" t="s">
        <v>105</v>
      </c>
      <c r="Q143" s="31" t="s">
        <v>193</v>
      </c>
      <c r="R143" s="31"/>
      <c r="S143" s="37" t="b">
        <v>1</v>
      </c>
      <c r="T143" s="36" t="b">
        <v>0</v>
      </c>
      <c r="U143" s="36" t="b">
        <v>0</v>
      </c>
      <c r="V143" s="37" t="b">
        <v>1</v>
      </c>
      <c r="W143" s="37" t="b">
        <v>1</v>
      </c>
    </row>
    <row r="144" ht="15.75" customHeight="1">
      <c r="A144" s="7" t="s">
        <v>23</v>
      </c>
      <c r="B144" s="12" t="s">
        <v>24</v>
      </c>
      <c r="C144" s="15">
        <v>1.0</v>
      </c>
      <c r="D144" s="10">
        <v>2018.0</v>
      </c>
      <c r="E144" s="15" t="s">
        <v>25</v>
      </c>
      <c r="F144" s="18" t="s">
        <v>340</v>
      </c>
      <c r="G144" s="12" t="s">
        <v>27</v>
      </c>
      <c r="H144" s="12" t="s">
        <v>28</v>
      </c>
      <c r="I144" s="12" t="s">
        <v>29</v>
      </c>
      <c r="J144" s="12" t="s">
        <v>30</v>
      </c>
      <c r="K144" s="26" t="s">
        <v>31</v>
      </c>
      <c r="L144" s="26" t="s">
        <v>32</v>
      </c>
      <c r="M144" s="12" t="s">
        <v>115</v>
      </c>
      <c r="N144" s="21">
        <v>215.0</v>
      </c>
      <c r="O144" s="15">
        <v>750.0</v>
      </c>
      <c r="P144" s="10" t="s">
        <v>53</v>
      </c>
      <c r="Q144" s="27" t="s">
        <v>94</v>
      </c>
      <c r="R144" s="12"/>
      <c r="S144" s="17" t="b">
        <v>0</v>
      </c>
      <c r="T144" s="17" t="b">
        <v>0</v>
      </c>
      <c r="U144" s="17" t="b">
        <v>0</v>
      </c>
      <c r="V144" s="17" t="b">
        <v>0</v>
      </c>
      <c r="W144" s="17" t="b">
        <v>0</v>
      </c>
    </row>
    <row r="145" ht="15.75" customHeight="1">
      <c r="A145" s="7" t="s">
        <v>23</v>
      </c>
      <c r="B145" s="12" t="s">
        <v>24</v>
      </c>
      <c r="C145" s="15">
        <v>1.0</v>
      </c>
      <c r="D145" s="10">
        <v>2018.0</v>
      </c>
      <c r="E145" s="11" t="s">
        <v>341</v>
      </c>
      <c r="F145" s="18" t="s">
        <v>144</v>
      </c>
      <c r="G145" s="12" t="s">
        <v>74</v>
      </c>
      <c r="H145" s="12" t="s">
        <v>41</v>
      </c>
      <c r="I145" s="12" t="s">
        <v>75</v>
      </c>
      <c r="J145" s="60" t="s">
        <v>146</v>
      </c>
      <c r="K145" s="13" t="s">
        <v>342</v>
      </c>
      <c r="L145" s="20"/>
      <c r="M145" s="17"/>
      <c r="N145" s="21">
        <v>145.0</v>
      </c>
      <c r="O145" s="15">
        <v>750.0</v>
      </c>
      <c r="P145" s="14" t="s">
        <v>34</v>
      </c>
      <c r="Q145" s="11" t="s">
        <v>43</v>
      </c>
      <c r="R145" s="12"/>
      <c r="S145" s="17" t="b">
        <v>0</v>
      </c>
      <c r="T145" s="17" t="b">
        <v>0</v>
      </c>
      <c r="U145" s="17" t="b">
        <v>0</v>
      </c>
      <c r="V145" s="17" t="b">
        <v>0</v>
      </c>
      <c r="W145" s="17" t="b">
        <v>0</v>
      </c>
    </row>
    <row r="146" ht="15.75" customHeight="1">
      <c r="A146" s="7" t="s">
        <v>153</v>
      </c>
      <c r="B146" s="12" t="s">
        <v>24</v>
      </c>
      <c r="C146" s="12">
        <v>1.0</v>
      </c>
      <c r="D146" s="14">
        <v>2018.0</v>
      </c>
      <c r="E146" s="12" t="s">
        <v>343</v>
      </c>
      <c r="F146" s="12" t="s">
        <v>344</v>
      </c>
      <c r="G146" s="12" t="s">
        <v>27</v>
      </c>
      <c r="H146" s="12" t="s">
        <v>28</v>
      </c>
      <c r="I146" s="12" t="s">
        <v>29</v>
      </c>
      <c r="J146" s="12" t="s">
        <v>30</v>
      </c>
      <c r="K146" s="26" t="s">
        <v>31</v>
      </c>
      <c r="L146" s="12" t="s">
        <v>32</v>
      </c>
      <c r="M146" s="17"/>
      <c r="N146" s="12">
        <v>185.0</v>
      </c>
      <c r="O146" s="12">
        <v>750.0</v>
      </c>
      <c r="P146" s="14" t="s">
        <v>53</v>
      </c>
      <c r="Q146" s="15" t="s">
        <v>161</v>
      </c>
      <c r="R146" s="12"/>
      <c r="S146" s="17" t="b">
        <v>0</v>
      </c>
      <c r="T146" s="17" t="b">
        <v>0</v>
      </c>
      <c r="U146" s="17" t="b">
        <v>0</v>
      </c>
      <c r="V146" s="17" t="b">
        <v>0</v>
      </c>
      <c r="W146" s="17" t="b">
        <v>0</v>
      </c>
    </row>
    <row r="147" ht="15.75" customHeight="1">
      <c r="A147" s="7" t="s">
        <v>23</v>
      </c>
      <c r="B147" s="12" t="s">
        <v>24</v>
      </c>
      <c r="C147" s="15">
        <v>2.0</v>
      </c>
      <c r="D147" s="14">
        <v>2018.0</v>
      </c>
      <c r="E147" s="15" t="s">
        <v>345</v>
      </c>
      <c r="F147" s="19" t="s">
        <v>346</v>
      </c>
      <c r="G147" s="12" t="s">
        <v>27</v>
      </c>
      <c r="H147" s="12" t="s">
        <v>28</v>
      </c>
      <c r="I147" s="12" t="s">
        <v>29</v>
      </c>
      <c r="J147" s="12" t="s">
        <v>30</v>
      </c>
      <c r="K147" s="26" t="s">
        <v>31</v>
      </c>
      <c r="L147" s="20"/>
      <c r="M147" s="19" t="s">
        <v>346</v>
      </c>
      <c r="N147" s="28">
        <v>125.0</v>
      </c>
      <c r="O147" s="15">
        <v>750.0</v>
      </c>
      <c r="P147" s="14" t="s">
        <v>34</v>
      </c>
      <c r="Q147" s="15" t="s">
        <v>180</v>
      </c>
      <c r="R147" s="12"/>
      <c r="S147" s="17" t="b">
        <v>0</v>
      </c>
      <c r="T147" s="17" t="b">
        <v>0</v>
      </c>
      <c r="U147" s="17" t="b">
        <v>0</v>
      </c>
      <c r="V147" s="17" t="b">
        <v>0</v>
      </c>
      <c r="W147" s="16" t="b">
        <v>1</v>
      </c>
    </row>
    <row r="148" ht="15.75" customHeight="1">
      <c r="A148" s="7" t="s">
        <v>153</v>
      </c>
      <c r="B148" s="8" t="s">
        <v>24</v>
      </c>
      <c r="C148" s="11">
        <v>1.0</v>
      </c>
      <c r="D148" s="10">
        <v>2018.0</v>
      </c>
      <c r="E148" s="11" t="s">
        <v>347</v>
      </c>
      <c r="F148" s="18" t="s">
        <v>348</v>
      </c>
      <c r="G148" s="8" t="s">
        <v>74</v>
      </c>
      <c r="H148" s="8" t="s">
        <v>28</v>
      </c>
      <c r="I148" s="8" t="s">
        <v>29</v>
      </c>
      <c r="J148" s="48" t="s">
        <v>30</v>
      </c>
      <c r="K148" s="12" t="s">
        <v>31</v>
      </c>
      <c r="L148" s="17"/>
      <c r="M148" s="17"/>
      <c r="N148" s="11">
        <v>110.0</v>
      </c>
      <c r="O148" s="11">
        <v>750.0</v>
      </c>
      <c r="P148" s="14" t="s">
        <v>34</v>
      </c>
      <c r="Q148" s="11" t="s">
        <v>43</v>
      </c>
      <c r="R148" s="12"/>
      <c r="S148" s="17" t="b">
        <v>0</v>
      </c>
      <c r="T148" s="17" t="b">
        <v>0</v>
      </c>
      <c r="U148" s="17" t="b">
        <v>0</v>
      </c>
      <c r="V148" s="17" t="b">
        <v>0</v>
      </c>
      <c r="W148" s="17" t="b">
        <v>0</v>
      </c>
    </row>
    <row r="149" ht="15.75" customHeight="1">
      <c r="A149" s="7" t="s">
        <v>153</v>
      </c>
      <c r="B149" s="8" t="s">
        <v>24</v>
      </c>
      <c r="C149" s="11">
        <v>1.0</v>
      </c>
      <c r="D149" s="10">
        <v>2018.0</v>
      </c>
      <c r="E149" s="11" t="s">
        <v>347</v>
      </c>
      <c r="F149" s="18" t="s">
        <v>349</v>
      </c>
      <c r="G149" s="8" t="s">
        <v>350</v>
      </c>
      <c r="H149" s="8" t="s">
        <v>28</v>
      </c>
      <c r="I149" s="8" t="s">
        <v>29</v>
      </c>
      <c r="J149" s="8" t="s">
        <v>30</v>
      </c>
      <c r="K149" s="12" t="s">
        <v>130</v>
      </c>
      <c r="L149" s="17"/>
      <c r="M149" s="18" t="s">
        <v>351</v>
      </c>
      <c r="N149" s="11">
        <v>40.0</v>
      </c>
      <c r="O149" s="11">
        <v>750.0</v>
      </c>
      <c r="P149" s="10" t="s">
        <v>47</v>
      </c>
      <c r="Q149" s="11" t="s">
        <v>43</v>
      </c>
      <c r="R149" s="12"/>
      <c r="S149" s="17" t="b">
        <v>0</v>
      </c>
      <c r="T149" s="17" t="b">
        <v>0</v>
      </c>
      <c r="U149" s="17" t="b">
        <v>0</v>
      </c>
      <c r="V149" s="17" t="b">
        <v>0</v>
      </c>
      <c r="W149" s="17" t="b">
        <v>0</v>
      </c>
    </row>
    <row r="150" ht="15.75" customHeight="1">
      <c r="A150" s="7" t="s">
        <v>23</v>
      </c>
      <c r="B150" s="12" t="s">
        <v>24</v>
      </c>
      <c r="C150" s="15">
        <v>1.0</v>
      </c>
      <c r="D150" s="14">
        <v>2018.0</v>
      </c>
      <c r="E150" s="19" t="s">
        <v>352</v>
      </c>
      <c r="F150" s="12" t="s">
        <v>353</v>
      </c>
      <c r="G150" s="12" t="s">
        <v>74</v>
      </c>
      <c r="H150" s="12" t="s">
        <v>41</v>
      </c>
      <c r="I150" s="12" t="s">
        <v>75</v>
      </c>
      <c r="J150" s="12" t="s">
        <v>76</v>
      </c>
      <c r="K150" s="26" t="s">
        <v>354</v>
      </c>
      <c r="L150" s="20"/>
      <c r="M150" s="17"/>
      <c r="N150" s="28">
        <v>110.0</v>
      </c>
      <c r="O150" s="15">
        <v>750.0</v>
      </c>
      <c r="P150" s="14" t="s">
        <v>34</v>
      </c>
      <c r="Q150" s="40" t="s">
        <v>161</v>
      </c>
      <c r="R150" s="12"/>
      <c r="S150" s="17" t="b">
        <v>0</v>
      </c>
      <c r="T150" s="17" t="b">
        <v>0</v>
      </c>
      <c r="U150" s="17" t="b">
        <v>0</v>
      </c>
      <c r="V150" s="17" t="b">
        <v>0</v>
      </c>
      <c r="W150" s="17" t="b">
        <v>0</v>
      </c>
    </row>
    <row r="151" ht="15.75" customHeight="1">
      <c r="A151" s="7" t="s">
        <v>153</v>
      </c>
      <c r="B151" s="12" t="s">
        <v>24</v>
      </c>
      <c r="C151" s="15">
        <v>1.0</v>
      </c>
      <c r="D151" s="14">
        <v>2018.0</v>
      </c>
      <c r="E151" s="15" t="s">
        <v>355</v>
      </c>
      <c r="F151" s="19" t="s">
        <v>356</v>
      </c>
      <c r="G151" s="12" t="s">
        <v>27</v>
      </c>
      <c r="H151" s="12" t="s">
        <v>28</v>
      </c>
      <c r="I151" s="12" t="s">
        <v>29</v>
      </c>
      <c r="J151" s="12" t="s">
        <v>30</v>
      </c>
      <c r="K151" s="12" t="s">
        <v>31</v>
      </c>
      <c r="L151" s="17"/>
      <c r="M151" s="19" t="s">
        <v>356</v>
      </c>
      <c r="N151" s="15">
        <v>210.0</v>
      </c>
      <c r="O151" s="15">
        <v>750.0</v>
      </c>
      <c r="P151" s="14" t="s">
        <v>34</v>
      </c>
      <c r="Q151" s="15" t="s">
        <v>161</v>
      </c>
      <c r="R151" s="12"/>
      <c r="S151" s="17" t="b">
        <v>0</v>
      </c>
      <c r="T151" s="17" t="b">
        <v>0</v>
      </c>
      <c r="U151" s="17" t="b">
        <v>0</v>
      </c>
      <c r="V151" s="17" t="b">
        <v>0</v>
      </c>
      <c r="W151" s="17" t="b">
        <v>0</v>
      </c>
    </row>
    <row r="152" ht="15.75" customHeight="1">
      <c r="A152" s="22" t="s">
        <v>153</v>
      </c>
      <c r="B152" s="15" t="s">
        <v>24</v>
      </c>
      <c r="C152" s="11">
        <v>2.0</v>
      </c>
      <c r="D152" s="14">
        <v>2018.0</v>
      </c>
      <c r="E152" s="15" t="s">
        <v>282</v>
      </c>
      <c r="F152" s="19" t="s">
        <v>357</v>
      </c>
      <c r="G152" s="15" t="s">
        <v>27</v>
      </c>
      <c r="H152" s="15" t="s">
        <v>28</v>
      </c>
      <c r="I152" s="15" t="s">
        <v>29</v>
      </c>
      <c r="J152" s="15" t="s">
        <v>30</v>
      </c>
      <c r="K152" s="15" t="s">
        <v>31</v>
      </c>
      <c r="L152" s="15"/>
      <c r="M152" s="25"/>
      <c r="N152" s="11">
        <v>120.0</v>
      </c>
      <c r="O152" s="15">
        <v>750.0</v>
      </c>
      <c r="P152" s="14" t="s">
        <v>53</v>
      </c>
      <c r="Q152" s="22" t="s">
        <v>284</v>
      </c>
      <c r="R152" s="15"/>
      <c r="S152" s="25" t="b">
        <v>0</v>
      </c>
      <c r="T152" s="25" t="b">
        <v>0</v>
      </c>
      <c r="U152" s="25" t="b">
        <v>0</v>
      </c>
      <c r="V152" s="24" t="b">
        <v>0</v>
      </c>
      <c r="W152" s="24" t="b">
        <v>0</v>
      </c>
    </row>
    <row r="153" ht="15.75" customHeight="1">
      <c r="A153" s="22" t="s">
        <v>153</v>
      </c>
      <c r="B153" s="15" t="s">
        <v>37</v>
      </c>
      <c r="C153" s="11">
        <v>1.0</v>
      </c>
      <c r="D153" s="14">
        <v>2018.0</v>
      </c>
      <c r="E153" s="15" t="s">
        <v>282</v>
      </c>
      <c r="F153" s="18" t="s">
        <v>358</v>
      </c>
      <c r="G153" s="15" t="s">
        <v>350</v>
      </c>
      <c r="H153" s="15" t="s">
        <v>28</v>
      </c>
      <c r="I153" s="15" t="s">
        <v>29</v>
      </c>
      <c r="J153" s="15" t="s">
        <v>30</v>
      </c>
      <c r="K153" s="15" t="s">
        <v>31</v>
      </c>
      <c r="L153" s="15"/>
      <c r="M153" s="25"/>
      <c r="N153" s="11">
        <v>85.0</v>
      </c>
      <c r="O153" s="15">
        <v>750.0</v>
      </c>
      <c r="P153" s="14" t="s">
        <v>105</v>
      </c>
      <c r="Q153" s="11" t="s">
        <v>284</v>
      </c>
      <c r="R153" s="15"/>
      <c r="S153" s="25" t="b">
        <v>0</v>
      </c>
      <c r="T153" s="25" t="b">
        <v>0</v>
      </c>
      <c r="U153" s="25" t="b">
        <v>0</v>
      </c>
      <c r="V153" s="24" t="b">
        <v>0</v>
      </c>
      <c r="W153" s="24" t="b">
        <v>0</v>
      </c>
    </row>
    <row r="154" ht="15.75" customHeight="1">
      <c r="A154" s="7" t="s">
        <v>153</v>
      </c>
      <c r="B154" s="12" t="s">
        <v>24</v>
      </c>
      <c r="C154" s="11">
        <v>2.0</v>
      </c>
      <c r="D154" s="10">
        <v>2018.0</v>
      </c>
      <c r="E154" s="11" t="s">
        <v>359</v>
      </c>
      <c r="F154" s="18" t="s">
        <v>360</v>
      </c>
      <c r="G154" s="12" t="s">
        <v>27</v>
      </c>
      <c r="H154" s="12" t="s">
        <v>28</v>
      </c>
      <c r="I154" s="12" t="s">
        <v>29</v>
      </c>
      <c r="J154" s="12" t="s">
        <v>30</v>
      </c>
      <c r="K154" s="12" t="s">
        <v>65</v>
      </c>
      <c r="L154" s="17"/>
      <c r="M154" s="19" t="s">
        <v>361</v>
      </c>
      <c r="N154" s="11" t="s">
        <v>326</v>
      </c>
      <c r="O154" s="11">
        <v>750.0</v>
      </c>
      <c r="P154" s="10" t="s">
        <v>53</v>
      </c>
      <c r="Q154" s="11"/>
      <c r="R154" s="12"/>
      <c r="S154" s="17" t="b">
        <v>0</v>
      </c>
      <c r="T154" s="17" t="b">
        <v>0</v>
      </c>
      <c r="U154" s="17" t="b">
        <v>0</v>
      </c>
      <c r="V154" s="17" t="b">
        <v>0</v>
      </c>
      <c r="W154" s="17" t="b">
        <v>0</v>
      </c>
    </row>
    <row r="155" ht="15.75" customHeight="1">
      <c r="A155" s="7" t="s">
        <v>23</v>
      </c>
      <c r="B155" s="12" t="s">
        <v>24</v>
      </c>
      <c r="C155" s="15">
        <v>1.0</v>
      </c>
      <c r="D155" s="10">
        <v>2018.0</v>
      </c>
      <c r="E155" s="15" t="s">
        <v>225</v>
      </c>
      <c r="F155" s="19" t="s">
        <v>226</v>
      </c>
      <c r="G155" s="12" t="s">
        <v>139</v>
      </c>
      <c r="H155" s="12" t="s">
        <v>41</v>
      </c>
      <c r="I155" s="12" t="s">
        <v>75</v>
      </c>
      <c r="J155" s="12" t="s">
        <v>227</v>
      </c>
      <c r="K155" s="26" t="s">
        <v>140</v>
      </c>
      <c r="L155" s="26" t="s">
        <v>228</v>
      </c>
      <c r="M155" s="17"/>
      <c r="N155" s="21">
        <v>80.0</v>
      </c>
      <c r="O155" s="15">
        <v>750.0</v>
      </c>
      <c r="P155" s="14" t="s">
        <v>34</v>
      </c>
      <c r="Q155" s="11" t="s">
        <v>43</v>
      </c>
      <c r="R155" s="12"/>
      <c r="S155" s="17" t="b">
        <v>0</v>
      </c>
      <c r="T155" s="17" t="b">
        <v>0</v>
      </c>
      <c r="U155" s="17" t="b">
        <v>0</v>
      </c>
      <c r="V155" s="17" t="b">
        <v>0</v>
      </c>
      <c r="W155" s="17" t="b">
        <v>0</v>
      </c>
    </row>
    <row r="156" hidden="1">
      <c r="A156" s="7" t="s">
        <v>23</v>
      </c>
      <c r="B156" s="12" t="s">
        <v>24</v>
      </c>
      <c r="C156" s="11">
        <v>1.0</v>
      </c>
      <c r="D156" s="10">
        <v>2018.0</v>
      </c>
      <c r="E156" s="15" t="s">
        <v>282</v>
      </c>
      <c r="F156" s="18" t="s">
        <v>235</v>
      </c>
      <c r="G156" s="8" t="s">
        <v>235</v>
      </c>
      <c r="H156" s="12" t="s">
        <v>28</v>
      </c>
      <c r="I156" s="12" t="s">
        <v>29</v>
      </c>
      <c r="J156" s="12" t="s">
        <v>30</v>
      </c>
      <c r="K156" s="12" t="s">
        <v>31</v>
      </c>
      <c r="L156" s="20"/>
      <c r="M156" s="19"/>
      <c r="N156" s="11">
        <v>80.0</v>
      </c>
      <c r="O156" s="15">
        <v>750.0</v>
      </c>
      <c r="P156" s="14" t="s">
        <v>34</v>
      </c>
      <c r="Q156" s="11" t="s">
        <v>362</v>
      </c>
      <c r="R156" s="12"/>
      <c r="S156" s="16" t="b">
        <v>1</v>
      </c>
      <c r="T156" s="17" t="b">
        <v>0</v>
      </c>
      <c r="U156" s="17" t="b">
        <v>0</v>
      </c>
      <c r="V156" s="16" t="b">
        <v>0</v>
      </c>
      <c r="W156" s="16" t="b">
        <v>1</v>
      </c>
    </row>
    <row r="157">
      <c r="A157" s="22" t="s">
        <v>153</v>
      </c>
      <c r="B157" s="15" t="s">
        <v>24</v>
      </c>
      <c r="C157" s="11">
        <v>1.0</v>
      </c>
      <c r="D157" s="14">
        <v>2018.0</v>
      </c>
      <c r="E157" s="15" t="s">
        <v>282</v>
      </c>
      <c r="F157" s="18" t="s">
        <v>363</v>
      </c>
      <c r="G157" s="15" t="s">
        <v>27</v>
      </c>
      <c r="H157" s="15" t="s">
        <v>28</v>
      </c>
      <c r="I157" s="15" t="s">
        <v>29</v>
      </c>
      <c r="J157" s="15" t="s">
        <v>30</v>
      </c>
      <c r="K157" s="15" t="s">
        <v>31</v>
      </c>
      <c r="L157" s="15"/>
      <c r="M157" s="8"/>
      <c r="N157" s="11" t="s">
        <v>326</v>
      </c>
      <c r="O157" s="15">
        <v>750.0</v>
      </c>
      <c r="P157" s="14" t="s">
        <v>53</v>
      </c>
      <c r="Q157" s="27" t="s">
        <v>94</v>
      </c>
      <c r="R157" s="15"/>
      <c r="S157" s="25" t="b">
        <v>0</v>
      </c>
      <c r="T157" s="25" t="b">
        <v>0</v>
      </c>
      <c r="U157" s="25" t="b">
        <v>0</v>
      </c>
      <c r="V157" s="24" t="b">
        <v>0</v>
      </c>
      <c r="W157" s="24" t="b">
        <v>0</v>
      </c>
    </row>
    <row r="158">
      <c r="A158" s="22" t="s">
        <v>23</v>
      </c>
      <c r="B158" s="11" t="s">
        <v>44</v>
      </c>
      <c r="C158" s="11">
        <v>1.0</v>
      </c>
      <c r="D158" s="10">
        <v>2018.0</v>
      </c>
      <c r="E158" s="11" t="s">
        <v>364</v>
      </c>
      <c r="F158" s="18" t="s">
        <v>365</v>
      </c>
      <c r="G158" s="11" t="s">
        <v>350</v>
      </c>
      <c r="H158" s="11" t="s">
        <v>28</v>
      </c>
      <c r="I158" s="12" t="s">
        <v>29</v>
      </c>
      <c r="J158" s="11" t="s">
        <v>130</v>
      </c>
      <c r="K158" s="15"/>
      <c r="L158" s="38"/>
      <c r="M158" s="18" t="s">
        <v>366</v>
      </c>
      <c r="N158" s="21">
        <v>80.0</v>
      </c>
      <c r="O158" s="11">
        <v>750.0</v>
      </c>
      <c r="P158" s="10" t="s">
        <v>105</v>
      </c>
      <c r="Q158" s="22" t="s">
        <v>98</v>
      </c>
      <c r="R158" s="15"/>
      <c r="S158" s="25" t="b">
        <v>0</v>
      </c>
      <c r="T158" s="24" t="b">
        <v>0</v>
      </c>
      <c r="U158" s="25" t="b">
        <v>0</v>
      </c>
      <c r="V158" s="24" t="b">
        <v>0</v>
      </c>
      <c r="W158" s="24" t="b">
        <v>0</v>
      </c>
    </row>
    <row r="159" hidden="1">
      <c r="A159" s="7" t="s">
        <v>153</v>
      </c>
      <c r="B159" s="12" t="s">
        <v>24</v>
      </c>
      <c r="C159" s="15">
        <v>1.0</v>
      </c>
      <c r="D159" s="14">
        <v>2019.0</v>
      </c>
      <c r="E159" s="15" t="s">
        <v>329</v>
      </c>
      <c r="F159" s="19" t="s">
        <v>367</v>
      </c>
      <c r="G159" s="12" t="s">
        <v>27</v>
      </c>
      <c r="H159" s="12" t="s">
        <v>28</v>
      </c>
      <c r="I159" s="12" t="s">
        <v>29</v>
      </c>
      <c r="J159" s="12" t="s">
        <v>30</v>
      </c>
      <c r="K159" s="26" t="s">
        <v>31</v>
      </c>
      <c r="L159" s="17"/>
      <c r="M159" s="17"/>
      <c r="N159" s="15">
        <v>65.0</v>
      </c>
      <c r="O159" s="15">
        <v>750.0</v>
      </c>
      <c r="P159" s="14" t="s">
        <v>105</v>
      </c>
      <c r="Q159" s="15" t="s">
        <v>125</v>
      </c>
      <c r="R159" s="12"/>
      <c r="S159" s="16" t="b">
        <v>1</v>
      </c>
      <c r="T159" s="16" t="b">
        <v>1</v>
      </c>
      <c r="U159" s="17" t="b">
        <v>0</v>
      </c>
      <c r="V159" s="17" t="b">
        <v>0</v>
      </c>
      <c r="W159" s="17" t="b">
        <v>0</v>
      </c>
    </row>
    <row r="160">
      <c r="A160" s="7" t="s">
        <v>23</v>
      </c>
      <c r="B160" s="12" t="s">
        <v>24</v>
      </c>
      <c r="C160" s="15">
        <v>2.0</v>
      </c>
      <c r="D160" s="14">
        <v>2018.0</v>
      </c>
      <c r="E160" s="15" t="s">
        <v>368</v>
      </c>
      <c r="F160" s="19" t="s">
        <v>369</v>
      </c>
      <c r="G160" s="12" t="s">
        <v>27</v>
      </c>
      <c r="H160" s="12" t="s">
        <v>28</v>
      </c>
      <c r="I160" s="12" t="s">
        <v>29</v>
      </c>
      <c r="J160" s="12" t="s">
        <v>30</v>
      </c>
      <c r="K160" s="26" t="s">
        <v>31</v>
      </c>
      <c r="L160" s="20"/>
      <c r="M160" s="12" t="s">
        <v>370</v>
      </c>
      <c r="N160" s="28">
        <v>75.0</v>
      </c>
      <c r="O160" s="15">
        <v>750.0</v>
      </c>
      <c r="P160" s="14" t="s">
        <v>34</v>
      </c>
      <c r="Q160" s="40" t="s">
        <v>161</v>
      </c>
      <c r="R160" s="12"/>
      <c r="S160" s="17" t="b">
        <v>0</v>
      </c>
      <c r="T160" s="17" t="b">
        <v>0</v>
      </c>
      <c r="U160" s="17" t="b">
        <v>0</v>
      </c>
      <c r="V160" s="17" t="b">
        <v>0</v>
      </c>
      <c r="W160" s="17" t="b">
        <v>0</v>
      </c>
    </row>
    <row r="161">
      <c r="A161" s="7" t="s">
        <v>23</v>
      </c>
      <c r="B161" s="8" t="s">
        <v>24</v>
      </c>
      <c r="C161" s="11">
        <v>1.0</v>
      </c>
      <c r="D161" s="10">
        <v>2018.0</v>
      </c>
      <c r="E161" s="11" t="s">
        <v>371</v>
      </c>
      <c r="F161" s="18" t="s">
        <v>372</v>
      </c>
      <c r="G161" s="8" t="s">
        <v>40</v>
      </c>
      <c r="H161" s="8"/>
      <c r="I161" s="8"/>
      <c r="J161" s="8" t="s">
        <v>373</v>
      </c>
      <c r="K161" s="8"/>
      <c r="L161" s="20"/>
      <c r="M161" s="18"/>
      <c r="N161" s="21">
        <v>60.0</v>
      </c>
      <c r="O161" s="11">
        <v>750.0</v>
      </c>
      <c r="P161" s="14" t="s">
        <v>34</v>
      </c>
      <c r="Q161" s="11" t="s">
        <v>43</v>
      </c>
      <c r="R161" s="12"/>
      <c r="S161" s="17" t="b">
        <v>0</v>
      </c>
      <c r="T161" s="17" t="b">
        <v>0</v>
      </c>
      <c r="U161" s="17" t="b">
        <v>0</v>
      </c>
      <c r="V161" s="17" t="b">
        <v>0</v>
      </c>
      <c r="W161" s="17" t="b">
        <v>0</v>
      </c>
    </row>
    <row r="162" hidden="1">
      <c r="A162" s="22" t="s">
        <v>23</v>
      </c>
      <c r="B162" s="15" t="s">
        <v>24</v>
      </c>
      <c r="C162" s="11">
        <v>1.0</v>
      </c>
      <c r="D162" s="14">
        <v>2018.0</v>
      </c>
      <c r="E162" s="15" t="s">
        <v>254</v>
      </c>
      <c r="F162" s="19" t="s">
        <v>374</v>
      </c>
      <c r="G162" s="15" t="s">
        <v>139</v>
      </c>
      <c r="H162" s="15" t="s">
        <v>28</v>
      </c>
      <c r="I162" s="15" t="s">
        <v>58</v>
      </c>
      <c r="J162" s="25"/>
      <c r="K162" s="38"/>
      <c r="L162" s="38"/>
      <c r="M162" s="25"/>
      <c r="N162" s="15">
        <v>57.0</v>
      </c>
      <c r="O162" s="15">
        <v>750.0</v>
      </c>
      <c r="P162" s="14" t="s">
        <v>105</v>
      </c>
      <c r="Q162" s="27" t="s">
        <v>78</v>
      </c>
      <c r="R162" s="15"/>
      <c r="S162" s="24" t="b">
        <v>1</v>
      </c>
      <c r="T162" s="25" t="b">
        <v>0</v>
      </c>
      <c r="U162" s="25" t="b">
        <v>0</v>
      </c>
      <c r="V162" s="24" t="b">
        <v>0</v>
      </c>
      <c r="W162" s="24" t="b">
        <v>1</v>
      </c>
    </row>
    <row r="163">
      <c r="A163" s="7" t="s">
        <v>153</v>
      </c>
      <c r="B163" s="12" t="s">
        <v>24</v>
      </c>
      <c r="C163" s="15">
        <v>2.0</v>
      </c>
      <c r="D163" s="10">
        <v>2019.0</v>
      </c>
      <c r="E163" s="15" t="s">
        <v>313</v>
      </c>
      <c r="F163" s="19" t="s">
        <v>314</v>
      </c>
      <c r="G163" s="12" t="s">
        <v>156</v>
      </c>
      <c r="H163" s="12" t="s">
        <v>28</v>
      </c>
      <c r="I163" s="12" t="s">
        <v>29</v>
      </c>
      <c r="J163" s="12" t="s">
        <v>30</v>
      </c>
      <c r="K163" s="12" t="s">
        <v>31</v>
      </c>
      <c r="L163" s="15" t="s">
        <v>186</v>
      </c>
      <c r="M163" s="19" t="s">
        <v>315</v>
      </c>
      <c r="N163" s="15">
        <v>225.0</v>
      </c>
      <c r="O163" s="15">
        <v>750.0</v>
      </c>
      <c r="P163" s="14" t="s">
        <v>34</v>
      </c>
      <c r="Q163" s="11" t="s">
        <v>309</v>
      </c>
      <c r="R163" s="12"/>
      <c r="S163" s="17" t="b">
        <v>0</v>
      </c>
      <c r="T163" s="17" t="b">
        <v>0</v>
      </c>
      <c r="U163" s="17" t="b">
        <v>0</v>
      </c>
      <c r="V163" s="17" t="b">
        <v>0</v>
      </c>
      <c r="W163" s="17" t="b">
        <v>0</v>
      </c>
    </row>
    <row r="164">
      <c r="A164" s="22" t="s">
        <v>23</v>
      </c>
      <c r="B164" s="11" t="s">
        <v>24</v>
      </c>
      <c r="C164" s="11">
        <v>1.0</v>
      </c>
      <c r="D164" s="10">
        <v>2019.0</v>
      </c>
      <c r="E164" s="11" t="s">
        <v>375</v>
      </c>
      <c r="F164" s="18" t="s">
        <v>376</v>
      </c>
      <c r="G164" s="11" t="s">
        <v>129</v>
      </c>
      <c r="H164" s="11" t="s">
        <v>41</v>
      </c>
      <c r="I164" s="15"/>
      <c r="J164" s="11" t="s">
        <v>377</v>
      </c>
      <c r="K164" s="11" t="s">
        <v>378</v>
      </c>
      <c r="L164" s="38"/>
      <c r="M164" s="18" t="s">
        <v>379</v>
      </c>
      <c r="N164" s="21">
        <v>67.0</v>
      </c>
      <c r="O164" s="15">
        <v>750.0</v>
      </c>
      <c r="P164" s="10" t="s">
        <v>34</v>
      </c>
      <c r="Q164" s="11" t="s">
        <v>98</v>
      </c>
      <c r="R164" s="15"/>
      <c r="S164" s="25" t="b">
        <v>0</v>
      </c>
      <c r="T164" s="24" t="b">
        <v>0</v>
      </c>
      <c r="U164" s="25" t="b">
        <v>0</v>
      </c>
      <c r="V164" s="24" t="b">
        <v>0</v>
      </c>
      <c r="W164" s="24" t="b">
        <v>0</v>
      </c>
    </row>
    <row r="165">
      <c r="A165" s="7" t="s">
        <v>153</v>
      </c>
      <c r="B165" s="12" t="s">
        <v>24</v>
      </c>
      <c r="C165" s="11">
        <v>2.0</v>
      </c>
      <c r="D165" s="10">
        <v>2019.0</v>
      </c>
      <c r="E165" s="15" t="s">
        <v>329</v>
      </c>
      <c r="F165" s="18" t="s">
        <v>380</v>
      </c>
      <c r="G165" s="12" t="s">
        <v>27</v>
      </c>
      <c r="H165" s="12" t="s">
        <v>28</v>
      </c>
      <c r="I165" s="12" t="s">
        <v>29</v>
      </c>
      <c r="J165" s="12" t="s">
        <v>30</v>
      </c>
      <c r="K165" s="26" t="s">
        <v>31</v>
      </c>
      <c r="L165" s="12" t="s">
        <v>333</v>
      </c>
      <c r="M165" s="8" t="s">
        <v>380</v>
      </c>
      <c r="N165" s="11">
        <v>115.0</v>
      </c>
      <c r="O165" s="15">
        <v>750.0</v>
      </c>
      <c r="P165" s="14" t="s">
        <v>34</v>
      </c>
      <c r="Q165" s="22" t="s">
        <v>309</v>
      </c>
      <c r="R165" s="12"/>
      <c r="S165" s="17" t="b">
        <v>0</v>
      </c>
      <c r="T165" s="17" t="b">
        <v>0</v>
      </c>
      <c r="U165" s="17" t="b">
        <v>0</v>
      </c>
      <c r="V165" s="17" t="b">
        <v>0</v>
      </c>
      <c r="W165" s="17" t="b">
        <v>0</v>
      </c>
    </row>
    <row r="166">
      <c r="A166" s="7" t="s">
        <v>153</v>
      </c>
      <c r="B166" s="12" t="s">
        <v>24</v>
      </c>
      <c r="C166" s="15">
        <v>2.0</v>
      </c>
      <c r="D166" s="14">
        <v>2019.0</v>
      </c>
      <c r="E166" s="15" t="s">
        <v>329</v>
      </c>
      <c r="F166" s="19" t="s">
        <v>367</v>
      </c>
      <c r="G166" s="12" t="s">
        <v>27</v>
      </c>
      <c r="H166" s="12" t="s">
        <v>28</v>
      </c>
      <c r="I166" s="12" t="s">
        <v>29</v>
      </c>
      <c r="J166" s="12" t="s">
        <v>30</v>
      </c>
      <c r="K166" s="60" t="s">
        <v>31</v>
      </c>
      <c r="L166" s="17"/>
      <c r="M166" s="19"/>
      <c r="N166" s="15">
        <v>65.0</v>
      </c>
      <c r="O166" s="15">
        <v>750.0</v>
      </c>
      <c r="P166" s="14" t="s">
        <v>105</v>
      </c>
      <c r="Q166" s="11" t="s">
        <v>309</v>
      </c>
      <c r="R166" s="12"/>
      <c r="S166" s="17" t="b">
        <v>0</v>
      </c>
      <c r="T166" s="17" t="b">
        <v>0</v>
      </c>
      <c r="U166" s="17" t="b">
        <v>0</v>
      </c>
      <c r="V166" s="17" t="b">
        <v>0</v>
      </c>
      <c r="W166" s="17" t="b">
        <v>0</v>
      </c>
    </row>
    <row r="167" hidden="1">
      <c r="A167" s="7" t="s">
        <v>23</v>
      </c>
      <c r="B167" s="12" t="s">
        <v>24</v>
      </c>
      <c r="C167" s="15">
        <v>1.0</v>
      </c>
      <c r="D167" s="10">
        <v>2019.0</v>
      </c>
      <c r="E167" s="15" t="s">
        <v>276</v>
      </c>
      <c r="F167" s="19" t="s">
        <v>156</v>
      </c>
      <c r="G167" s="12" t="s">
        <v>156</v>
      </c>
      <c r="H167" s="12" t="s">
        <v>28</v>
      </c>
      <c r="I167" s="12" t="s">
        <v>29</v>
      </c>
      <c r="J167" s="12" t="s">
        <v>30</v>
      </c>
      <c r="K167" s="60" t="s">
        <v>97</v>
      </c>
      <c r="L167" s="20"/>
      <c r="M167" s="19"/>
      <c r="N167" s="11">
        <v>45.0</v>
      </c>
      <c r="O167" s="15">
        <v>750.0</v>
      </c>
      <c r="P167" s="14" t="s">
        <v>105</v>
      </c>
      <c r="Q167" s="27" t="s">
        <v>78</v>
      </c>
      <c r="R167" s="12"/>
      <c r="S167" s="16" t="b">
        <v>1</v>
      </c>
      <c r="T167" s="16" t="b">
        <v>1</v>
      </c>
      <c r="U167" s="17" t="b">
        <v>0</v>
      </c>
      <c r="V167" s="17" t="b">
        <v>0</v>
      </c>
      <c r="W167" s="16" t="b">
        <v>1</v>
      </c>
    </row>
    <row r="168">
      <c r="A168" s="22" t="s">
        <v>23</v>
      </c>
      <c r="B168" s="11" t="s">
        <v>24</v>
      </c>
      <c r="C168" s="11">
        <v>2.0</v>
      </c>
      <c r="D168" s="10">
        <v>2019.0</v>
      </c>
      <c r="E168" s="11" t="s">
        <v>310</v>
      </c>
      <c r="F168" s="18" t="s">
        <v>381</v>
      </c>
      <c r="G168" s="11" t="s">
        <v>139</v>
      </c>
      <c r="H168" s="11" t="s">
        <v>41</v>
      </c>
      <c r="I168" s="15"/>
      <c r="J168" s="11" t="s">
        <v>140</v>
      </c>
      <c r="K168" s="11" t="s">
        <v>382</v>
      </c>
      <c r="L168" s="38"/>
      <c r="M168" s="19"/>
      <c r="N168" s="21">
        <v>80.0</v>
      </c>
      <c r="O168" s="15">
        <v>750.0</v>
      </c>
      <c r="P168" s="10" t="s">
        <v>34</v>
      </c>
      <c r="Q168" s="27" t="s">
        <v>94</v>
      </c>
      <c r="R168" s="15"/>
      <c r="S168" s="25" t="b">
        <v>0</v>
      </c>
      <c r="T168" s="24" t="b">
        <v>0</v>
      </c>
      <c r="U168" s="25" t="b">
        <v>0</v>
      </c>
      <c r="V168" s="24" t="b">
        <v>0</v>
      </c>
      <c r="W168" s="24" t="b">
        <v>0</v>
      </c>
    </row>
    <row r="169">
      <c r="A169" s="22" t="s">
        <v>23</v>
      </c>
      <c r="B169" s="11" t="s">
        <v>24</v>
      </c>
      <c r="C169" s="11">
        <v>1.0</v>
      </c>
      <c r="D169" s="10">
        <v>2019.0</v>
      </c>
      <c r="E169" s="11" t="s">
        <v>310</v>
      </c>
      <c r="F169" s="18" t="s">
        <v>311</v>
      </c>
      <c r="G169" s="11" t="s">
        <v>139</v>
      </c>
      <c r="H169" s="11" t="s">
        <v>41</v>
      </c>
      <c r="I169" s="15"/>
      <c r="J169" s="11" t="s">
        <v>140</v>
      </c>
      <c r="K169" s="11" t="s">
        <v>312</v>
      </c>
      <c r="L169" s="38"/>
      <c r="M169" s="19"/>
      <c r="N169" s="21">
        <v>30.0</v>
      </c>
      <c r="O169" s="15">
        <v>750.0</v>
      </c>
      <c r="P169" s="10" t="s">
        <v>105</v>
      </c>
      <c r="Q169" s="29" t="s">
        <v>383</v>
      </c>
      <c r="R169" s="15"/>
      <c r="S169" s="25" t="b">
        <v>0</v>
      </c>
      <c r="T169" s="24" t="b">
        <v>0</v>
      </c>
      <c r="U169" s="25" t="b">
        <v>0</v>
      </c>
      <c r="V169" s="24" t="b">
        <v>0</v>
      </c>
      <c r="W169" s="24" t="b">
        <v>0</v>
      </c>
    </row>
    <row r="170">
      <c r="A170" s="7" t="s">
        <v>153</v>
      </c>
      <c r="B170" s="12" t="s">
        <v>24</v>
      </c>
      <c r="C170" s="11">
        <v>1.0</v>
      </c>
      <c r="D170" s="10">
        <v>2019.0</v>
      </c>
      <c r="E170" s="11" t="s">
        <v>359</v>
      </c>
      <c r="F170" s="18" t="s">
        <v>384</v>
      </c>
      <c r="G170" s="12" t="s">
        <v>27</v>
      </c>
      <c r="H170" s="12" t="s">
        <v>28</v>
      </c>
      <c r="I170" s="12" t="s">
        <v>29</v>
      </c>
      <c r="J170" s="12" t="s">
        <v>30</v>
      </c>
      <c r="K170" s="12" t="s">
        <v>65</v>
      </c>
      <c r="L170" s="17"/>
      <c r="M170" s="19" t="s">
        <v>361</v>
      </c>
      <c r="N170" s="11">
        <v>75.0</v>
      </c>
      <c r="O170" s="11">
        <v>750.0</v>
      </c>
      <c r="P170" s="10" t="s">
        <v>34</v>
      </c>
      <c r="Q170" s="22" t="s">
        <v>362</v>
      </c>
      <c r="R170" s="12"/>
      <c r="S170" s="17" t="b">
        <v>0</v>
      </c>
      <c r="T170" s="17" t="b">
        <v>0</v>
      </c>
      <c r="U170" s="17" t="b">
        <v>0</v>
      </c>
      <c r="V170" s="17" t="b">
        <v>0</v>
      </c>
      <c r="W170" s="17" t="b">
        <v>0</v>
      </c>
    </row>
    <row r="171">
      <c r="A171" s="7" t="s">
        <v>153</v>
      </c>
      <c r="B171" s="12" t="s">
        <v>24</v>
      </c>
      <c r="C171" s="11">
        <v>1.0</v>
      </c>
      <c r="D171" s="10">
        <v>2019.0</v>
      </c>
      <c r="E171" s="11" t="s">
        <v>359</v>
      </c>
      <c r="F171" s="18" t="s">
        <v>384</v>
      </c>
      <c r="G171" s="12" t="s">
        <v>27</v>
      </c>
      <c r="H171" s="12" t="s">
        <v>28</v>
      </c>
      <c r="I171" s="12" t="s">
        <v>29</v>
      </c>
      <c r="J171" s="12" t="s">
        <v>30</v>
      </c>
      <c r="K171" s="12" t="s">
        <v>65</v>
      </c>
      <c r="L171" s="17"/>
      <c r="M171" s="19" t="s">
        <v>361</v>
      </c>
      <c r="N171" s="11">
        <v>75.0</v>
      </c>
      <c r="O171" s="11">
        <v>1500.0</v>
      </c>
      <c r="P171" s="10" t="s">
        <v>53</v>
      </c>
      <c r="Q171" s="22" t="s">
        <v>385</v>
      </c>
      <c r="R171" s="12"/>
      <c r="S171" s="17" t="b">
        <v>0</v>
      </c>
      <c r="T171" s="17" t="b">
        <v>0</v>
      </c>
      <c r="U171" s="17" t="b">
        <v>0</v>
      </c>
      <c r="V171" s="17" t="b">
        <v>0</v>
      </c>
      <c r="W171" s="17" t="b">
        <v>0</v>
      </c>
    </row>
    <row r="172" hidden="1">
      <c r="A172" s="22" t="s">
        <v>23</v>
      </c>
      <c r="B172" s="15" t="s">
        <v>24</v>
      </c>
      <c r="C172" s="15">
        <v>1.0</v>
      </c>
      <c r="D172" s="14">
        <v>2019.0</v>
      </c>
      <c r="E172" s="15" t="s">
        <v>386</v>
      </c>
      <c r="F172" s="19" t="s">
        <v>387</v>
      </c>
      <c r="G172" s="15" t="s">
        <v>191</v>
      </c>
      <c r="H172" s="15" t="s">
        <v>28</v>
      </c>
      <c r="I172" s="15" t="s">
        <v>29</v>
      </c>
      <c r="J172" s="15" t="s">
        <v>30</v>
      </c>
      <c r="K172" s="15" t="s">
        <v>130</v>
      </c>
      <c r="L172" s="38"/>
      <c r="M172" s="19"/>
      <c r="N172" s="15">
        <v>60.0</v>
      </c>
      <c r="O172" s="15">
        <v>750.0</v>
      </c>
      <c r="P172" s="14" t="s">
        <v>105</v>
      </c>
      <c r="Q172" s="11" t="s">
        <v>132</v>
      </c>
      <c r="R172" s="15"/>
      <c r="S172" s="24" t="b">
        <v>1</v>
      </c>
      <c r="T172" s="24" t="b">
        <v>1</v>
      </c>
      <c r="U172" s="25" t="b">
        <v>0</v>
      </c>
      <c r="V172" s="24" t="b">
        <v>0</v>
      </c>
      <c r="W172" s="24" t="b">
        <v>0</v>
      </c>
    </row>
    <row r="173">
      <c r="A173" s="22" t="s">
        <v>23</v>
      </c>
      <c r="B173" s="11" t="s">
        <v>24</v>
      </c>
      <c r="C173" s="11">
        <v>1.0</v>
      </c>
      <c r="D173" s="10">
        <v>2019.0</v>
      </c>
      <c r="E173" s="11" t="s">
        <v>347</v>
      </c>
      <c r="F173" s="18" t="s">
        <v>388</v>
      </c>
      <c r="G173" s="11" t="s">
        <v>235</v>
      </c>
      <c r="H173" s="11" t="s">
        <v>28</v>
      </c>
      <c r="I173" s="12" t="s">
        <v>29</v>
      </c>
      <c r="J173" s="11" t="s">
        <v>31</v>
      </c>
      <c r="K173" s="15"/>
      <c r="L173" s="38"/>
      <c r="M173" s="18" t="s">
        <v>348</v>
      </c>
      <c r="N173" s="21">
        <v>70.0</v>
      </c>
      <c r="O173" s="11">
        <v>750.0</v>
      </c>
      <c r="P173" s="10" t="s">
        <v>105</v>
      </c>
      <c r="Q173" s="11" t="s">
        <v>204</v>
      </c>
      <c r="R173" s="15"/>
      <c r="S173" s="25" t="b">
        <v>0</v>
      </c>
      <c r="T173" s="24" t="b">
        <v>0</v>
      </c>
      <c r="U173" s="25" t="b">
        <v>0</v>
      </c>
      <c r="V173" s="24" t="b">
        <v>0</v>
      </c>
      <c r="W173" s="24" t="b">
        <v>0</v>
      </c>
    </row>
    <row r="174">
      <c r="A174" s="7" t="s">
        <v>23</v>
      </c>
      <c r="B174" s="11" t="s">
        <v>24</v>
      </c>
      <c r="C174" s="11">
        <v>1.0</v>
      </c>
      <c r="D174" s="10">
        <v>2019.0</v>
      </c>
      <c r="E174" s="11" t="s">
        <v>359</v>
      </c>
      <c r="F174" s="18" t="s">
        <v>360</v>
      </c>
      <c r="G174" s="11" t="s">
        <v>74</v>
      </c>
      <c r="H174" s="12" t="s">
        <v>28</v>
      </c>
      <c r="I174" s="12" t="s">
        <v>29</v>
      </c>
      <c r="J174" s="12" t="s">
        <v>30</v>
      </c>
      <c r="K174" s="11" t="s">
        <v>65</v>
      </c>
      <c r="L174" s="38"/>
      <c r="M174" s="19"/>
      <c r="N174" s="21">
        <v>240.0</v>
      </c>
      <c r="O174" s="11">
        <v>750.0</v>
      </c>
      <c r="P174" s="10" t="s">
        <v>53</v>
      </c>
      <c r="Q174" s="27" t="s">
        <v>94</v>
      </c>
      <c r="R174" s="15"/>
      <c r="S174" s="25" t="b">
        <v>0</v>
      </c>
      <c r="T174" s="24" t="b">
        <v>0</v>
      </c>
      <c r="U174" s="25" t="b">
        <v>0</v>
      </c>
      <c r="V174" s="24" t="b">
        <v>0</v>
      </c>
      <c r="W174" s="24" t="b">
        <v>0</v>
      </c>
    </row>
    <row r="175">
      <c r="A175" s="7" t="s">
        <v>23</v>
      </c>
      <c r="B175" s="11" t="s">
        <v>24</v>
      </c>
      <c r="C175" s="11">
        <v>1.0</v>
      </c>
      <c r="D175" s="10">
        <v>2019.0</v>
      </c>
      <c r="E175" s="11" t="s">
        <v>359</v>
      </c>
      <c r="F175" s="18" t="s">
        <v>384</v>
      </c>
      <c r="G175" s="11" t="s">
        <v>74</v>
      </c>
      <c r="H175" s="12" t="s">
        <v>28</v>
      </c>
      <c r="I175" s="12" t="s">
        <v>29</v>
      </c>
      <c r="J175" s="12" t="s">
        <v>30</v>
      </c>
      <c r="K175" s="11"/>
      <c r="L175" s="38"/>
      <c r="M175" s="19"/>
      <c r="N175" s="21">
        <v>100.0</v>
      </c>
      <c r="O175" s="11">
        <v>750.0</v>
      </c>
      <c r="P175" s="10" t="s">
        <v>34</v>
      </c>
      <c r="Q175" s="27" t="s">
        <v>98</v>
      </c>
      <c r="R175" s="15"/>
      <c r="S175" s="25" t="b">
        <v>0</v>
      </c>
      <c r="T175" s="24" t="b">
        <v>0</v>
      </c>
      <c r="U175" s="25" t="b">
        <v>0</v>
      </c>
      <c r="V175" s="24" t="b">
        <v>0</v>
      </c>
      <c r="W175" s="24" t="b">
        <v>0</v>
      </c>
    </row>
    <row r="176">
      <c r="A176" s="7" t="s">
        <v>23</v>
      </c>
      <c r="B176" s="12" t="s">
        <v>24</v>
      </c>
      <c r="C176" s="15">
        <v>1.0</v>
      </c>
      <c r="D176" s="10">
        <v>2019.0</v>
      </c>
      <c r="E176" s="15" t="s">
        <v>225</v>
      </c>
      <c r="F176" s="19" t="s">
        <v>226</v>
      </c>
      <c r="G176" s="12" t="s">
        <v>139</v>
      </c>
      <c r="H176" s="12" t="s">
        <v>41</v>
      </c>
      <c r="I176" s="12" t="s">
        <v>75</v>
      </c>
      <c r="J176" s="12" t="s">
        <v>227</v>
      </c>
      <c r="K176" s="26" t="s">
        <v>140</v>
      </c>
      <c r="L176" s="26" t="s">
        <v>228</v>
      </c>
      <c r="M176" s="17"/>
      <c r="N176" s="21">
        <v>80.0</v>
      </c>
      <c r="O176" s="15">
        <v>750.0</v>
      </c>
      <c r="P176" s="14" t="s">
        <v>34</v>
      </c>
      <c r="Q176" s="29" t="s">
        <v>43</v>
      </c>
      <c r="R176" s="12"/>
      <c r="S176" s="17" t="b">
        <v>0</v>
      </c>
      <c r="T176" s="17" t="b">
        <v>0</v>
      </c>
      <c r="U176" s="17" t="b">
        <v>0</v>
      </c>
      <c r="V176" s="17" t="b">
        <v>0</v>
      </c>
      <c r="W176" s="17" t="b">
        <v>0</v>
      </c>
    </row>
    <row r="177">
      <c r="A177" s="7" t="s">
        <v>23</v>
      </c>
      <c r="B177" s="12" t="s">
        <v>24</v>
      </c>
      <c r="C177" s="15">
        <v>3.0</v>
      </c>
      <c r="D177" s="14">
        <v>2019.0</v>
      </c>
      <c r="E177" s="15" t="s">
        <v>386</v>
      </c>
      <c r="F177" s="19" t="s">
        <v>387</v>
      </c>
      <c r="G177" s="12" t="s">
        <v>191</v>
      </c>
      <c r="H177" s="12" t="s">
        <v>28</v>
      </c>
      <c r="I177" s="12" t="s">
        <v>29</v>
      </c>
      <c r="J177" s="12" t="s">
        <v>30</v>
      </c>
      <c r="K177" s="12" t="s">
        <v>130</v>
      </c>
      <c r="L177" s="20"/>
      <c r="M177" s="19"/>
      <c r="N177" s="28">
        <v>60.0</v>
      </c>
      <c r="O177" s="15">
        <v>750.0</v>
      </c>
      <c r="P177" s="14" t="s">
        <v>34</v>
      </c>
      <c r="Q177" s="40" t="s">
        <v>35</v>
      </c>
      <c r="R177" s="12"/>
      <c r="S177" s="17" t="b">
        <v>0</v>
      </c>
      <c r="T177" s="17" t="b">
        <v>0</v>
      </c>
      <c r="U177" s="17" t="b">
        <v>0</v>
      </c>
      <c r="V177" s="17" t="b">
        <v>0</v>
      </c>
      <c r="W177" s="17" t="b">
        <v>0</v>
      </c>
    </row>
    <row r="178" ht="15.75" hidden="1" customHeight="1">
      <c r="A178" s="30" t="s">
        <v>23</v>
      </c>
      <c r="B178" s="31" t="s">
        <v>24</v>
      </c>
      <c r="C178" s="31">
        <v>1.0</v>
      </c>
      <c r="D178" s="32">
        <v>2015.0</v>
      </c>
      <c r="E178" s="31" t="s">
        <v>170</v>
      </c>
      <c r="F178" s="33" t="s">
        <v>389</v>
      </c>
      <c r="G178" s="31" t="s">
        <v>390</v>
      </c>
      <c r="H178" s="31" t="s">
        <v>28</v>
      </c>
      <c r="I178" s="31" t="s">
        <v>29</v>
      </c>
      <c r="J178" s="31" t="s">
        <v>30</v>
      </c>
      <c r="K178" s="31" t="s">
        <v>31</v>
      </c>
      <c r="L178" s="36" t="s">
        <v>126</v>
      </c>
      <c r="M178" s="33"/>
      <c r="N178" s="31">
        <v>125.0</v>
      </c>
      <c r="O178" s="31">
        <v>750.0</v>
      </c>
      <c r="P178" s="32" t="s">
        <v>105</v>
      </c>
      <c r="Q178" s="31" t="s">
        <v>125</v>
      </c>
      <c r="R178" s="31"/>
      <c r="S178" s="37" t="b">
        <v>1</v>
      </c>
      <c r="T178" s="37" t="b">
        <v>1</v>
      </c>
      <c r="U178" s="36" t="b">
        <v>0</v>
      </c>
      <c r="V178" s="37" t="b">
        <v>1</v>
      </c>
      <c r="W178" s="37" t="b">
        <v>0</v>
      </c>
    </row>
    <row r="179">
      <c r="A179" s="7" t="s">
        <v>23</v>
      </c>
      <c r="B179" s="12" t="s">
        <v>24</v>
      </c>
      <c r="C179" s="15">
        <v>1.0</v>
      </c>
      <c r="D179" s="10">
        <v>2019.0</v>
      </c>
      <c r="E179" s="15" t="s">
        <v>188</v>
      </c>
      <c r="F179" s="19" t="s">
        <v>334</v>
      </c>
      <c r="G179" s="12" t="s">
        <v>191</v>
      </c>
      <c r="H179" s="12" t="s">
        <v>28</v>
      </c>
      <c r="I179" s="12" t="s">
        <v>29</v>
      </c>
      <c r="J179" s="12" t="s">
        <v>130</v>
      </c>
      <c r="K179" s="12"/>
      <c r="L179" s="20"/>
      <c r="M179" s="19" t="s">
        <v>334</v>
      </c>
      <c r="N179" s="28">
        <v>45.0</v>
      </c>
      <c r="O179" s="15">
        <v>750.0</v>
      </c>
      <c r="P179" s="14" t="s">
        <v>47</v>
      </c>
      <c r="Q179" s="27" t="s">
        <v>78</v>
      </c>
      <c r="R179" s="12"/>
      <c r="S179" s="17" t="b">
        <v>0</v>
      </c>
      <c r="T179" s="17" t="b">
        <v>0</v>
      </c>
      <c r="U179" s="17" t="b">
        <v>0</v>
      </c>
      <c r="V179" s="17" t="b">
        <v>0</v>
      </c>
      <c r="W179" s="16" t="b">
        <v>1</v>
      </c>
    </row>
    <row r="180" hidden="1">
      <c r="A180" s="7" t="s">
        <v>23</v>
      </c>
      <c r="B180" s="12" t="s">
        <v>44</v>
      </c>
      <c r="C180" s="11">
        <v>1.0</v>
      </c>
      <c r="D180" s="14" t="s">
        <v>75</v>
      </c>
      <c r="E180" s="15" t="s">
        <v>103</v>
      </c>
      <c r="F180" s="19" t="s">
        <v>391</v>
      </c>
      <c r="G180" s="12" t="s">
        <v>40</v>
      </c>
      <c r="H180" s="12" t="s">
        <v>28</v>
      </c>
      <c r="I180" s="12" t="s">
        <v>29</v>
      </c>
      <c r="J180" s="12" t="s">
        <v>30</v>
      </c>
      <c r="K180" s="20"/>
      <c r="L180" s="17"/>
      <c r="M180" s="17"/>
      <c r="N180" s="15">
        <v>40.0</v>
      </c>
      <c r="O180" s="15">
        <v>750.0</v>
      </c>
      <c r="P180" s="14" t="s">
        <v>105</v>
      </c>
      <c r="Q180" s="15" t="s">
        <v>48</v>
      </c>
      <c r="R180" s="12"/>
      <c r="S180" s="16" t="b">
        <v>1</v>
      </c>
      <c r="T180" s="16" t="b">
        <v>1</v>
      </c>
      <c r="U180" s="16" t="b">
        <v>0</v>
      </c>
      <c r="V180" s="16" t="b">
        <v>0</v>
      </c>
      <c r="W180" s="16" t="b">
        <v>0</v>
      </c>
    </row>
    <row r="181">
      <c r="A181" s="7" t="s">
        <v>23</v>
      </c>
      <c r="B181" s="12" t="s">
        <v>37</v>
      </c>
      <c r="C181" s="11">
        <v>3.0</v>
      </c>
      <c r="D181" s="10">
        <v>2019.0</v>
      </c>
      <c r="E181" s="11" t="s">
        <v>133</v>
      </c>
      <c r="F181" s="18" t="s">
        <v>392</v>
      </c>
      <c r="G181" s="12" t="s">
        <v>40</v>
      </c>
      <c r="H181" s="12" t="s">
        <v>51</v>
      </c>
      <c r="I181" s="12"/>
      <c r="J181" s="12"/>
      <c r="K181" s="20"/>
      <c r="L181" s="18" t="s">
        <v>135</v>
      </c>
      <c r="M181" s="17"/>
      <c r="N181" s="21">
        <v>30.0</v>
      </c>
      <c r="O181" s="11">
        <v>500.0</v>
      </c>
      <c r="P181" s="10" t="s">
        <v>105</v>
      </c>
      <c r="Q181" s="22" t="s">
        <v>54</v>
      </c>
      <c r="R181" s="8"/>
      <c r="S181" s="16" t="b">
        <v>0</v>
      </c>
      <c r="T181" s="16" t="b">
        <v>0</v>
      </c>
      <c r="U181" s="16" t="b">
        <v>0</v>
      </c>
      <c r="V181" s="16" t="b">
        <v>0</v>
      </c>
      <c r="W181" s="16" t="b">
        <v>0</v>
      </c>
    </row>
    <row r="182">
      <c r="A182" s="7" t="s">
        <v>153</v>
      </c>
      <c r="B182" s="12" t="s">
        <v>24</v>
      </c>
      <c r="C182" s="15">
        <v>2.0</v>
      </c>
      <c r="D182" s="10">
        <v>2020.0</v>
      </c>
      <c r="E182" s="15" t="s">
        <v>329</v>
      </c>
      <c r="F182" s="19" t="s">
        <v>367</v>
      </c>
      <c r="G182" s="12" t="s">
        <v>27</v>
      </c>
      <c r="H182" s="12" t="s">
        <v>28</v>
      </c>
      <c r="I182" s="12" t="s">
        <v>29</v>
      </c>
      <c r="J182" s="12" t="s">
        <v>30</v>
      </c>
      <c r="K182" s="12" t="s">
        <v>31</v>
      </c>
      <c r="L182" s="17"/>
      <c r="M182" s="19"/>
      <c r="N182" s="15">
        <v>65.0</v>
      </c>
      <c r="O182" s="15">
        <v>750.0</v>
      </c>
      <c r="P182" s="14" t="s">
        <v>105</v>
      </c>
      <c r="Q182" s="11" t="s">
        <v>309</v>
      </c>
      <c r="R182" s="12"/>
      <c r="S182" s="17" t="b">
        <v>0</v>
      </c>
      <c r="T182" s="17" t="b">
        <v>0</v>
      </c>
      <c r="U182" s="17" t="b">
        <v>0</v>
      </c>
      <c r="V182" s="17" t="b">
        <v>0</v>
      </c>
      <c r="W182" s="17" t="b">
        <v>0</v>
      </c>
    </row>
    <row r="183" hidden="1">
      <c r="A183" s="7" t="s">
        <v>23</v>
      </c>
      <c r="B183" s="11" t="s">
        <v>37</v>
      </c>
      <c r="C183" s="11">
        <v>1.0</v>
      </c>
      <c r="D183" s="10">
        <v>2020.0</v>
      </c>
      <c r="E183" s="11" t="s">
        <v>393</v>
      </c>
      <c r="F183" s="18" t="s">
        <v>394</v>
      </c>
      <c r="G183" s="11" t="s">
        <v>350</v>
      </c>
      <c r="H183" s="11" t="s">
        <v>41</v>
      </c>
      <c r="I183" s="15"/>
      <c r="J183" s="11" t="s">
        <v>395</v>
      </c>
      <c r="K183" s="27" t="s">
        <v>396</v>
      </c>
      <c r="L183" s="38"/>
      <c r="M183" s="19"/>
      <c r="N183" s="11" t="s">
        <v>326</v>
      </c>
      <c r="O183" s="15">
        <v>750.0</v>
      </c>
      <c r="P183" s="10" t="s">
        <v>34</v>
      </c>
      <c r="Q183" s="11" t="s">
        <v>362</v>
      </c>
      <c r="R183" s="15"/>
      <c r="S183" s="24" t="b">
        <v>1</v>
      </c>
      <c r="T183" s="24" t="b">
        <v>0</v>
      </c>
      <c r="U183" s="25" t="b">
        <v>0</v>
      </c>
      <c r="V183" s="24" t="b">
        <v>0</v>
      </c>
      <c r="W183" s="24" t="b">
        <v>0</v>
      </c>
    </row>
    <row r="184" hidden="1">
      <c r="A184" s="22" t="s">
        <v>23</v>
      </c>
      <c r="B184" s="11" t="s">
        <v>37</v>
      </c>
      <c r="C184" s="11">
        <v>1.0</v>
      </c>
      <c r="D184" s="10">
        <v>2020.0</v>
      </c>
      <c r="E184" s="11" t="s">
        <v>322</v>
      </c>
      <c r="F184" s="18" t="s">
        <v>397</v>
      </c>
      <c r="G184" s="11" t="s">
        <v>350</v>
      </c>
      <c r="H184" s="11" t="s">
        <v>28</v>
      </c>
      <c r="I184" s="12" t="s">
        <v>29</v>
      </c>
      <c r="J184" s="12" t="s">
        <v>30</v>
      </c>
      <c r="K184" s="11" t="s">
        <v>65</v>
      </c>
      <c r="L184" s="38"/>
      <c r="M184" s="18" t="s">
        <v>398</v>
      </c>
      <c r="N184" s="21">
        <v>35.0</v>
      </c>
      <c r="O184" s="11">
        <v>750.0</v>
      </c>
      <c r="P184" s="10" t="s">
        <v>105</v>
      </c>
      <c r="Q184" s="27" t="s">
        <v>78</v>
      </c>
      <c r="R184" s="15"/>
      <c r="S184" s="24" t="b">
        <v>1</v>
      </c>
      <c r="T184" s="24" t="b">
        <v>0</v>
      </c>
      <c r="U184" s="24" t="b">
        <v>1</v>
      </c>
      <c r="V184" s="24" t="b">
        <v>1</v>
      </c>
      <c r="W184" s="24" t="b">
        <v>1</v>
      </c>
    </row>
    <row r="185">
      <c r="A185" s="22" t="s">
        <v>23</v>
      </c>
      <c r="B185" s="11" t="s">
        <v>37</v>
      </c>
      <c r="C185" s="11">
        <v>2.0</v>
      </c>
      <c r="D185" s="10">
        <v>2022.0</v>
      </c>
      <c r="E185" s="11" t="s">
        <v>399</v>
      </c>
      <c r="F185" s="18" t="s">
        <v>400</v>
      </c>
      <c r="G185" s="11" t="s">
        <v>40</v>
      </c>
      <c r="H185" s="11" t="s">
        <v>41</v>
      </c>
      <c r="I185" s="8" t="s">
        <v>401</v>
      </c>
      <c r="J185" s="11" t="s">
        <v>402</v>
      </c>
      <c r="K185" s="11"/>
      <c r="L185" s="38"/>
      <c r="M185" s="18"/>
      <c r="N185" s="21">
        <v>30.0</v>
      </c>
      <c r="O185" s="11"/>
      <c r="P185" s="10" t="s">
        <v>105</v>
      </c>
      <c r="Q185" s="27" t="s">
        <v>78</v>
      </c>
      <c r="R185" s="15"/>
      <c r="S185" s="25" t="b">
        <v>0</v>
      </c>
      <c r="T185" s="24" t="b">
        <v>0</v>
      </c>
      <c r="U185" s="25" t="b">
        <v>0</v>
      </c>
      <c r="V185" s="24" t="b">
        <v>0</v>
      </c>
      <c r="W185" s="24" t="b">
        <v>0</v>
      </c>
    </row>
    <row r="186">
      <c r="A186" s="7" t="s">
        <v>153</v>
      </c>
      <c r="B186" s="8" t="s">
        <v>24</v>
      </c>
      <c r="C186" s="11">
        <v>1.0</v>
      </c>
      <c r="D186" s="10">
        <v>2020.0</v>
      </c>
      <c r="E186" s="11" t="s">
        <v>343</v>
      </c>
      <c r="F186" s="18" t="s">
        <v>403</v>
      </c>
      <c r="G186" s="8" t="s">
        <v>40</v>
      </c>
      <c r="H186" s="8" t="s">
        <v>28</v>
      </c>
      <c r="I186" s="8" t="s">
        <v>29</v>
      </c>
      <c r="J186" s="8" t="s">
        <v>30</v>
      </c>
      <c r="K186" s="12" t="s">
        <v>404</v>
      </c>
      <c r="L186" s="18" t="s">
        <v>405</v>
      </c>
      <c r="M186" s="19" t="s">
        <v>406</v>
      </c>
      <c r="N186" s="11">
        <v>30.0</v>
      </c>
      <c r="O186" s="11">
        <v>750.0</v>
      </c>
      <c r="P186" s="10" t="s">
        <v>47</v>
      </c>
      <c r="Q186" s="11" t="s">
        <v>43</v>
      </c>
      <c r="R186" s="12"/>
      <c r="S186" s="17" t="b">
        <v>0</v>
      </c>
      <c r="T186" s="17" t="b">
        <v>0</v>
      </c>
      <c r="U186" s="17" t="b">
        <v>0</v>
      </c>
      <c r="V186" s="17" t="b">
        <v>0</v>
      </c>
      <c r="W186" s="16" t="b">
        <v>1</v>
      </c>
    </row>
    <row r="187">
      <c r="A187" s="22" t="s">
        <v>23</v>
      </c>
      <c r="B187" s="11" t="s">
        <v>24</v>
      </c>
      <c r="C187" s="11">
        <v>1.0</v>
      </c>
      <c r="D187" s="10" t="s">
        <v>407</v>
      </c>
      <c r="E187" s="11" t="s">
        <v>408</v>
      </c>
      <c r="F187" s="18" t="s">
        <v>409</v>
      </c>
      <c r="G187" s="11" t="s">
        <v>40</v>
      </c>
      <c r="H187" s="11" t="s">
        <v>28</v>
      </c>
      <c r="I187" s="11" t="s">
        <v>29</v>
      </c>
      <c r="J187" s="11" t="s">
        <v>31</v>
      </c>
      <c r="K187" s="11"/>
      <c r="L187" s="38"/>
      <c r="M187" s="18"/>
      <c r="N187" s="21">
        <v>40.0</v>
      </c>
      <c r="O187" s="11">
        <v>750.0</v>
      </c>
      <c r="P187" s="10" t="s">
        <v>53</v>
      </c>
      <c r="Q187" s="11" t="s">
        <v>98</v>
      </c>
      <c r="R187" s="15"/>
      <c r="S187" s="25" t="b">
        <v>0</v>
      </c>
      <c r="T187" s="24" t="b">
        <v>0</v>
      </c>
      <c r="U187" s="25" t="b">
        <v>0</v>
      </c>
      <c r="V187" s="24" t="b">
        <v>0</v>
      </c>
      <c r="W187" s="24" t="b">
        <v>0</v>
      </c>
    </row>
    <row r="188">
      <c r="A188" s="22" t="s">
        <v>23</v>
      </c>
      <c r="B188" s="11" t="s">
        <v>24</v>
      </c>
      <c r="C188" s="11">
        <v>1.0</v>
      </c>
      <c r="D188" s="10">
        <v>2019.0</v>
      </c>
      <c r="E188" s="11" t="s">
        <v>410</v>
      </c>
      <c r="F188" s="18" t="s">
        <v>411</v>
      </c>
      <c r="G188" s="11" t="s">
        <v>27</v>
      </c>
      <c r="H188" s="11" t="s">
        <v>373</v>
      </c>
      <c r="I188" s="11" t="s">
        <v>412</v>
      </c>
      <c r="J188" s="11" t="s">
        <v>413</v>
      </c>
      <c r="K188" s="11"/>
      <c r="L188" s="38"/>
      <c r="M188" s="18"/>
      <c r="N188" s="21">
        <v>40.0</v>
      </c>
      <c r="O188" s="11">
        <v>750.0</v>
      </c>
      <c r="P188" s="10" t="s">
        <v>34</v>
      </c>
      <c r="Q188" s="11" t="s">
        <v>78</v>
      </c>
      <c r="R188" s="15"/>
      <c r="S188" s="25" t="b">
        <v>0</v>
      </c>
      <c r="T188" s="24" t="b">
        <v>0</v>
      </c>
      <c r="U188" s="25" t="b">
        <v>0</v>
      </c>
      <c r="V188" s="24" t="b">
        <v>0</v>
      </c>
      <c r="W188" s="24" t="b">
        <v>0</v>
      </c>
    </row>
    <row r="189">
      <c r="A189" s="22" t="s">
        <v>23</v>
      </c>
      <c r="B189" s="11" t="s">
        <v>24</v>
      </c>
      <c r="C189" s="11">
        <v>1.0</v>
      </c>
      <c r="D189" s="10">
        <v>2019.0</v>
      </c>
      <c r="E189" s="11" t="s">
        <v>414</v>
      </c>
      <c r="F189" s="18" t="s">
        <v>415</v>
      </c>
      <c r="G189" s="11" t="s">
        <v>40</v>
      </c>
      <c r="H189" s="11" t="s">
        <v>108</v>
      </c>
      <c r="I189" s="11"/>
      <c r="J189" s="11" t="s">
        <v>416</v>
      </c>
      <c r="K189" s="11" t="s">
        <v>417</v>
      </c>
      <c r="L189" s="38"/>
      <c r="M189" s="18"/>
      <c r="N189" s="21">
        <v>40.0</v>
      </c>
      <c r="O189" s="11">
        <v>750.0</v>
      </c>
      <c r="P189" s="10" t="s">
        <v>105</v>
      </c>
      <c r="Q189" s="11" t="s">
        <v>78</v>
      </c>
      <c r="R189" s="15"/>
      <c r="S189" s="25" t="b">
        <v>0</v>
      </c>
      <c r="T189" s="24" t="b">
        <v>0</v>
      </c>
      <c r="U189" s="25" t="b">
        <v>0</v>
      </c>
      <c r="V189" s="24" t="b">
        <v>1</v>
      </c>
      <c r="W189" s="24" t="b">
        <v>0</v>
      </c>
    </row>
    <row r="190">
      <c r="A190" s="22" t="s">
        <v>23</v>
      </c>
      <c r="B190" s="11" t="s">
        <v>24</v>
      </c>
      <c r="C190" s="11">
        <v>1.0</v>
      </c>
      <c r="D190" s="10">
        <v>2018.0</v>
      </c>
      <c r="E190" s="11" t="s">
        <v>317</v>
      </c>
      <c r="F190" s="18" t="s">
        <v>418</v>
      </c>
      <c r="G190" s="11" t="s">
        <v>27</v>
      </c>
      <c r="H190" s="11" t="s">
        <v>28</v>
      </c>
      <c r="I190" s="11" t="s">
        <v>29</v>
      </c>
      <c r="J190" s="11" t="s">
        <v>31</v>
      </c>
      <c r="K190" s="18" t="s">
        <v>419</v>
      </c>
      <c r="M190" s="18" t="s">
        <v>420</v>
      </c>
      <c r="N190" s="21">
        <v>195.0</v>
      </c>
      <c r="O190" s="11">
        <v>750.0</v>
      </c>
      <c r="P190" s="10" t="s">
        <v>34</v>
      </c>
      <c r="Q190" s="11" t="s">
        <v>78</v>
      </c>
      <c r="R190" s="15"/>
      <c r="S190" s="25" t="b">
        <v>0</v>
      </c>
      <c r="T190" s="24" t="b">
        <v>0</v>
      </c>
      <c r="U190" s="25" t="b">
        <v>0</v>
      </c>
      <c r="V190" s="24" t="b">
        <v>0</v>
      </c>
      <c r="W190" s="24" t="b">
        <v>0</v>
      </c>
    </row>
    <row r="191">
      <c r="A191" s="22" t="s">
        <v>23</v>
      </c>
      <c r="B191" s="11" t="s">
        <v>37</v>
      </c>
      <c r="C191" s="11">
        <v>1.0</v>
      </c>
      <c r="D191" s="10">
        <v>2022.0</v>
      </c>
      <c r="E191" s="11" t="s">
        <v>421</v>
      </c>
      <c r="F191" s="18" t="s">
        <v>422</v>
      </c>
      <c r="G191" s="11" t="s">
        <v>40</v>
      </c>
      <c r="H191" s="11" t="s">
        <v>41</v>
      </c>
      <c r="I191" s="11"/>
      <c r="J191" s="11" t="s">
        <v>395</v>
      </c>
      <c r="K191" s="11"/>
      <c r="L191" s="18"/>
      <c r="M191" s="18"/>
      <c r="N191" s="21">
        <v>55.0</v>
      </c>
      <c r="O191" s="11">
        <v>750.0</v>
      </c>
      <c r="P191" s="10" t="s">
        <v>34</v>
      </c>
      <c r="Q191" s="11" t="s">
        <v>78</v>
      </c>
      <c r="R191" s="15"/>
      <c r="S191" s="25" t="b">
        <v>0</v>
      </c>
      <c r="T191" s="24" t="b">
        <v>0</v>
      </c>
      <c r="U191" s="25" t="b">
        <v>0</v>
      </c>
      <c r="V191" s="24" t="b">
        <v>0</v>
      </c>
      <c r="W191" s="24" t="b">
        <v>0</v>
      </c>
    </row>
    <row r="192">
      <c r="A192" s="22" t="s">
        <v>23</v>
      </c>
      <c r="B192" s="11" t="s">
        <v>24</v>
      </c>
      <c r="C192" s="11">
        <v>1.0</v>
      </c>
      <c r="D192" s="10">
        <v>2021.0</v>
      </c>
      <c r="E192" s="11" t="s">
        <v>423</v>
      </c>
      <c r="F192" s="18" t="s">
        <v>424</v>
      </c>
      <c r="G192" s="11" t="s">
        <v>425</v>
      </c>
      <c r="H192" s="11" t="s">
        <v>82</v>
      </c>
      <c r="I192" s="11" t="s">
        <v>90</v>
      </c>
      <c r="J192" s="11" t="s">
        <v>426</v>
      </c>
      <c r="K192" s="11" t="s">
        <v>92</v>
      </c>
      <c r="L192" s="18"/>
      <c r="M192" s="18" t="s">
        <v>93</v>
      </c>
      <c r="N192" s="21">
        <v>80.0</v>
      </c>
      <c r="O192" s="11">
        <v>750.0</v>
      </c>
      <c r="P192" s="10" t="s">
        <v>34</v>
      </c>
      <c r="Q192" s="11" t="s">
        <v>383</v>
      </c>
      <c r="R192" s="15"/>
      <c r="S192" s="25" t="b">
        <v>0</v>
      </c>
      <c r="T192" s="24" t="b">
        <v>0</v>
      </c>
      <c r="U192" s="25" t="b">
        <v>0</v>
      </c>
      <c r="V192" s="24" t="b">
        <v>0</v>
      </c>
      <c r="W192" s="24" t="b">
        <v>0</v>
      </c>
    </row>
    <row r="193">
      <c r="A193" s="22" t="s">
        <v>23</v>
      </c>
      <c r="B193" s="11" t="s">
        <v>24</v>
      </c>
      <c r="C193" s="11">
        <v>1.0</v>
      </c>
      <c r="D193" s="10">
        <v>2022.0</v>
      </c>
      <c r="E193" s="11" t="s">
        <v>427</v>
      </c>
      <c r="F193" s="18" t="s">
        <v>428</v>
      </c>
      <c r="G193" s="11" t="s">
        <v>425</v>
      </c>
      <c r="H193" s="11" t="s">
        <v>82</v>
      </c>
      <c r="I193" s="11" t="s">
        <v>90</v>
      </c>
      <c r="J193" s="11" t="s">
        <v>426</v>
      </c>
      <c r="K193" s="11" t="s">
        <v>92</v>
      </c>
      <c r="L193" s="18"/>
      <c r="M193" s="18"/>
      <c r="N193" s="21">
        <v>45.0</v>
      </c>
      <c r="O193" s="11">
        <v>750.0</v>
      </c>
      <c r="P193" s="10" t="s">
        <v>34</v>
      </c>
      <c r="Q193" s="11" t="s">
        <v>383</v>
      </c>
      <c r="R193" s="15"/>
      <c r="S193" s="25" t="b">
        <v>0</v>
      </c>
      <c r="T193" s="24" t="b">
        <v>0</v>
      </c>
      <c r="U193" s="25" t="b">
        <v>0</v>
      </c>
      <c r="V193" s="24" t="b">
        <v>0</v>
      </c>
      <c r="W193" s="24" t="b">
        <v>0</v>
      </c>
    </row>
    <row r="194">
      <c r="A194" s="22" t="s">
        <v>23</v>
      </c>
      <c r="B194" s="11" t="s">
        <v>24</v>
      </c>
      <c r="C194" s="11">
        <v>1.0</v>
      </c>
      <c r="D194" s="10">
        <v>2018.0</v>
      </c>
      <c r="E194" s="11" t="s">
        <v>429</v>
      </c>
      <c r="F194" s="18" t="s">
        <v>430</v>
      </c>
      <c r="G194" s="11" t="s">
        <v>40</v>
      </c>
      <c r="H194" s="11" t="s">
        <v>28</v>
      </c>
      <c r="I194" s="11" t="s">
        <v>29</v>
      </c>
      <c r="J194" s="11" t="s">
        <v>30</v>
      </c>
      <c r="K194" s="11" t="s">
        <v>31</v>
      </c>
      <c r="L194" s="18" t="s">
        <v>101</v>
      </c>
      <c r="M194" s="18" t="s">
        <v>431</v>
      </c>
      <c r="N194" s="21">
        <v>60.0</v>
      </c>
      <c r="O194" s="11">
        <v>750.0</v>
      </c>
      <c r="P194" s="10" t="s">
        <v>34</v>
      </c>
      <c r="Q194" s="11" t="s">
        <v>78</v>
      </c>
      <c r="R194" s="15"/>
      <c r="S194" s="25" t="b">
        <v>0</v>
      </c>
      <c r="T194" s="24" t="b">
        <v>0</v>
      </c>
      <c r="U194" s="25" t="b">
        <v>0</v>
      </c>
      <c r="V194" s="24" t="b">
        <v>0</v>
      </c>
      <c r="W194" s="24" t="b">
        <v>0</v>
      </c>
    </row>
    <row r="195">
      <c r="A195" s="22" t="s">
        <v>23</v>
      </c>
      <c r="B195" s="11" t="s">
        <v>24</v>
      </c>
      <c r="C195" s="11">
        <v>1.0</v>
      </c>
      <c r="D195" s="10">
        <v>2022.0</v>
      </c>
      <c r="E195" s="11" t="s">
        <v>432</v>
      </c>
      <c r="F195" s="18" t="s">
        <v>433</v>
      </c>
      <c r="G195" s="11" t="s">
        <v>40</v>
      </c>
      <c r="H195" s="11" t="s">
        <v>28</v>
      </c>
      <c r="I195" s="11" t="s">
        <v>29</v>
      </c>
      <c r="J195" s="11" t="s">
        <v>65</v>
      </c>
      <c r="K195" s="11"/>
      <c r="L195" s="18"/>
      <c r="M195" s="18" t="s">
        <v>434</v>
      </c>
      <c r="N195" s="21">
        <v>30.0</v>
      </c>
      <c r="O195" s="11">
        <v>750.0</v>
      </c>
      <c r="P195" s="10" t="s">
        <v>105</v>
      </c>
      <c r="Q195" s="11" t="s">
        <v>78</v>
      </c>
      <c r="R195" s="15"/>
      <c r="S195" s="25" t="b">
        <v>0</v>
      </c>
      <c r="T195" s="24" t="b">
        <v>0</v>
      </c>
      <c r="U195" s="25" t="b">
        <v>0</v>
      </c>
      <c r="V195" s="24" t="b">
        <v>0</v>
      </c>
      <c r="W195" s="24" t="b">
        <v>0</v>
      </c>
    </row>
    <row r="196">
      <c r="A196" s="22" t="s">
        <v>23</v>
      </c>
      <c r="B196" s="11" t="s">
        <v>24</v>
      </c>
      <c r="C196" s="11">
        <v>1.0</v>
      </c>
      <c r="D196" s="10">
        <v>2022.0</v>
      </c>
      <c r="E196" s="11" t="s">
        <v>432</v>
      </c>
      <c r="F196" s="18" t="s">
        <v>433</v>
      </c>
      <c r="G196" s="11" t="s">
        <v>40</v>
      </c>
      <c r="H196" s="11" t="s">
        <v>28</v>
      </c>
      <c r="I196" s="11" t="s">
        <v>29</v>
      </c>
      <c r="J196" s="11" t="s">
        <v>65</v>
      </c>
      <c r="K196" s="11"/>
      <c r="L196" s="18"/>
      <c r="M196" s="18" t="s">
        <v>434</v>
      </c>
      <c r="N196" s="21">
        <v>30.0</v>
      </c>
      <c r="O196" s="11">
        <v>750.0</v>
      </c>
      <c r="P196" s="10" t="s">
        <v>105</v>
      </c>
      <c r="Q196" s="11" t="s">
        <v>98</v>
      </c>
      <c r="R196" s="15"/>
      <c r="S196" s="25" t="b">
        <v>0</v>
      </c>
      <c r="T196" s="24" t="b">
        <v>0</v>
      </c>
      <c r="U196" s="25" t="b">
        <v>0</v>
      </c>
      <c r="V196" s="24" t="b">
        <v>0</v>
      </c>
      <c r="W196" s="24" t="b">
        <v>0</v>
      </c>
    </row>
    <row r="197">
      <c r="A197" s="22" t="s">
        <v>23</v>
      </c>
      <c r="B197" s="11" t="s">
        <v>24</v>
      </c>
      <c r="C197" s="11">
        <v>2.0</v>
      </c>
      <c r="D197" s="10">
        <v>2022.0</v>
      </c>
      <c r="E197" s="11" t="s">
        <v>435</v>
      </c>
      <c r="F197" s="18" t="s">
        <v>436</v>
      </c>
      <c r="G197" s="11" t="s">
        <v>139</v>
      </c>
      <c r="H197" s="11" t="s">
        <v>41</v>
      </c>
      <c r="I197" s="11"/>
      <c r="J197" s="11" t="s">
        <v>437</v>
      </c>
      <c r="K197" s="11" t="s">
        <v>140</v>
      </c>
      <c r="L197" s="18"/>
      <c r="M197" s="18"/>
      <c r="N197" s="21">
        <v>60.0</v>
      </c>
      <c r="O197" s="11">
        <v>750.0</v>
      </c>
      <c r="P197" s="10" t="s">
        <v>34</v>
      </c>
      <c r="Q197" s="11" t="s">
        <v>98</v>
      </c>
      <c r="R197" s="15"/>
      <c r="S197" s="25" t="b">
        <v>0</v>
      </c>
      <c r="T197" s="24" t="b">
        <v>0</v>
      </c>
      <c r="U197" s="25" t="b">
        <v>0</v>
      </c>
      <c r="V197" s="24" t="b">
        <v>0</v>
      </c>
      <c r="W197" s="24" t="b">
        <v>0</v>
      </c>
    </row>
    <row r="198">
      <c r="A198" s="22" t="s">
        <v>23</v>
      </c>
      <c r="B198" s="11" t="s">
        <v>24</v>
      </c>
      <c r="C198" s="11">
        <v>2.0</v>
      </c>
      <c r="D198" s="10">
        <v>2020.0</v>
      </c>
      <c r="E198" s="11" t="s">
        <v>438</v>
      </c>
      <c r="F198" s="18" t="s">
        <v>439</v>
      </c>
      <c r="G198" s="11" t="s">
        <v>440</v>
      </c>
      <c r="H198" s="11" t="s">
        <v>82</v>
      </c>
      <c r="I198" s="11" t="s">
        <v>441</v>
      </c>
      <c r="J198" s="11" t="s">
        <v>442</v>
      </c>
      <c r="K198" s="11"/>
      <c r="L198" s="18"/>
      <c r="M198" s="18"/>
      <c r="N198" s="21">
        <v>30.0</v>
      </c>
      <c r="O198" s="11">
        <v>750.0</v>
      </c>
      <c r="P198" s="10" t="s">
        <v>34</v>
      </c>
      <c r="Q198" s="11" t="s">
        <v>98</v>
      </c>
      <c r="R198" s="15"/>
      <c r="S198" s="25" t="b">
        <v>0</v>
      </c>
      <c r="T198" s="24" t="b">
        <v>0</v>
      </c>
      <c r="U198" s="25" t="b">
        <v>0</v>
      </c>
      <c r="V198" s="24" t="b">
        <v>0</v>
      </c>
      <c r="W198" s="24" t="b">
        <v>0</v>
      </c>
    </row>
    <row r="199">
      <c r="A199" s="22" t="s">
        <v>23</v>
      </c>
      <c r="B199" s="11" t="s">
        <v>44</v>
      </c>
      <c r="C199" s="11">
        <v>1.0</v>
      </c>
      <c r="D199" s="10">
        <v>2018.0</v>
      </c>
      <c r="E199" s="11" t="s">
        <v>443</v>
      </c>
      <c r="F199" s="18" t="s">
        <v>444</v>
      </c>
      <c r="G199" s="11" t="s">
        <v>40</v>
      </c>
      <c r="H199" s="11" t="s">
        <v>28</v>
      </c>
      <c r="I199" s="11" t="s">
        <v>29</v>
      </c>
      <c r="J199" s="11" t="s">
        <v>445</v>
      </c>
      <c r="K199" s="11"/>
      <c r="L199" s="18"/>
      <c r="M199" s="18" t="s">
        <v>444</v>
      </c>
      <c r="N199" s="21">
        <v>60.0</v>
      </c>
      <c r="O199" s="11">
        <v>750.0</v>
      </c>
      <c r="P199" s="10" t="s">
        <v>105</v>
      </c>
      <c r="Q199" s="11" t="s">
        <v>98</v>
      </c>
      <c r="R199" s="15"/>
      <c r="S199" s="25" t="b">
        <v>0</v>
      </c>
      <c r="T199" s="24" t="b">
        <v>0</v>
      </c>
      <c r="U199" s="25" t="b">
        <v>0</v>
      </c>
      <c r="V199" s="24" t="b">
        <v>0</v>
      </c>
      <c r="W199" s="24" t="b">
        <v>0</v>
      </c>
    </row>
    <row r="200">
      <c r="A200" s="22" t="s">
        <v>23</v>
      </c>
      <c r="B200" s="11" t="s">
        <v>37</v>
      </c>
      <c r="C200" s="11">
        <v>1.0</v>
      </c>
      <c r="D200" s="10">
        <v>2022.0</v>
      </c>
      <c r="E200" s="11" t="s">
        <v>446</v>
      </c>
      <c r="F200" s="18" t="s">
        <v>447</v>
      </c>
      <c r="G200" s="11" t="s">
        <v>350</v>
      </c>
      <c r="H200" s="11" t="s">
        <v>41</v>
      </c>
      <c r="I200" s="11"/>
      <c r="J200" s="11" t="s">
        <v>395</v>
      </c>
      <c r="K200" s="11" t="s">
        <v>42</v>
      </c>
      <c r="L200" s="18" t="s">
        <v>448</v>
      </c>
      <c r="M200" s="18"/>
      <c r="N200" s="21">
        <v>40.0</v>
      </c>
      <c r="O200" s="11">
        <v>750.0</v>
      </c>
      <c r="P200" s="10" t="s">
        <v>105</v>
      </c>
      <c r="Q200" s="11" t="s">
        <v>98</v>
      </c>
      <c r="R200" s="15"/>
      <c r="S200" s="25" t="b">
        <v>0</v>
      </c>
      <c r="T200" s="24" t="b">
        <v>0</v>
      </c>
      <c r="U200" s="25" t="b">
        <v>0</v>
      </c>
      <c r="V200" s="24" t="b">
        <v>0</v>
      </c>
      <c r="W200" s="24" t="b">
        <v>0</v>
      </c>
    </row>
    <row r="201">
      <c r="A201" s="22" t="s">
        <v>23</v>
      </c>
      <c r="B201" s="11" t="s">
        <v>24</v>
      </c>
      <c r="C201" s="11">
        <v>1.0</v>
      </c>
      <c r="D201" s="10">
        <v>2018.0</v>
      </c>
      <c r="E201" s="11" t="s">
        <v>449</v>
      </c>
      <c r="F201" s="18" t="s">
        <v>450</v>
      </c>
      <c r="G201" s="11" t="s">
        <v>129</v>
      </c>
      <c r="H201" s="11" t="s">
        <v>373</v>
      </c>
      <c r="I201" s="11" t="s">
        <v>451</v>
      </c>
      <c r="J201" s="11" t="s">
        <v>452</v>
      </c>
      <c r="K201" s="11"/>
      <c r="L201" s="18"/>
      <c r="M201" s="18" t="s">
        <v>453</v>
      </c>
      <c r="N201" s="21">
        <v>110.0</v>
      </c>
      <c r="O201" s="11">
        <v>750.0</v>
      </c>
      <c r="P201" s="10" t="s">
        <v>34</v>
      </c>
      <c r="Q201" s="11" t="s">
        <v>43</v>
      </c>
      <c r="R201" s="15"/>
      <c r="S201" s="25" t="b">
        <v>0</v>
      </c>
      <c r="T201" s="24" t="b">
        <v>0</v>
      </c>
      <c r="U201" s="25" t="b">
        <v>0</v>
      </c>
      <c r="V201" s="24" t="b">
        <v>0</v>
      </c>
      <c r="W201" s="24" t="b">
        <v>0</v>
      </c>
    </row>
  </sheetData>
  <autoFilter ref="$A$1:$W$201">
    <filterColumn colId="18">
      <filters>
        <filter val="FALSE"/>
      </filters>
    </filterColumn>
  </autoFilter>
  <conditionalFormatting sqref="P2">
    <cfRule type="containsText" dxfId="0" priority="1" operator="containsText" text="Medium">
      <formula>NOT(ISERROR(SEARCH(("Medium"),(P2))))</formula>
    </cfRule>
  </conditionalFormatting>
  <conditionalFormatting sqref="P2">
    <cfRule type="containsText" dxfId="1" priority="2" operator="containsText" text="Now">
      <formula>NOT(ISERROR(SEARCH(("Now"),(P2))))</formula>
    </cfRule>
  </conditionalFormatting>
  <conditionalFormatting sqref="P2">
    <cfRule type="containsText" dxfId="2" priority="3" operator="containsText" text="Short">
      <formula>NOT(ISERROR(SEARCH(("Short"),(P2))))</formula>
    </cfRule>
  </conditionalFormatting>
  <conditionalFormatting sqref="P2">
    <cfRule type="containsText" dxfId="3" priority="4" operator="containsText" text="Long">
      <formula>NOT(ISERROR(SEARCH(("Long"),(P2))))</formula>
    </cfRule>
  </conditionalFormatting>
  <conditionalFormatting sqref="P3">
    <cfRule type="containsText" dxfId="0" priority="5" operator="containsText" text="Medium">
      <formula>NOT(ISERROR(SEARCH(("Medium"),(P3))))</formula>
    </cfRule>
  </conditionalFormatting>
  <conditionalFormatting sqref="P3">
    <cfRule type="containsText" dxfId="1" priority="6" operator="containsText" text="Now">
      <formula>NOT(ISERROR(SEARCH(("Now"),(P3))))</formula>
    </cfRule>
  </conditionalFormatting>
  <conditionalFormatting sqref="P3">
    <cfRule type="containsText" dxfId="2" priority="7" operator="containsText" text="Short">
      <formula>NOT(ISERROR(SEARCH(("Short"),(P3))))</formula>
    </cfRule>
  </conditionalFormatting>
  <conditionalFormatting sqref="P3">
    <cfRule type="containsText" dxfId="3" priority="8" operator="containsText" text="Long">
      <formula>NOT(ISERROR(SEARCH(("Long"),(P3))))</formula>
    </cfRule>
  </conditionalFormatting>
  <conditionalFormatting sqref="P4">
    <cfRule type="containsText" dxfId="0" priority="9" operator="containsText" text="Medium">
      <formula>NOT(ISERROR(SEARCH(("Medium"),(P4))))</formula>
    </cfRule>
  </conditionalFormatting>
  <conditionalFormatting sqref="P4">
    <cfRule type="containsText" dxfId="1" priority="10" operator="containsText" text="Now">
      <formula>NOT(ISERROR(SEARCH(("Now"),(P4))))</formula>
    </cfRule>
  </conditionalFormatting>
  <conditionalFormatting sqref="P4">
    <cfRule type="containsText" dxfId="2" priority="11" operator="containsText" text="Short">
      <formula>NOT(ISERROR(SEARCH(("Short"),(P4))))</formula>
    </cfRule>
  </conditionalFormatting>
  <conditionalFormatting sqref="P4">
    <cfRule type="containsText" dxfId="3" priority="12" operator="containsText" text="Long">
      <formula>NOT(ISERROR(SEARCH(("Long"),(P4))))</formula>
    </cfRule>
  </conditionalFormatting>
  <conditionalFormatting sqref="P5">
    <cfRule type="containsText" dxfId="0" priority="13" operator="containsText" text="Medium">
      <formula>NOT(ISERROR(SEARCH(("Medium"),(P5))))</formula>
    </cfRule>
  </conditionalFormatting>
  <conditionalFormatting sqref="P5">
    <cfRule type="containsText" dxfId="1" priority="14" operator="containsText" text="Now">
      <formula>NOT(ISERROR(SEARCH(("Now"),(P5))))</formula>
    </cfRule>
  </conditionalFormatting>
  <conditionalFormatting sqref="P5">
    <cfRule type="containsText" dxfId="2" priority="15" operator="containsText" text="Short">
      <formula>NOT(ISERROR(SEARCH(("Short"),(P5))))</formula>
    </cfRule>
  </conditionalFormatting>
  <conditionalFormatting sqref="P5">
    <cfRule type="containsText" dxfId="3" priority="16" operator="containsText" text="Long">
      <formula>NOT(ISERROR(SEARCH(("Long"),(P5))))</formula>
    </cfRule>
  </conditionalFormatting>
  <conditionalFormatting sqref="P46:P47">
    <cfRule type="containsText" dxfId="0" priority="17" operator="containsText" text="Medium">
      <formula>NOT(ISERROR(SEARCH(("Medium"),(P46))))</formula>
    </cfRule>
  </conditionalFormatting>
  <conditionalFormatting sqref="P46:P47">
    <cfRule type="containsText" dxfId="1" priority="18" operator="containsText" text="Now">
      <formula>NOT(ISERROR(SEARCH(("Now"),(P46))))</formula>
    </cfRule>
  </conditionalFormatting>
  <conditionalFormatting sqref="P46:P47">
    <cfRule type="containsText" dxfId="2" priority="19" operator="containsText" text="Short">
      <formula>NOT(ISERROR(SEARCH(("Short"),(P46))))</formula>
    </cfRule>
  </conditionalFormatting>
  <conditionalFormatting sqref="P46:P47">
    <cfRule type="containsText" dxfId="3" priority="20" operator="containsText" text="Long">
      <formula>NOT(ISERROR(SEARCH(("Long"),(P46))))</formula>
    </cfRule>
  </conditionalFormatting>
  <conditionalFormatting sqref="P6:P7">
    <cfRule type="containsText" dxfId="0" priority="21" operator="containsText" text="Medium">
      <formula>NOT(ISERROR(SEARCH(("Medium"),(P6))))</formula>
    </cfRule>
  </conditionalFormatting>
  <conditionalFormatting sqref="P6:P7">
    <cfRule type="containsText" dxfId="1" priority="22" operator="containsText" text="Now">
      <formula>NOT(ISERROR(SEARCH(("Now"),(P6))))</formula>
    </cfRule>
  </conditionalFormatting>
  <conditionalFormatting sqref="P6:P7">
    <cfRule type="containsText" dxfId="2" priority="23" operator="containsText" text="Short">
      <formula>NOT(ISERROR(SEARCH(("Short"),(P6))))</formula>
    </cfRule>
  </conditionalFormatting>
  <conditionalFormatting sqref="P6:P7">
    <cfRule type="containsText" dxfId="3" priority="24" operator="containsText" text="Long">
      <formula>NOT(ISERROR(SEARCH(("Long"),(P6))))</formula>
    </cfRule>
  </conditionalFormatting>
  <conditionalFormatting sqref="P8">
    <cfRule type="containsText" dxfId="0" priority="25" operator="containsText" text="Medium">
      <formula>NOT(ISERROR(SEARCH(("Medium"),(P8))))</formula>
    </cfRule>
  </conditionalFormatting>
  <conditionalFormatting sqref="P8">
    <cfRule type="containsText" dxfId="1" priority="26" operator="containsText" text="Now">
      <formula>NOT(ISERROR(SEARCH(("Now"),(P8))))</formula>
    </cfRule>
  </conditionalFormatting>
  <conditionalFormatting sqref="P8">
    <cfRule type="containsText" dxfId="2" priority="27" operator="containsText" text="Short">
      <formula>NOT(ISERROR(SEARCH(("Short"),(P8))))</formula>
    </cfRule>
  </conditionalFormatting>
  <conditionalFormatting sqref="P8">
    <cfRule type="containsText" dxfId="3" priority="28" operator="containsText" text="Long">
      <formula>NOT(ISERROR(SEARCH(("Long"),(P8))))</formula>
    </cfRule>
  </conditionalFormatting>
  <conditionalFormatting sqref="P9">
    <cfRule type="containsText" dxfId="0" priority="29" operator="containsText" text="Medium">
      <formula>NOT(ISERROR(SEARCH(("Medium"),(P9))))</formula>
    </cfRule>
  </conditionalFormatting>
  <conditionalFormatting sqref="P9">
    <cfRule type="containsText" dxfId="1" priority="30" operator="containsText" text="Now">
      <formula>NOT(ISERROR(SEARCH(("Now"),(P9))))</formula>
    </cfRule>
  </conditionalFormatting>
  <conditionalFormatting sqref="P9">
    <cfRule type="containsText" dxfId="2" priority="31" operator="containsText" text="Short">
      <formula>NOT(ISERROR(SEARCH(("Short"),(P9))))</formula>
    </cfRule>
  </conditionalFormatting>
  <conditionalFormatting sqref="P9">
    <cfRule type="containsText" dxfId="3" priority="32" operator="containsText" text="Long">
      <formula>NOT(ISERROR(SEARCH(("Long"),(P9))))</formula>
    </cfRule>
  </conditionalFormatting>
  <conditionalFormatting sqref="P10">
    <cfRule type="containsText" dxfId="0" priority="33" operator="containsText" text="Medium">
      <formula>NOT(ISERROR(SEARCH(("Medium"),(P10))))</formula>
    </cfRule>
  </conditionalFormatting>
  <conditionalFormatting sqref="P10">
    <cfRule type="containsText" dxfId="1" priority="34" operator="containsText" text="Now">
      <formula>NOT(ISERROR(SEARCH(("Now"),(P10))))</formula>
    </cfRule>
  </conditionalFormatting>
  <conditionalFormatting sqref="P10">
    <cfRule type="containsText" dxfId="2" priority="35" operator="containsText" text="Short">
      <formula>NOT(ISERROR(SEARCH(("Short"),(P10))))</formula>
    </cfRule>
  </conditionalFormatting>
  <conditionalFormatting sqref="P10">
    <cfRule type="containsText" dxfId="3" priority="36" operator="containsText" text="Long">
      <formula>NOT(ISERROR(SEARCH(("Long"),(P10))))</formula>
    </cfRule>
  </conditionalFormatting>
  <conditionalFormatting sqref="P11 P107">
    <cfRule type="containsText" dxfId="0" priority="37" operator="containsText" text="Medium">
      <formula>NOT(ISERROR(SEARCH(("Medium"),(P11))))</formula>
    </cfRule>
  </conditionalFormatting>
  <conditionalFormatting sqref="P11 P107">
    <cfRule type="containsText" dxfId="1" priority="38" operator="containsText" text="Now">
      <formula>NOT(ISERROR(SEARCH(("Now"),(P11))))</formula>
    </cfRule>
  </conditionalFormatting>
  <conditionalFormatting sqref="P11 P107">
    <cfRule type="containsText" dxfId="2" priority="39" operator="containsText" text="Short">
      <formula>NOT(ISERROR(SEARCH(("Short"),(P11))))</formula>
    </cfRule>
  </conditionalFormatting>
  <conditionalFormatting sqref="P11 P107">
    <cfRule type="containsText" dxfId="3" priority="40" operator="containsText" text="Long">
      <formula>NOT(ISERROR(SEARCH(("Long"),(P11))))</formula>
    </cfRule>
  </conditionalFormatting>
  <conditionalFormatting sqref="P12:P14">
    <cfRule type="containsText" dxfId="0" priority="41" operator="containsText" text="Medium">
      <formula>NOT(ISERROR(SEARCH(("Medium"),(P12))))</formula>
    </cfRule>
  </conditionalFormatting>
  <conditionalFormatting sqref="P12:P14">
    <cfRule type="containsText" dxfId="1" priority="42" operator="containsText" text="Now">
      <formula>NOT(ISERROR(SEARCH(("Now"),(P12))))</formula>
    </cfRule>
  </conditionalFormatting>
  <conditionalFormatting sqref="P12:P14">
    <cfRule type="containsText" dxfId="2" priority="43" operator="containsText" text="Short">
      <formula>NOT(ISERROR(SEARCH(("Short"),(P12))))</formula>
    </cfRule>
  </conditionalFormatting>
  <conditionalFormatting sqref="P12:P14">
    <cfRule type="containsText" dxfId="3" priority="44" operator="containsText" text="Long">
      <formula>NOT(ISERROR(SEARCH(("Long"),(P12))))</formula>
    </cfRule>
  </conditionalFormatting>
  <conditionalFormatting sqref="P15">
    <cfRule type="containsText" dxfId="0" priority="45" operator="containsText" text="Medium">
      <formula>NOT(ISERROR(SEARCH(("Medium"),(P15))))</formula>
    </cfRule>
  </conditionalFormatting>
  <conditionalFormatting sqref="P15">
    <cfRule type="containsText" dxfId="1" priority="46" operator="containsText" text="Now">
      <formula>NOT(ISERROR(SEARCH(("Now"),(P15))))</formula>
    </cfRule>
  </conditionalFormatting>
  <conditionalFormatting sqref="P15">
    <cfRule type="containsText" dxfId="2" priority="47" operator="containsText" text="Short">
      <formula>NOT(ISERROR(SEARCH(("Short"),(P15))))</formula>
    </cfRule>
  </conditionalFormatting>
  <conditionalFormatting sqref="P15">
    <cfRule type="containsText" dxfId="3" priority="48" operator="containsText" text="Long">
      <formula>NOT(ISERROR(SEARCH(("Long"),(P15))))</formula>
    </cfRule>
  </conditionalFormatting>
  <conditionalFormatting sqref="P16">
    <cfRule type="containsText" dxfId="0" priority="49" operator="containsText" text="Medium">
      <formula>NOT(ISERROR(SEARCH(("Medium"),(P16))))</formula>
    </cfRule>
  </conditionalFormatting>
  <conditionalFormatting sqref="P16">
    <cfRule type="containsText" dxfId="1" priority="50" operator="containsText" text="Now">
      <formula>NOT(ISERROR(SEARCH(("Now"),(P16))))</formula>
    </cfRule>
  </conditionalFormatting>
  <conditionalFormatting sqref="P16">
    <cfRule type="containsText" dxfId="2" priority="51" operator="containsText" text="Short">
      <formula>NOT(ISERROR(SEARCH(("Short"),(P16))))</formula>
    </cfRule>
  </conditionalFormatting>
  <conditionalFormatting sqref="P16">
    <cfRule type="containsText" dxfId="3" priority="52" operator="containsText" text="Long">
      <formula>NOT(ISERROR(SEARCH(("Long"),(P16))))</formula>
    </cfRule>
  </conditionalFormatting>
  <conditionalFormatting sqref="P17">
    <cfRule type="containsText" dxfId="0" priority="53" operator="containsText" text="Medium">
      <formula>NOT(ISERROR(SEARCH(("Medium"),(P17))))</formula>
    </cfRule>
  </conditionalFormatting>
  <conditionalFormatting sqref="P17">
    <cfRule type="containsText" dxfId="1" priority="54" operator="containsText" text="Now">
      <formula>NOT(ISERROR(SEARCH(("Now"),(P17))))</formula>
    </cfRule>
  </conditionalFormatting>
  <conditionalFormatting sqref="P17">
    <cfRule type="containsText" dxfId="2" priority="55" operator="containsText" text="Short">
      <formula>NOT(ISERROR(SEARCH(("Short"),(P17))))</formula>
    </cfRule>
  </conditionalFormatting>
  <conditionalFormatting sqref="P17">
    <cfRule type="containsText" dxfId="3" priority="56" operator="containsText" text="Long">
      <formula>NOT(ISERROR(SEARCH(("Long"),(P17))))</formula>
    </cfRule>
  </conditionalFormatting>
  <conditionalFormatting sqref="P18 P133:P155 P165:P173 P176:P178 P181">
    <cfRule type="containsText" dxfId="0" priority="57" operator="containsText" text="Medium">
      <formula>NOT(ISERROR(SEARCH(("Medium"),(P18))))</formula>
    </cfRule>
  </conditionalFormatting>
  <conditionalFormatting sqref="P18 P133:P155 P165:P173 P176:P178 P181">
    <cfRule type="containsText" dxfId="1" priority="58" operator="containsText" text="Now">
      <formula>NOT(ISERROR(SEARCH(("Now"),(P18))))</formula>
    </cfRule>
  </conditionalFormatting>
  <conditionalFormatting sqref="P18 P133:P155 P165:P173 P176:P178 P181">
    <cfRule type="containsText" dxfId="2" priority="59" operator="containsText" text="Short">
      <formula>NOT(ISERROR(SEARCH(("Short"),(P18))))</formula>
    </cfRule>
  </conditionalFormatting>
  <conditionalFormatting sqref="P18 P133:P155 P165:P173 P176:P178 P181">
    <cfRule type="containsText" dxfId="3" priority="60" operator="containsText" text="Long">
      <formula>NOT(ISERROR(SEARCH(("Long"),(P18))))</formula>
    </cfRule>
  </conditionalFormatting>
  <conditionalFormatting sqref="P19:P23">
    <cfRule type="containsText" dxfId="0" priority="61" operator="containsText" text="Medium">
      <formula>NOT(ISERROR(SEARCH(("Medium"),(P19))))</formula>
    </cfRule>
  </conditionalFormatting>
  <conditionalFormatting sqref="P19:P23">
    <cfRule type="containsText" dxfId="1" priority="62" operator="containsText" text="Now">
      <formula>NOT(ISERROR(SEARCH(("Now"),(P19))))</formula>
    </cfRule>
  </conditionalFormatting>
  <conditionalFormatting sqref="P19:P23">
    <cfRule type="containsText" dxfId="2" priority="63" operator="containsText" text="Short">
      <formula>NOT(ISERROR(SEARCH(("Short"),(P19))))</formula>
    </cfRule>
  </conditionalFormatting>
  <conditionalFormatting sqref="P19:P23">
    <cfRule type="containsText" dxfId="3" priority="64" operator="containsText" text="Long">
      <formula>NOT(ISERROR(SEARCH(("Long"),(P19))))</formula>
    </cfRule>
  </conditionalFormatting>
  <conditionalFormatting sqref="P24">
    <cfRule type="containsText" dxfId="0" priority="65" operator="containsText" text="Medium">
      <formula>NOT(ISERROR(SEARCH(("Medium"),(P24))))</formula>
    </cfRule>
  </conditionalFormatting>
  <conditionalFormatting sqref="P24">
    <cfRule type="containsText" dxfId="1" priority="66" operator="containsText" text="Now">
      <formula>NOT(ISERROR(SEARCH(("Now"),(P24))))</formula>
    </cfRule>
  </conditionalFormatting>
  <conditionalFormatting sqref="P24">
    <cfRule type="containsText" dxfId="2" priority="67" operator="containsText" text="Short">
      <formula>NOT(ISERROR(SEARCH(("Short"),(P24))))</formula>
    </cfRule>
  </conditionalFormatting>
  <conditionalFormatting sqref="P24">
    <cfRule type="containsText" dxfId="3" priority="68" operator="containsText" text="Long">
      <formula>NOT(ISERROR(SEARCH(("Long"),(P24))))</formula>
    </cfRule>
  </conditionalFormatting>
  <conditionalFormatting sqref="P25">
    <cfRule type="containsText" dxfId="0" priority="69" operator="containsText" text="Medium">
      <formula>NOT(ISERROR(SEARCH(("Medium"),(P25))))</formula>
    </cfRule>
  </conditionalFormatting>
  <conditionalFormatting sqref="P25">
    <cfRule type="containsText" dxfId="1" priority="70" operator="containsText" text="Now">
      <formula>NOT(ISERROR(SEARCH(("Now"),(P25))))</formula>
    </cfRule>
  </conditionalFormatting>
  <conditionalFormatting sqref="P25">
    <cfRule type="containsText" dxfId="2" priority="71" operator="containsText" text="Short">
      <formula>NOT(ISERROR(SEARCH(("Short"),(P25))))</formula>
    </cfRule>
  </conditionalFormatting>
  <conditionalFormatting sqref="P25">
    <cfRule type="containsText" dxfId="3" priority="72" operator="containsText" text="Long">
      <formula>NOT(ISERROR(SEARCH(("Long"),(P25))))</formula>
    </cfRule>
  </conditionalFormatting>
  <conditionalFormatting sqref="P26:P27">
    <cfRule type="containsText" dxfId="0" priority="73" operator="containsText" text="Medium">
      <formula>NOT(ISERROR(SEARCH(("Medium"),(P26))))</formula>
    </cfRule>
  </conditionalFormatting>
  <conditionalFormatting sqref="P26:P27">
    <cfRule type="containsText" dxfId="1" priority="74" operator="containsText" text="Now">
      <formula>NOT(ISERROR(SEARCH(("Now"),(P26))))</formula>
    </cfRule>
  </conditionalFormatting>
  <conditionalFormatting sqref="P26:P27">
    <cfRule type="containsText" dxfId="2" priority="75" operator="containsText" text="Short">
      <formula>NOT(ISERROR(SEARCH(("Short"),(P26))))</formula>
    </cfRule>
  </conditionalFormatting>
  <conditionalFormatting sqref="P26:P27">
    <cfRule type="containsText" dxfId="3" priority="76" operator="containsText" text="Long">
      <formula>NOT(ISERROR(SEARCH(("Long"),(P26))))</formula>
    </cfRule>
  </conditionalFormatting>
  <conditionalFormatting sqref="P28">
    <cfRule type="containsText" dxfId="0" priority="77" operator="containsText" text="Medium">
      <formula>NOT(ISERROR(SEARCH(("Medium"),(P28))))</formula>
    </cfRule>
  </conditionalFormatting>
  <conditionalFormatting sqref="P28">
    <cfRule type="containsText" dxfId="1" priority="78" operator="containsText" text="Now">
      <formula>NOT(ISERROR(SEARCH(("Now"),(P28))))</formula>
    </cfRule>
  </conditionalFormatting>
  <conditionalFormatting sqref="P28">
    <cfRule type="containsText" dxfId="2" priority="79" operator="containsText" text="Short">
      <formula>NOT(ISERROR(SEARCH(("Short"),(P28))))</formula>
    </cfRule>
  </conditionalFormatting>
  <conditionalFormatting sqref="P28">
    <cfRule type="containsText" dxfId="3" priority="80" operator="containsText" text="Long">
      <formula>NOT(ISERROR(SEARCH(("Long"),(P28))))</formula>
    </cfRule>
  </conditionalFormatting>
  <conditionalFormatting sqref="P29">
    <cfRule type="containsText" dxfId="0" priority="81" operator="containsText" text="Medium">
      <formula>NOT(ISERROR(SEARCH(("Medium"),(P29))))</formula>
    </cfRule>
  </conditionalFormatting>
  <conditionalFormatting sqref="P29">
    <cfRule type="containsText" dxfId="1" priority="82" operator="containsText" text="Now">
      <formula>NOT(ISERROR(SEARCH(("Now"),(P29))))</formula>
    </cfRule>
  </conditionalFormatting>
  <conditionalFormatting sqref="P29">
    <cfRule type="containsText" dxfId="2" priority="83" operator="containsText" text="Short">
      <formula>NOT(ISERROR(SEARCH(("Short"),(P29))))</formula>
    </cfRule>
  </conditionalFormatting>
  <conditionalFormatting sqref="P29">
    <cfRule type="containsText" dxfId="3" priority="84" operator="containsText" text="Long">
      <formula>NOT(ISERROR(SEARCH(("Long"),(P29))))</formula>
    </cfRule>
  </conditionalFormatting>
  <conditionalFormatting sqref="P30">
    <cfRule type="containsText" dxfId="0" priority="85" operator="containsText" text="Medium">
      <formula>NOT(ISERROR(SEARCH(("Medium"),(P30))))</formula>
    </cfRule>
  </conditionalFormatting>
  <conditionalFormatting sqref="P30">
    <cfRule type="containsText" dxfId="1" priority="86" operator="containsText" text="Now">
      <formula>NOT(ISERROR(SEARCH(("Now"),(P30))))</formula>
    </cfRule>
  </conditionalFormatting>
  <conditionalFormatting sqref="P30">
    <cfRule type="containsText" dxfId="2" priority="87" operator="containsText" text="Short">
      <formula>NOT(ISERROR(SEARCH(("Short"),(P30))))</formula>
    </cfRule>
  </conditionalFormatting>
  <conditionalFormatting sqref="P30">
    <cfRule type="containsText" dxfId="3" priority="88" operator="containsText" text="Long">
      <formula>NOT(ISERROR(SEARCH(("Long"),(P30))))</formula>
    </cfRule>
  </conditionalFormatting>
  <conditionalFormatting sqref="P31">
    <cfRule type="containsText" dxfId="0" priority="89" operator="containsText" text="Medium">
      <formula>NOT(ISERROR(SEARCH(("Medium"),(P31))))</formula>
    </cfRule>
  </conditionalFormatting>
  <conditionalFormatting sqref="P31">
    <cfRule type="containsText" dxfId="1" priority="90" operator="containsText" text="Now">
      <formula>NOT(ISERROR(SEARCH(("Now"),(P31))))</formula>
    </cfRule>
  </conditionalFormatting>
  <conditionalFormatting sqref="P31">
    <cfRule type="containsText" dxfId="2" priority="91" operator="containsText" text="Short">
      <formula>NOT(ISERROR(SEARCH(("Short"),(P31))))</formula>
    </cfRule>
  </conditionalFormatting>
  <conditionalFormatting sqref="P31">
    <cfRule type="containsText" dxfId="3" priority="92" operator="containsText" text="Long">
      <formula>NOT(ISERROR(SEARCH(("Long"),(P31))))</formula>
    </cfRule>
  </conditionalFormatting>
  <conditionalFormatting sqref="P31:P33">
    <cfRule type="containsText" dxfId="0" priority="93" operator="containsText" text="Medium">
      <formula>NOT(ISERROR(SEARCH(("Medium"),(P31))))</formula>
    </cfRule>
  </conditionalFormatting>
  <conditionalFormatting sqref="P31:P33">
    <cfRule type="containsText" dxfId="1" priority="94" operator="containsText" text="Now">
      <formula>NOT(ISERROR(SEARCH(("Now"),(P31))))</formula>
    </cfRule>
  </conditionalFormatting>
  <conditionalFormatting sqref="P31:P33">
    <cfRule type="containsText" dxfId="2" priority="95" operator="containsText" text="Short">
      <formula>NOT(ISERROR(SEARCH(("Short"),(P31))))</formula>
    </cfRule>
  </conditionalFormatting>
  <conditionalFormatting sqref="P31:P33">
    <cfRule type="containsText" dxfId="3" priority="96" operator="containsText" text="Long">
      <formula>NOT(ISERROR(SEARCH(("Long"),(P31))))</formula>
    </cfRule>
  </conditionalFormatting>
  <conditionalFormatting sqref="P33">
    <cfRule type="containsText" dxfId="0" priority="97" operator="containsText" text="Medium">
      <formula>NOT(ISERROR(SEARCH(("Medium"),(P33))))</formula>
    </cfRule>
  </conditionalFormatting>
  <conditionalFormatting sqref="P33">
    <cfRule type="containsText" dxfId="1" priority="98" operator="containsText" text="Now">
      <formula>NOT(ISERROR(SEARCH(("Now"),(P33))))</formula>
    </cfRule>
  </conditionalFormatting>
  <conditionalFormatting sqref="P33">
    <cfRule type="containsText" dxfId="2" priority="99" operator="containsText" text="Short">
      <formula>NOT(ISERROR(SEARCH(("Short"),(P33))))</formula>
    </cfRule>
  </conditionalFormatting>
  <conditionalFormatting sqref="P33">
    <cfRule type="containsText" dxfId="3" priority="100" operator="containsText" text="Long">
      <formula>NOT(ISERROR(SEARCH(("Long"),(P33))))</formula>
    </cfRule>
  </conditionalFormatting>
  <conditionalFormatting sqref="P34">
    <cfRule type="containsText" dxfId="0" priority="101" operator="containsText" text="Medium">
      <formula>NOT(ISERROR(SEARCH(("Medium"),(P34))))</formula>
    </cfRule>
  </conditionalFormatting>
  <conditionalFormatting sqref="P34">
    <cfRule type="containsText" dxfId="1" priority="102" operator="containsText" text="Now">
      <formula>NOT(ISERROR(SEARCH(("Now"),(P34))))</formula>
    </cfRule>
  </conditionalFormatting>
  <conditionalFormatting sqref="P34">
    <cfRule type="containsText" dxfId="2" priority="103" operator="containsText" text="Short">
      <formula>NOT(ISERROR(SEARCH(("Short"),(P34))))</formula>
    </cfRule>
  </conditionalFormatting>
  <conditionalFormatting sqref="P34">
    <cfRule type="containsText" dxfId="3" priority="104" operator="containsText" text="Long">
      <formula>NOT(ISERROR(SEARCH(("Long"),(P34))))</formula>
    </cfRule>
  </conditionalFormatting>
  <conditionalFormatting sqref="P34">
    <cfRule type="containsText" dxfId="0" priority="105" operator="containsText" text="Medium">
      <formula>NOT(ISERROR(SEARCH(("Medium"),(P34))))</formula>
    </cfRule>
  </conditionalFormatting>
  <conditionalFormatting sqref="P34">
    <cfRule type="containsText" dxfId="1" priority="106" operator="containsText" text="Now">
      <formula>NOT(ISERROR(SEARCH(("Now"),(P34))))</formula>
    </cfRule>
  </conditionalFormatting>
  <conditionalFormatting sqref="P34">
    <cfRule type="containsText" dxfId="2" priority="107" operator="containsText" text="Short">
      <formula>NOT(ISERROR(SEARCH(("Short"),(P34))))</formula>
    </cfRule>
  </conditionalFormatting>
  <conditionalFormatting sqref="P34">
    <cfRule type="containsText" dxfId="3" priority="108" operator="containsText" text="Long">
      <formula>NOT(ISERROR(SEARCH(("Long"),(P34))))</formula>
    </cfRule>
  </conditionalFormatting>
  <conditionalFormatting sqref="P35">
    <cfRule type="containsText" dxfId="0" priority="109" operator="containsText" text="Medium">
      <formula>NOT(ISERROR(SEARCH(("Medium"),(P35))))</formula>
    </cfRule>
  </conditionalFormatting>
  <conditionalFormatting sqref="P35">
    <cfRule type="containsText" dxfId="1" priority="110" operator="containsText" text="Now">
      <formula>NOT(ISERROR(SEARCH(("Now"),(P35))))</formula>
    </cfRule>
  </conditionalFormatting>
  <conditionalFormatting sqref="P35">
    <cfRule type="containsText" dxfId="2" priority="111" operator="containsText" text="Short">
      <formula>NOT(ISERROR(SEARCH(("Short"),(P35))))</formula>
    </cfRule>
  </conditionalFormatting>
  <conditionalFormatting sqref="P35">
    <cfRule type="containsText" dxfId="3" priority="112" operator="containsText" text="Long">
      <formula>NOT(ISERROR(SEARCH(("Long"),(P35))))</formula>
    </cfRule>
  </conditionalFormatting>
  <conditionalFormatting sqref="P36">
    <cfRule type="containsText" dxfId="0" priority="113" operator="containsText" text="Medium">
      <formula>NOT(ISERROR(SEARCH(("Medium"),(P36))))</formula>
    </cfRule>
  </conditionalFormatting>
  <conditionalFormatting sqref="P36">
    <cfRule type="containsText" dxfId="1" priority="114" operator="containsText" text="Now">
      <formula>NOT(ISERROR(SEARCH(("Now"),(P36))))</formula>
    </cfRule>
  </conditionalFormatting>
  <conditionalFormatting sqref="P36">
    <cfRule type="containsText" dxfId="2" priority="115" operator="containsText" text="Short">
      <formula>NOT(ISERROR(SEARCH(("Short"),(P36))))</formula>
    </cfRule>
  </conditionalFormatting>
  <conditionalFormatting sqref="P36">
    <cfRule type="containsText" dxfId="3" priority="116" operator="containsText" text="Long">
      <formula>NOT(ISERROR(SEARCH(("Long"),(P36))))</formula>
    </cfRule>
  </conditionalFormatting>
  <conditionalFormatting sqref="P37">
    <cfRule type="containsText" dxfId="0" priority="117" operator="containsText" text="Medium">
      <formula>NOT(ISERROR(SEARCH(("Medium"),(P37))))</formula>
    </cfRule>
  </conditionalFormatting>
  <conditionalFormatting sqref="P37">
    <cfRule type="containsText" dxfId="1" priority="118" operator="containsText" text="Now">
      <formula>NOT(ISERROR(SEARCH(("Now"),(P37))))</formula>
    </cfRule>
  </conditionalFormatting>
  <conditionalFormatting sqref="P37">
    <cfRule type="containsText" dxfId="2" priority="119" operator="containsText" text="Short">
      <formula>NOT(ISERROR(SEARCH(("Short"),(P37))))</formula>
    </cfRule>
  </conditionalFormatting>
  <conditionalFormatting sqref="P37">
    <cfRule type="containsText" dxfId="3" priority="120" operator="containsText" text="Long">
      <formula>NOT(ISERROR(SEARCH(("Long"),(P37))))</formula>
    </cfRule>
  </conditionalFormatting>
  <conditionalFormatting sqref="P38">
    <cfRule type="containsText" dxfId="0" priority="121" operator="containsText" text="Medium">
      <formula>NOT(ISERROR(SEARCH(("Medium"),(P38))))</formula>
    </cfRule>
  </conditionalFormatting>
  <conditionalFormatting sqref="P38">
    <cfRule type="containsText" dxfId="1" priority="122" operator="containsText" text="Now">
      <formula>NOT(ISERROR(SEARCH(("Now"),(P38))))</formula>
    </cfRule>
  </conditionalFormatting>
  <conditionalFormatting sqref="P38">
    <cfRule type="containsText" dxfId="2" priority="123" operator="containsText" text="Short">
      <formula>NOT(ISERROR(SEARCH(("Short"),(P38))))</formula>
    </cfRule>
  </conditionalFormatting>
  <conditionalFormatting sqref="P38">
    <cfRule type="containsText" dxfId="3" priority="124" operator="containsText" text="Long">
      <formula>NOT(ISERROR(SEARCH(("Long"),(P38))))</formula>
    </cfRule>
  </conditionalFormatting>
  <conditionalFormatting sqref="P39:P40">
    <cfRule type="containsText" dxfId="0" priority="125" operator="containsText" text="Medium">
      <formula>NOT(ISERROR(SEARCH(("Medium"),(P39))))</formula>
    </cfRule>
  </conditionalFormatting>
  <conditionalFormatting sqref="P39:P40">
    <cfRule type="containsText" dxfId="1" priority="126" operator="containsText" text="Now">
      <formula>NOT(ISERROR(SEARCH(("Now"),(P39))))</formula>
    </cfRule>
  </conditionalFormatting>
  <conditionalFormatting sqref="P39:P40">
    <cfRule type="containsText" dxfId="2" priority="127" operator="containsText" text="Short">
      <formula>NOT(ISERROR(SEARCH(("Short"),(P39))))</formula>
    </cfRule>
  </conditionalFormatting>
  <conditionalFormatting sqref="P39:P40">
    <cfRule type="containsText" dxfId="3" priority="128" operator="containsText" text="Long">
      <formula>NOT(ISERROR(SEARCH(("Long"),(P39))))</formula>
    </cfRule>
  </conditionalFormatting>
  <conditionalFormatting sqref="P41">
    <cfRule type="containsText" dxfId="0" priority="129" operator="containsText" text="Medium">
      <formula>NOT(ISERROR(SEARCH(("Medium"),(P41))))</formula>
    </cfRule>
  </conditionalFormatting>
  <conditionalFormatting sqref="P41">
    <cfRule type="containsText" dxfId="1" priority="130" operator="containsText" text="Now">
      <formula>NOT(ISERROR(SEARCH(("Now"),(P41))))</formula>
    </cfRule>
  </conditionalFormatting>
  <conditionalFormatting sqref="P41">
    <cfRule type="containsText" dxfId="2" priority="131" operator="containsText" text="Short">
      <formula>NOT(ISERROR(SEARCH(("Short"),(P41))))</formula>
    </cfRule>
  </conditionalFormatting>
  <conditionalFormatting sqref="P41">
    <cfRule type="containsText" dxfId="3" priority="132" operator="containsText" text="Long">
      <formula>NOT(ISERROR(SEARCH(("Long"),(P41))))</formula>
    </cfRule>
  </conditionalFormatting>
  <conditionalFormatting sqref="P42">
    <cfRule type="containsText" dxfId="0" priority="133" operator="containsText" text="Medium">
      <formula>NOT(ISERROR(SEARCH(("Medium"),(P42))))</formula>
    </cfRule>
  </conditionalFormatting>
  <conditionalFormatting sqref="P42">
    <cfRule type="containsText" dxfId="1" priority="134" operator="containsText" text="Now">
      <formula>NOT(ISERROR(SEARCH(("Now"),(P42))))</formula>
    </cfRule>
  </conditionalFormatting>
  <conditionalFormatting sqref="P42">
    <cfRule type="containsText" dxfId="2" priority="135" operator="containsText" text="Short">
      <formula>NOT(ISERROR(SEARCH(("Short"),(P42))))</formula>
    </cfRule>
  </conditionalFormatting>
  <conditionalFormatting sqref="P42">
    <cfRule type="containsText" dxfId="3" priority="136" operator="containsText" text="Long">
      <formula>NOT(ISERROR(SEARCH(("Long"),(P42))))</formula>
    </cfRule>
  </conditionalFormatting>
  <conditionalFormatting sqref="P43">
    <cfRule type="containsText" dxfId="0" priority="137" operator="containsText" text="Medium">
      <formula>NOT(ISERROR(SEARCH(("Medium"),(P43))))</formula>
    </cfRule>
  </conditionalFormatting>
  <conditionalFormatting sqref="P43">
    <cfRule type="containsText" dxfId="1" priority="138" operator="containsText" text="Now">
      <formula>NOT(ISERROR(SEARCH(("Now"),(P43))))</formula>
    </cfRule>
  </conditionalFormatting>
  <conditionalFormatting sqref="P43">
    <cfRule type="containsText" dxfId="2" priority="139" operator="containsText" text="Short">
      <formula>NOT(ISERROR(SEARCH(("Short"),(P43))))</formula>
    </cfRule>
  </conditionalFormatting>
  <conditionalFormatting sqref="P43">
    <cfRule type="containsText" dxfId="3" priority="140" operator="containsText" text="Long">
      <formula>NOT(ISERROR(SEARCH(("Long"),(P43))))</formula>
    </cfRule>
  </conditionalFormatting>
  <conditionalFormatting sqref="P44:P45">
    <cfRule type="containsText" dxfId="0" priority="141" operator="containsText" text="Medium">
      <formula>NOT(ISERROR(SEARCH(("Medium"),(P44))))</formula>
    </cfRule>
  </conditionalFormatting>
  <conditionalFormatting sqref="P44:P45">
    <cfRule type="containsText" dxfId="1" priority="142" operator="containsText" text="Now">
      <formula>NOT(ISERROR(SEARCH(("Now"),(P44))))</formula>
    </cfRule>
  </conditionalFormatting>
  <conditionalFormatting sqref="P44:P45">
    <cfRule type="containsText" dxfId="2" priority="143" operator="containsText" text="Short">
      <formula>NOT(ISERROR(SEARCH(("Short"),(P44))))</formula>
    </cfRule>
  </conditionalFormatting>
  <conditionalFormatting sqref="P44:P45">
    <cfRule type="containsText" dxfId="3" priority="144" operator="containsText" text="Long">
      <formula>NOT(ISERROR(SEARCH(("Long"),(P44))))</formula>
    </cfRule>
  </conditionalFormatting>
  <conditionalFormatting sqref="P48">
    <cfRule type="containsText" dxfId="0" priority="145" operator="containsText" text="Medium">
      <formula>NOT(ISERROR(SEARCH(("Medium"),(P48))))</formula>
    </cfRule>
  </conditionalFormatting>
  <conditionalFormatting sqref="P48">
    <cfRule type="containsText" dxfId="1" priority="146" operator="containsText" text="Now">
      <formula>NOT(ISERROR(SEARCH(("Now"),(P48))))</formula>
    </cfRule>
  </conditionalFormatting>
  <conditionalFormatting sqref="P48">
    <cfRule type="containsText" dxfId="2" priority="147" operator="containsText" text="Short">
      <formula>NOT(ISERROR(SEARCH(("Short"),(P48))))</formula>
    </cfRule>
  </conditionalFormatting>
  <conditionalFormatting sqref="P48">
    <cfRule type="containsText" dxfId="3" priority="148" operator="containsText" text="Long">
      <formula>NOT(ISERROR(SEARCH(("Long"),(P48))))</formula>
    </cfRule>
  </conditionalFormatting>
  <conditionalFormatting sqref="P49">
    <cfRule type="containsText" dxfId="0" priority="149" operator="containsText" text="Medium">
      <formula>NOT(ISERROR(SEARCH(("Medium"),(P49))))</formula>
    </cfRule>
  </conditionalFormatting>
  <conditionalFormatting sqref="P49">
    <cfRule type="containsText" dxfId="1" priority="150" operator="containsText" text="Now">
      <formula>NOT(ISERROR(SEARCH(("Now"),(P49))))</formula>
    </cfRule>
  </conditionalFormatting>
  <conditionalFormatting sqref="P49">
    <cfRule type="containsText" dxfId="2" priority="151" operator="containsText" text="Short">
      <formula>NOT(ISERROR(SEARCH(("Short"),(P49))))</formula>
    </cfRule>
  </conditionalFormatting>
  <conditionalFormatting sqref="P49">
    <cfRule type="containsText" dxfId="3" priority="152" operator="containsText" text="Long">
      <formula>NOT(ISERROR(SEARCH(("Long"),(P49))))</formula>
    </cfRule>
  </conditionalFormatting>
  <conditionalFormatting sqref="P50 P54">
    <cfRule type="containsText" dxfId="0" priority="153" operator="containsText" text="Medium">
      <formula>NOT(ISERROR(SEARCH(("Medium"),(P50))))</formula>
    </cfRule>
  </conditionalFormatting>
  <conditionalFormatting sqref="P50 P54">
    <cfRule type="containsText" dxfId="1" priority="154" operator="containsText" text="Now">
      <formula>NOT(ISERROR(SEARCH(("Now"),(P50))))</formula>
    </cfRule>
  </conditionalFormatting>
  <conditionalFormatting sqref="P50 P54">
    <cfRule type="containsText" dxfId="2" priority="155" operator="containsText" text="Short">
      <formula>NOT(ISERROR(SEARCH(("Short"),(P50))))</formula>
    </cfRule>
  </conditionalFormatting>
  <conditionalFormatting sqref="P50 P54">
    <cfRule type="containsText" dxfId="3" priority="156" operator="containsText" text="Long">
      <formula>NOT(ISERROR(SEARCH(("Long"),(P50))))</formula>
    </cfRule>
  </conditionalFormatting>
  <conditionalFormatting sqref="P51:P56">
    <cfRule type="containsText" dxfId="0" priority="157" operator="containsText" text="Medium">
      <formula>NOT(ISERROR(SEARCH(("Medium"),(P51))))</formula>
    </cfRule>
  </conditionalFormatting>
  <conditionalFormatting sqref="P51:P56">
    <cfRule type="containsText" dxfId="1" priority="158" operator="containsText" text="Now">
      <formula>NOT(ISERROR(SEARCH(("Now"),(P51))))</formula>
    </cfRule>
  </conditionalFormatting>
  <conditionalFormatting sqref="P51:P56">
    <cfRule type="containsText" dxfId="2" priority="159" operator="containsText" text="Short">
      <formula>NOT(ISERROR(SEARCH(("Short"),(P51))))</formula>
    </cfRule>
  </conditionalFormatting>
  <conditionalFormatting sqref="P51:P56">
    <cfRule type="containsText" dxfId="3" priority="160" operator="containsText" text="Long">
      <formula>NOT(ISERROR(SEARCH(("Long"),(P51))))</formula>
    </cfRule>
  </conditionalFormatting>
  <conditionalFormatting sqref="P57">
    <cfRule type="containsText" dxfId="0" priority="161" operator="containsText" text="Medium">
      <formula>NOT(ISERROR(SEARCH(("Medium"),(P57))))</formula>
    </cfRule>
  </conditionalFormatting>
  <conditionalFormatting sqref="P57">
    <cfRule type="containsText" dxfId="1" priority="162" operator="containsText" text="Now">
      <formula>NOT(ISERROR(SEARCH(("Now"),(P57))))</formula>
    </cfRule>
  </conditionalFormatting>
  <conditionalFormatting sqref="P57">
    <cfRule type="containsText" dxfId="2" priority="163" operator="containsText" text="Short">
      <formula>NOT(ISERROR(SEARCH(("Short"),(P57))))</formula>
    </cfRule>
  </conditionalFormatting>
  <conditionalFormatting sqref="P57">
    <cfRule type="containsText" dxfId="3" priority="164" operator="containsText" text="Long">
      <formula>NOT(ISERROR(SEARCH(("Long"),(P57))))</formula>
    </cfRule>
  </conditionalFormatting>
  <conditionalFormatting sqref="P58">
    <cfRule type="containsText" dxfId="0" priority="165" operator="containsText" text="Medium">
      <formula>NOT(ISERROR(SEARCH(("Medium"),(P58))))</formula>
    </cfRule>
  </conditionalFormatting>
  <conditionalFormatting sqref="P58">
    <cfRule type="containsText" dxfId="1" priority="166" operator="containsText" text="Now">
      <formula>NOT(ISERROR(SEARCH(("Now"),(P58))))</formula>
    </cfRule>
  </conditionalFormatting>
  <conditionalFormatting sqref="P58">
    <cfRule type="containsText" dxfId="2" priority="167" operator="containsText" text="Short">
      <formula>NOT(ISERROR(SEARCH(("Short"),(P58))))</formula>
    </cfRule>
  </conditionalFormatting>
  <conditionalFormatting sqref="P58">
    <cfRule type="containsText" dxfId="3" priority="168" operator="containsText" text="Long">
      <formula>NOT(ISERROR(SEARCH(("Long"),(P58))))</formula>
    </cfRule>
  </conditionalFormatting>
  <conditionalFormatting sqref="P59">
    <cfRule type="containsText" dxfId="0" priority="169" operator="containsText" text="Medium">
      <formula>NOT(ISERROR(SEARCH(("Medium"),(P59))))</formula>
    </cfRule>
  </conditionalFormatting>
  <conditionalFormatting sqref="P59">
    <cfRule type="containsText" dxfId="1" priority="170" operator="containsText" text="Now">
      <formula>NOT(ISERROR(SEARCH(("Now"),(P59))))</formula>
    </cfRule>
  </conditionalFormatting>
  <conditionalFormatting sqref="P59">
    <cfRule type="containsText" dxfId="2" priority="171" operator="containsText" text="Short">
      <formula>NOT(ISERROR(SEARCH(("Short"),(P59))))</formula>
    </cfRule>
  </conditionalFormatting>
  <conditionalFormatting sqref="P59">
    <cfRule type="containsText" dxfId="3" priority="172" operator="containsText" text="Long">
      <formula>NOT(ISERROR(SEARCH(("Long"),(P59))))</formula>
    </cfRule>
  </conditionalFormatting>
  <conditionalFormatting sqref="P60">
    <cfRule type="containsText" dxfId="0" priority="173" operator="containsText" text="Medium">
      <formula>NOT(ISERROR(SEARCH(("Medium"),(P60))))</formula>
    </cfRule>
  </conditionalFormatting>
  <conditionalFormatting sqref="P60">
    <cfRule type="containsText" dxfId="1" priority="174" operator="containsText" text="Now">
      <formula>NOT(ISERROR(SEARCH(("Now"),(P60))))</formula>
    </cfRule>
  </conditionalFormatting>
  <conditionalFormatting sqref="P60">
    <cfRule type="containsText" dxfId="2" priority="175" operator="containsText" text="Short">
      <formula>NOT(ISERROR(SEARCH(("Short"),(P60))))</formula>
    </cfRule>
  </conditionalFormatting>
  <conditionalFormatting sqref="P60">
    <cfRule type="containsText" dxfId="3" priority="176" operator="containsText" text="Long">
      <formula>NOT(ISERROR(SEARCH(("Long"),(P60))))</formula>
    </cfRule>
  </conditionalFormatting>
  <conditionalFormatting sqref="P61">
    <cfRule type="containsText" dxfId="0" priority="177" operator="containsText" text="Medium">
      <formula>NOT(ISERROR(SEARCH(("Medium"),(P61))))</formula>
    </cfRule>
  </conditionalFormatting>
  <conditionalFormatting sqref="P61">
    <cfRule type="containsText" dxfId="1" priority="178" operator="containsText" text="Now">
      <formula>NOT(ISERROR(SEARCH(("Now"),(P61))))</formula>
    </cfRule>
  </conditionalFormatting>
  <conditionalFormatting sqref="P61">
    <cfRule type="containsText" dxfId="2" priority="179" operator="containsText" text="Short">
      <formula>NOT(ISERROR(SEARCH(("Short"),(P61))))</formula>
    </cfRule>
  </conditionalFormatting>
  <conditionalFormatting sqref="P61">
    <cfRule type="containsText" dxfId="3" priority="180" operator="containsText" text="Long">
      <formula>NOT(ISERROR(SEARCH(("Long"),(P61))))</formula>
    </cfRule>
  </conditionalFormatting>
  <conditionalFormatting sqref="P62">
    <cfRule type="containsText" dxfId="0" priority="181" operator="containsText" text="Medium">
      <formula>NOT(ISERROR(SEARCH(("Medium"),(P62))))</formula>
    </cfRule>
  </conditionalFormatting>
  <conditionalFormatting sqref="P62">
    <cfRule type="containsText" dxfId="1" priority="182" operator="containsText" text="Now">
      <formula>NOT(ISERROR(SEARCH(("Now"),(P62))))</formula>
    </cfRule>
  </conditionalFormatting>
  <conditionalFormatting sqref="P62">
    <cfRule type="containsText" dxfId="2" priority="183" operator="containsText" text="Short">
      <formula>NOT(ISERROR(SEARCH(("Short"),(P62))))</formula>
    </cfRule>
  </conditionalFormatting>
  <conditionalFormatting sqref="P62">
    <cfRule type="containsText" dxfId="3" priority="184" operator="containsText" text="Long">
      <formula>NOT(ISERROR(SEARCH(("Long"),(P62))))</formula>
    </cfRule>
  </conditionalFormatting>
  <conditionalFormatting sqref="P63">
    <cfRule type="containsText" dxfId="0" priority="185" operator="containsText" text="Medium">
      <formula>NOT(ISERROR(SEARCH(("Medium"),(P63))))</formula>
    </cfRule>
  </conditionalFormatting>
  <conditionalFormatting sqref="P63">
    <cfRule type="containsText" dxfId="1" priority="186" operator="containsText" text="Now">
      <formula>NOT(ISERROR(SEARCH(("Now"),(P63))))</formula>
    </cfRule>
  </conditionalFormatting>
  <conditionalFormatting sqref="P63">
    <cfRule type="containsText" dxfId="2" priority="187" operator="containsText" text="Short">
      <formula>NOT(ISERROR(SEARCH(("Short"),(P63))))</formula>
    </cfRule>
  </conditionalFormatting>
  <conditionalFormatting sqref="P63">
    <cfRule type="containsText" dxfId="3" priority="188" operator="containsText" text="Long">
      <formula>NOT(ISERROR(SEARCH(("Long"),(P63))))</formula>
    </cfRule>
  </conditionalFormatting>
  <conditionalFormatting sqref="P64:P66">
    <cfRule type="containsText" dxfId="0" priority="189" operator="containsText" text="Medium">
      <formula>NOT(ISERROR(SEARCH(("Medium"),(P64))))</formula>
    </cfRule>
  </conditionalFormatting>
  <conditionalFormatting sqref="P64:P66">
    <cfRule type="containsText" dxfId="1" priority="190" operator="containsText" text="Now">
      <formula>NOT(ISERROR(SEARCH(("Now"),(P64))))</formula>
    </cfRule>
  </conditionalFormatting>
  <conditionalFormatting sqref="P64:P66">
    <cfRule type="containsText" dxfId="2" priority="191" operator="containsText" text="Short">
      <formula>NOT(ISERROR(SEARCH(("Short"),(P64))))</formula>
    </cfRule>
  </conditionalFormatting>
  <conditionalFormatting sqref="P64:P66">
    <cfRule type="containsText" dxfId="3" priority="192" operator="containsText" text="Long">
      <formula>NOT(ISERROR(SEARCH(("Long"),(P64))))</formula>
    </cfRule>
  </conditionalFormatting>
  <conditionalFormatting sqref="P67:P68">
    <cfRule type="containsText" dxfId="0" priority="193" operator="containsText" text="Medium">
      <formula>NOT(ISERROR(SEARCH(("Medium"),(P67))))</formula>
    </cfRule>
  </conditionalFormatting>
  <conditionalFormatting sqref="P67:P68">
    <cfRule type="containsText" dxfId="1" priority="194" operator="containsText" text="Now">
      <formula>NOT(ISERROR(SEARCH(("Now"),(P67))))</formula>
    </cfRule>
  </conditionalFormatting>
  <conditionalFormatting sqref="P67:P68">
    <cfRule type="containsText" dxfId="2" priority="195" operator="containsText" text="Short">
      <formula>NOT(ISERROR(SEARCH(("Short"),(P67))))</formula>
    </cfRule>
  </conditionalFormatting>
  <conditionalFormatting sqref="P67:P68">
    <cfRule type="containsText" dxfId="3" priority="196" operator="containsText" text="Long">
      <formula>NOT(ISERROR(SEARCH(("Long"),(P67))))</formula>
    </cfRule>
  </conditionalFormatting>
  <conditionalFormatting sqref="P69">
    <cfRule type="containsText" dxfId="0" priority="197" operator="containsText" text="Medium">
      <formula>NOT(ISERROR(SEARCH(("Medium"),(P69))))</formula>
    </cfRule>
  </conditionalFormatting>
  <conditionalFormatting sqref="P69">
    <cfRule type="containsText" dxfId="1" priority="198" operator="containsText" text="Now">
      <formula>NOT(ISERROR(SEARCH(("Now"),(P69))))</formula>
    </cfRule>
  </conditionalFormatting>
  <conditionalFormatting sqref="P69">
    <cfRule type="containsText" dxfId="2" priority="199" operator="containsText" text="Short">
      <formula>NOT(ISERROR(SEARCH(("Short"),(P69))))</formula>
    </cfRule>
  </conditionalFormatting>
  <conditionalFormatting sqref="P69">
    <cfRule type="containsText" dxfId="3" priority="200" operator="containsText" text="Long">
      <formula>NOT(ISERROR(SEARCH(("Long"),(P69))))</formula>
    </cfRule>
  </conditionalFormatting>
  <conditionalFormatting sqref="P70:P71">
    <cfRule type="containsText" dxfId="0" priority="201" operator="containsText" text="Medium">
      <formula>NOT(ISERROR(SEARCH(("Medium"),(P70))))</formula>
    </cfRule>
  </conditionalFormatting>
  <conditionalFormatting sqref="P70:P71">
    <cfRule type="containsText" dxfId="1" priority="202" operator="containsText" text="Now">
      <formula>NOT(ISERROR(SEARCH(("Now"),(P70))))</formula>
    </cfRule>
  </conditionalFormatting>
  <conditionalFormatting sqref="P70:P71">
    <cfRule type="containsText" dxfId="2" priority="203" operator="containsText" text="Short">
      <formula>NOT(ISERROR(SEARCH(("Short"),(P70))))</formula>
    </cfRule>
  </conditionalFormatting>
  <conditionalFormatting sqref="P70:P71">
    <cfRule type="containsText" dxfId="3" priority="204" operator="containsText" text="Long">
      <formula>NOT(ISERROR(SEARCH(("Long"),(P70))))</formula>
    </cfRule>
  </conditionalFormatting>
  <conditionalFormatting sqref="P72">
    <cfRule type="containsText" dxfId="0" priority="205" operator="containsText" text="Medium">
      <formula>NOT(ISERROR(SEARCH(("Medium"),(P72))))</formula>
    </cfRule>
  </conditionalFormatting>
  <conditionalFormatting sqref="P72">
    <cfRule type="containsText" dxfId="1" priority="206" operator="containsText" text="Now">
      <formula>NOT(ISERROR(SEARCH(("Now"),(P72))))</formula>
    </cfRule>
  </conditionalFormatting>
  <conditionalFormatting sqref="P72">
    <cfRule type="containsText" dxfId="2" priority="207" operator="containsText" text="Short">
      <formula>NOT(ISERROR(SEARCH(("Short"),(P72))))</formula>
    </cfRule>
  </conditionalFormatting>
  <conditionalFormatting sqref="P72">
    <cfRule type="containsText" dxfId="3" priority="208" operator="containsText" text="Long">
      <formula>NOT(ISERROR(SEARCH(("Long"),(P72))))</formula>
    </cfRule>
  </conditionalFormatting>
  <conditionalFormatting sqref="P74">
    <cfRule type="containsText" dxfId="0" priority="209" operator="containsText" text="Medium">
      <formula>NOT(ISERROR(SEARCH(("Medium"),(P74))))</formula>
    </cfRule>
  </conditionalFormatting>
  <conditionalFormatting sqref="P74">
    <cfRule type="containsText" dxfId="1" priority="210" operator="containsText" text="Now">
      <formula>NOT(ISERROR(SEARCH(("Now"),(P74))))</formula>
    </cfRule>
  </conditionalFormatting>
  <conditionalFormatting sqref="P74">
    <cfRule type="containsText" dxfId="2" priority="211" operator="containsText" text="Short">
      <formula>NOT(ISERROR(SEARCH(("Short"),(P74))))</formula>
    </cfRule>
  </conditionalFormatting>
  <conditionalFormatting sqref="P74">
    <cfRule type="containsText" dxfId="3" priority="212" operator="containsText" text="Long">
      <formula>NOT(ISERROR(SEARCH(("Long"),(P74))))</formula>
    </cfRule>
  </conditionalFormatting>
  <conditionalFormatting sqref="P73">
    <cfRule type="containsText" dxfId="0" priority="213" operator="containsText" text="Medium">
      <formula>NOT(ISERROR(SEARCH(("Medium"),(P73))))</formula>
    </cfRule>
  </conditionalFormatting>
  <conditionalFormatting sqref="P73">
    <cfRule type="containsText" dxfId="1" priority="214" operator="containsText" text="Now">
      <formula>NOT(ISERROR(SEARCH(("Now"),(P73))))</formula>
    </cfRule>
  </conditionalFormatting>
  <conditionalFormatting sqref="P73">
    <cfRule type="containsText" dxfId="2" priority="215" operator="containsText" text="Short">
      <formula>NOT(ISERROR(SEARCH(("Short"),(P73))))</formula>
    </cfRule>
  </conditionalFormatting>
  <conditionalFormatting sqref="P73">
    <cfRule type="containsText" dxfId="3" priority="216" operator="containsText" text="Long">
      <formula>NOT(ISERROR(SEARCH(("Long"),(P73))))</formula>
    </cfRule>
  </conditionalFormatting>
  <conditionalFormatting sqref="P75">
    <cfRule type="containsText" dxfId="0" priority="217" operator="containsText" text="Medium">
      <formula>NOT(ISERROR(SEARCH(("Medium"),(P75))))</formula>
    </cfRule>
  </conditionalFormatting>
  <conditionalFormatting sqref="P75">
    <cfRule type="containsText" dxfId="1" priority="218" operator="containsText" text="Now">
      <formula>NOT(ISERROR(SEARCH(("Now"),(P75))))</formula>
    </cfRule>
  </conditionalFormatting>
  <conditionalFormatting sqref="P75">
    <cfRule type="containsText" dxfId="2" priority="219" operator="containsText" text="Short">
      <formula>NOT(ISERROR(SEARCH(("Short"),(P75))))</formula>
    </cfRule>
  </conditionalFormatting>
  <conditionalFormatting sqref="P75">
    <cfRule type="containsText" dxfId="3" priority="220" operator="containsText" text="Long">
      <formula>NOT(ISERROR(SEARCH(("Long"),(P75))))</formula>
    </cfRule>
  </conditionalFormatting>
  <conditionalFormatting sqref="P76">
    <cfRule type="containsText" dxfId="0" priority="221" operator="containsText" text="Medium">
      <formula>NOT(ISERROR(SEARCH(("Medium"),(P76))))</formula>
    </cfRule>
  </conditionalFormatting>
  <conditionalFormatting sqref="P76">
    <cfRule type="containsText" dxfId="1" priority="222" operator="containsText" text="Now">
      <formula>NOT(ISERROR(SEARCH(("Now"),(P76))))</formula>
    </cfRule>
  </conditionalFormatting>
  <conditionalFormatting sqref="P76">
    <cfRule type="containsText" dxfId="2" priority="223" operator="containsText" text="Short">
      <formula>NOT(ISERROR(SEARCH(("Short"),(P76))))</formula>
    </cfRule>
  </conditionalFormatting>
  <conditionalFormatting sqref="P76">
    <cfRule type="containsText" dxfId="3" priority="224" operator="containsText" text="Long">
      <formula>NOT(ISERROR(SEARCH(("Long"),(P76))))</formula>
    </cfRule>
  </conditionalFormatting>
  <conditionalFormatting sqref="P77">
    <cfRule type="containsText" dxfId="0" priority="225" operator="containsText" text="Medium">
      <formula>NOT(ISERROR(SEARCH(("Medium"),(P77))))</formula>
    </cfRule>
  </conditionalFormatting>
  <conditionalFormatting sqref="P77">
    <cfRule type="containsText" dxfId="1" priority="226" operator="containsText" text="Now">
      <formula>NOT(ISERROR(SEARCH(("Now"),(P77))))</formula>
    </cfRule>
  </conditionalFormatting>
  <conditionalFormatting sqref="P77">
    <cfRule type="containsText" dxfId="2" priority="227" operator="containsText" text="Short">
      <formula>NOT(ISERROR(SEARCH(("Short"),(P77))))</formula>
    </cfRule>
  </conditionalFormatting>
  <conditionalFormatting sqref="P77">
    <cfRule type="containsText" dxfId="3" priority="228" operator="containsText" text="Long">
      <formula>NOT(ISERROR(SEARCH(("Long"),(P77))))</formula>
    </cfRule>
  </conditionalFormatting>
  <conditionalFormatting sqref="P78:P84">
    <cfRule type="containsText" dxfId="0" priority="229" operator="containsText" text="Medium">
      <formula>NOT(ISERROR(SEARCH(("Medium"),(P78))))</formula>
    </cfRule>
  </conditionalFormatting>
  <conditionalFormatting sqref="P78:P84">
    <cfRule type="containsText" dxfId="1" priority="230" operator="containsText" text="Now">
      <formula>NOT(ISERROR(SEARCH(("Now"),(P78))))</formula>
    </cfRule>
  </conditionalFormatting>
  <conditionalFormatting sqref="P78:P84">
    <cfRule type="containsText" dxfId="2" priority="231" operator="containsText" text="Short">
      <formula>NOT(ISERROR(SEARCH(("Short"),(P78))))</formula>
    </cfRule>
  </conditionalFormatting>
  <conditionalFormatting sqref="P78:P84">
    <cfRule type="containsText" dxfId="3" priority="232" operator="containsText" text="Long">
      <formula>NOT(ISERROR(SEARCH(("Long"),(P78))))</formula>
    </cfRule>
  </conditionalFormatting>
  <conditionalFormatting sqref="P82:P83">
    <cfRule type="containsText" dxfId="0" priority="233" operator="containsText" text="Medium">
      <formula>NOT(ISERROR(SEARCH(("Medium"),(P82))))</formula>
    </cfRule>
  </conditionalFormatting>
  <conditionalFormatting sqref="P82:P83">
    <cfRule type="containsText" dxfId="1" priority="234" operator="containsText" text="Now">
      <formula>NOT(ISERROR(SEARCH(("Now"),(P82))))</formula>
    </cfRule>
  </conditionalFormatting>
  <conditionalFormatting sqref="P82:P83">
    <cfRule type="containsText" dxfId="2" priority="235" operator="containsText" text="Short">
      <formula>NOT(ISERROR(SEARCH(("Short"),(P82))))</formula>
    </cfRule>
  </conditionalFormatting>
  <conditionalFormatting sqref="P82:P83">
    <cfRule type="containsText" dxfId="3" priority="236" operator="containsText" text="Long">
      <formula>NOT(ISERROR(SEARCH(("Long"),(P82))))</formula>
    </cfRule>
  </conditionalFormatting>
  <conditionalFormatting sqref="P85">
    <cfRule type="containsText" dxfId="0" priority="237" operator="containsText" text="Medium">
      <formula>NOT(ISERROR(SEARCH(("Medium"),(P85))))</formula>
    </cfRule>
  </conditionalFormatting>
  <conditionalFormatting sqref="P85">
    <cfRule type="containsText" dxfId="1" priority="238" operator="containsText" text="Now">
      <formula>NOT(ISERROR(SEARCH(("Now"),(P85))))</formula>
    </cfRule>
  </conditionalFormatting>
  <conditionalFormatting sqref="P85">
    <cfRule type="containsText" dxfId="2" priority="239" operator="containsText" text="Short">
      <formula>NOT(ISERROR(SEARCH(("Short"),(P85))))</formula>
    </cfRule>
  </conditionalFormatting>
  <conditionalFormatting sqref="P85">
    <cfRule type="containsText" dxfId="3" priority="240" operator="containsText" text="Long">
      <formula>NOT(ISERROR(SEARCH(("Long"),(P85))))</formula>
    </cfRule>
  </conditionalFormatting>
  <conditionalFormatting sqref="P86 P160:P163 P180:P201">
    <cfRule type="containsText" dxfId="0" priority="241" operator="containsText" text="Medium">
      <formula>NOT(ISERROR(SEARCH(("Medium"),(P86))))</formula>
    </cfRule>
  </conditionalFormatting>
  <conditionalFormatting sqref="P86 P160:P163 P180:P201">
    <cfRule type="containsText" dxfId="1" priority="242" operator="containsText" text="Now">
      <formula>NOT(ISERROR(SEARCH(("Now"),(P86))))</formula>
    </cfRule>
  </conditionalFormatting>
  <conditionalFormatting sqref="P86 P160:P163 P180:P201">
    <cfRule type="containsText" dxfId="2" priority="243" operator="containsText" text="Short">
      <formula>NOT(ISERROR(SEARCH(("Short"),(P86))))</formula>
    </cfRule>
  </conditionalFormatting>
  <conditionalFormatting sqref="P86 P160:P163 P180:P201">
    <cfRule type="containsText" dxfId="3" priority="244" operator="containsText" text="Long">
      <formula>NOT(ISERROR(SEARCH(("Long"),(P86))))</formula>
    </cfRule>
  </conditionalFormatting>
  <conditionalFormatting sqref="P84">
    <cfRule type="containsText" dxfId="0" priority="245" operator="containsText" text="Medium">
      <formula>NOT(ISERROR(SEARCH(("Medium"),(P84))))</formula>
    </cfRule>
  </conditionalFormatting>
  <conditionalFormatting sqref="P84">
    <cfRule type="containsText" dxfId="1" priority="246" operator="containsText" text="Now">
      <formula>NOT(ISERROR(SEARCH(("Now"),(P84))))</formula>
    </cfRule>
  </conditionalFormatting>
  <conditionalFormatting sqref="P84">
    <cfRule type="containsText" dxfId="2" priority="247" operator="containsText" text="Short">
      <formula>NOT(ISERROR(SEARCH(("Short"),(P84))))</formula>
    </cfRule>
  </conditionalFormatting>
  <conditionalFormatting sqref="P84">
    <cfRule type="containsText" dxfId="3" priority="248" operator="containsText" text="Long">
      <formula>NOT(ISERROR(SEARCH(("Long"),(P84))))</formula>
    </cfRule>
  </conditionalFormatting>
  <conditionalFormatting sqref="P87">
    <cfRule type="containsText" dxfId="0" priority="249" operator="containsText" text="Medium">
      <formula>NOT(ISERROR(SEARCH(("Medium"),(P87))))</formula>
    </cfRule>
  </conditionalFormatting>
  <conditionalFormatting sqref="P87">
    <cfRule type="containsText" dxfId="1" priority="250" operator="containsText" text="Now">
      <formula>NOT(ISERROR(SEARCH(("Now"),(P87))))</formula>
    </cfRule>
  </conditionalFormatting>
  <conditionalFormatting sqref="P87">
    <cfRule type="containsText" dxfId="2" priority="251" operator="containsText" text="Short">
      <formula>NOT(ISERROR(SEARCH(("Short"),(P87))))</formula>
    </cfRule>
  </conditionalFormatting>
  <conditionalFormatting sqref="P87">
    <cfRule type="containsText" dxfId="3" priority="252" operator="containsText" text="Long">
      <formula>NOT(ISERROR(SEARCH(("Long"),(P87))))</formula>
    </cfRule>
  </conditionalFormatting>
  <conditionalFormatting sqref="P88:P90">
    <cfRule type="containsText" dxfId="0" priority="253" operator="containsText" text="Medium">
      <formula>NOT(ISERROR(SEARCH(("Medium"),(P88))))</formula>
    </cfRule>
  </conditionalFormatting>
  <conditionalFormatting sqref="P88:P90">
    <cfRule type="containsText" dxfId="1" priority="254" operator="containsText" text="Now">
      <formula>NOT(ISERROR(SEARCH(("Now"),(P88))))</formula>
    </cfRule>
  </conditionalFormatting>
  <conditionalFormatting sqref="P88:P90">
    <cfRule type="containsText" dxfId="2" priority="255" operator="containsText" text="Short">
      <formula>NOT(ISERROR(SEARCH(("Short"),(P88))))</formula>
    </cfRule>
  </conditionalFormatting>
  <conditionalFormatting sqref="P88:P90">
    <cfRule type="containsText" dxfId="3" priority="256" operator="containsText" text="Long">
      <formula>NOT(ISERROR(SEARCH(("Long"),(P88))))</formula>
    </cfRule>
  </conditionalFormatting>
  <conditionalFormatting sqref="P90:P91">
    <cfRule type="containsText" dxfId="0" priority="257" operator="containsText" text="Medium">
      <formula>NOT(ISERROR(SEARCH(("Medium"),(P90))))</formula>
    </cfRule>
  </conditionalFormatting>
  <conditionalFormatting sqref="P90:P91">
    <cfRule type="containsText" dxfId="1" priority="258" operator="containsText" text="Now">
      <formula>NOT(ISERROR(SEARCH(("Now"),(P90))))</formula>
    </cfRule>
  </conditionalFormatting>
  <conditionalFormatting sqref="P90:P91">
    <cfRule type="containsText" dxfId="2" priority="259" operator="containsText" text="Short">
      <formula>NOT(ISERROR(SEARCH(("Short"),(P90))))</formula>
    </cfRule>
  </conditionalFormatting>
  <conditionalFormatting sqref="P90:P91">
    <cfRule type="containsText" dxfId="3" priority="260" operator="containsText" text="Long">
      <formula>NOT(ISERROR(SEARCH(("Long"),(P90))))</formula>
    </cfRule>
  </conditionalFormatting>
  <conditionalFormatting sqref="P92">
    <cfRule type="containsText" dxfId="0" priority="261" operator="containsText" text="Medium">
      <formula>NOT(ISERROR(SEARCH(("Medium"),(P92))))</formula>
    </cfRule>
  </conditionalFormatting>
  <conditionalFormatting sqref="P92">
    <cfRule type="containsText" dxfId="1" priority="262" operator="containsText" text="Now">
      <formula>NOT(ISERROR(SEARCH(("Now"),(P92))))</formula>
    </cfRule>
  </conditionalFormatting>
  <conditionalFormatting sqref="P92">
    <cfRule type="containsText" dxfId="2" priority="263" operator="containsText" text="Short">
      <formula>NOT(ISERROR(SEARCH(("Short"),(P92))))</formula>
    </cfRule>
  </conditionalFormatting>
  <conditionalFormatting sqref="P92">
    <cfRule type="containsText" dxfId="3" priority="264" operator="containsText" text="Long">
      <formula>NOT(ISERROR(SEARCH(("Long"),(P92))))</formula>
    </cfRule>
  </conditionalFormatting>
  <conditionalFormatting sqref="P93:P94">
    <cfRule type="containsText" dxfId="0" priority="265" operator="containsText" text="Medium">
      <formula>NOT(ISERROR(SEARCH(("Medium"),(P93))))</formula>
    </cfRule>
  </conditionalFormatting>
  <conditionalFormatting sqref="P93:P94">
    <cfRule type="containsText" dxfId="1" priority="266" operator="containsText" text="Now">
      <formula>NOT(ISERROR(SEARCH(("Now"),(P93))))</formula>
    </cfRule>
  </conditionalFormatting>
  <conditionalFormatting sqref="P93:P94">
    <cfRule type="containsText" dxfId="2" priority="267" operator="containsText" text="Short">
      <formula>NOT(ISERROR(SEARCH(("Short"),(P93))))</formula>
    </cfRule>
  </conditionalFormatting>
  <conditionalFormatting sqref="P93:P94">
    <cfRule type="containsText" dxfId="3" priority="268" operator="containsText" text="Long">
      <formula>NOT(ISERROR(SEARCH(("Long"),(P93))))</formula>
    </cfRule>
  </conditionalFormatting>
  <conditionalFormatting sqref="P95">
    <cfRule type="containsText" dxfId="0" priority="269" operator="containsText" text="Medium">
      <formula>NOT(ISERROR(SEARCH(("Medium"),(P95))))</formula>
    </cfRule>
  </conditionalFormatting>
  <conditionalFormatting sqref="P95">
    <cfRule type="containsText" dxfId="1" priority="270" operator="containsText" text="Now">
      <formula>NOT(ISERROR(SEARCH(("Now"),(P95))))</formula>
    </cfRule>
  </conditionalFormatting>
  <conditionalFormatting sqref="P95">
    <cfRule type="containsText" dxfId="2" priority="271" operator="containsText" text="Short">
      <formula>NOT(ISERROR(SEARCH(("Short"),(P95))))</formula>
    </cfRule>
  </conditionalFormatting>
  <conditionalFormatting sqref="P95">
    <cfRule type="containsText" dxfId="3" priority="272" operator="containsText" text="Long">
      <formula>NOT(ISERROR(SEARCH(("Long"),(P95))))</formula>
    </cfRule>
  </conditionalFormatting>
  <conditionalFormatting sqref="P130:P201">
    <cfRule type="containsText" dxfId="0" priority="273" operator="containsText" text="Medium">
      <formula>NOT(ISERROR(SEARCH(("Medium"),(P130))))</formula>
    </cfRule>
  </conditionalFormatting>
  <conditionalFormatting sqref="P130:P201">
    <cfRule type="containsText" dxfId="1" priority="274" operator="containsText" text="Now">
      <formula>NOT(ISERROR(SEARCH(("Now"),(P130))))</formula>
    </cfRule>
  </conditionalFormatting>
  <conditionalFormatting sqref="P130:P201">
    <cfRule type="containsText" dxfId="2" priority="275" operator="containsText" text="Short">
      <formula>NOT(ISERROR(SEARCH(("Short"),(P130))))</formula>
    </cfRule>
  </conditionalFormatting>
  <conditionalFormatting sqref="P130:P201">
    <cfRule type="containsText" dxfId="3" priority="276" operator="containsText" text="Long">
      <formula>NOT(ISERROR(SEARCH(("Long"),(P130))))</formula>
    </cfRule>
  </conditionalFormatting>
  <conditionalFormatting sqref="P96:P97">
    <cfRule type="containsText" dxfId="0" priority="277" operator="containsText" text="Medium">
      <formula>NOT(ISERROR(SEARCH(("Medium"),(P96))))</formula>
    </cfRule>
  </conditionalFormatting>
  <conditionalFormatting sqref="P96:P97">
    <cfRule type="containsText" dxfId="1" priority="278" operator="containsText" text="Now">
      <formula>NOT(ISERROR(SEARCH(("Now"),(P96))))</formula>
    </cfRule>
  </conditionalFormatting>
  <conditionalFormatting sqref="P96:P97">
    <cfRule type="containsText" dxfId="2" priority="279" operator="containsText" text="Short">
      <formula>NOT(ISERROR(SEARCH(("Short"),(P96))))</formula>
    </cfRule>
  </conditionalFormatting>
  <conditionalFormatting sqref="P96:P97">
    <cfRule type="containsText" dxfId="3" priority="280" operator="containsText" text="Long">
      <formula>NOT(ISERROR(SEARCH(("Long"),(P96))))</formula>
    </cfRule>
  </conditionalFormatting>
  <conditionalFormatting sqref="P98">
    <cfRule type="containsText" dxfId="0" priority="281" operator="containsText" text="Medium">
      <formula>NOT(ISERROR(SEARCH(("Medium"),(P98))))</formula>
    </cfRule>
  </conditionalFormatting>
  <conditionalFormatting sqref="P98">
    <cfRule type="containsText" dxfId="1" priority="282" operator="containsText" text="Now">
      <formula>NOT(ISERROR(SEARCH(("Now"),(P98))))</formula>
    </cfRule>
  </conditionalFormatting>
  <conditionalFormatting sqref="P98">
    <cfRule type="containsText" dxfId="2" priority="283" operator="containsText" text="Short">
      <formula>NOT(ISERROR(SEARCH(("Short"),(P98))))</formula>
    </cfRule>
  </conditionalFormatting>
  <conditionalFormatting sqref="P98">
    <cfRule type="containsText" dxfId="3" priority="284" operator="containsText" text="Long">
      <formula>NOT(ISERROR(SEARCH(("Long"),(P98))))</formula>
    </cfRule>
  </conditionalFormatting>
  <conditionalFormatting sqref="P99">
    <cfRule type="containsText" dxfId="0" priority="285" operator="containsText" text="Medium">
      <formula>NOT(ISERROR(SEARCH(("Medium"),(P99))))</formula>
    </cfRule>
  </conditionalFormatting>
  <conditionalFormatting sqref="P99">
    <cfRule type="containsText" dxfId="1" priority="286" operator="containsText" text="Now">
      <formula>NOT(ISERROR(SEARCH(("Now"),(P99))))</formula>
    </cfRule>
  </conditionalFormatting>
  <conditionalFormatting sqref="P99">
    <cfRule type="containsText" dxfId="2" priority="287" operator="containsText" text="Short">
      <formula>NOT(ISERROR(SEARCH(("Short"),(P99))))</formula>
    </cfRule>
  </conditionalFormatting>
  <conditionalFormatting sqref="P99">
    <cfRule type="containsText" dxfId="3" priority="288" operator="containsText" text="Long">
      <formula>NOT(ISERROR(SEARCH(("Long"),(P99))))</formula>
    </cfRule>
  </conditionalFormatting>
  <conditionalFormatting sqref="P100:P101">
    <cfRule type="containsText" dxfId="0" priority="289" operator="containsText" text="Medium">
      <formula>NOT(ISERROR(SEARCH(("Medium"),(P100))))</formula>
    </cfRule>
  </conditionalFormatting>
  <conditionalFormatting sqref="P100:P101">
    <cfRule type="containsText" dxfId="1" priority="290" operator="containsText" text="Now">
      <formula>NOT(ISERROR(SEARCH(("Now"),(P100))))</formula>
    </cfRule>
  </conditionalFormatting>
  <conditionalFormatting sqref="P100:P101">
    <cfRule type="containsText" dxfId="2" priority="291" operator="containsText" text="Short">
      <formula>NOT(ISERROR(SEARCH(("Short"),(P100))))</formula>
    </cfRule>
  </conditionalFormatting>
  <conditionalFormatting sqref="P100:P101">
    <cfRule type="containsText" dxfId="3" priority="292" operator="containsText" text="Long">
      <formula>NOT(ISERROR(SEARCH(("Long"),(P100))))</formula>
    </cfRule>
  </conditionalFormatting>
  <conditionalFormatting sqref="P101:P102">
    <cfRule type="containsText" dxfId="0" priority="293" operator="containsText" text="Medium">
      <formula>NOT(ISERROR(SEARCH(("Medium"),(P101))))</formula>
    </cfRule>
  </conditionalFormatting>
  <conditionalFormatting sqref="P101:P102">
    <cfRule type="containsText" dxfId="1" priority="294" operator="containsText" text="Now">
      <formula>NOT(ISERROR(SEARCH(("Now"),(P101))))</formula>
    </cfRule>
  </conditionalFormatting>
  <conditionalFormatting sqref="P101:P102">
    <cfRule type="containsText" dxfId="2" priority="295" operator="containsText" text="Short">
      <formula>NOT(ISERROR(SEARCH(("Short"),(P101))))</formula>
    </cfRule>
  </conditionalFormatting>
  <conditionalFormatting sqref="P101:P102">
    <cfRule type="containsText" dxfId="3" priority="296" operator="containsText" text="Long">
      <formula>NOT(ISERROR(SEARCH(("Long"),(P101))))</formula>
    </cfRule>
  </conditionalFormatting>
  <conditionalFormatting sqref="P103">
    <cfRule type="containsText" dxfId="0" priority="297" operator="containsText" text="Medium">
      <formula>NOT(ISERROR(SEARCH(("Medium"),(P103))))</formula>
    </cfRule>
  </conditionalFormatting>
  <conditionalFormatting sqref="P103">
    <cfRule type="containsText" dxfId="1" priority="298" operator="containsText" text="Now">
      <formula>NOT(ISERROR(SEARCH(("Now"),(P103))))</formula>
    </cfRule>
  </conditionalFormatting>
  <conditionalFormatting sqref="P103">
    <cfRule type="containsText" dxfId="2" priority="299" operator="containsText" text="Short">
      <formula>NOT(ISERROR(SEARCH(("Short"),(P103))))</formula>
    </cfRule>
  </conditionalFormatting>
  <conditionalFormatting sqref="P103">
    <cfRule type="containsText" dxfId="3" priority="300" operator="containsText" text="Long">
      <formula>NOT(ISERROR(SEARCH(("Long"),(P103))))</formula>
    </cfRule>
  </conditionalFormatting>
  <conditionalFormatting sqref="P104">
    <cfRule type="containsText" dxfId="0" priority="301" operator="containsText" text="Medium">
      <formula>NOT(ISERROR(SEARCH(("Medium"),(P104))))</formula>
    </cfRule>
  </conditionalFormatting>
  <conditionalFormatting sqref="P104">
    <cfRule type="containsText" dxfId="1" priority="302" operator="containsText" text="Now">
      <formula>NOT(ISERROR(SEARCH(("Now"),(P104))))</formula>
    </cfRule>
  </conditionalFormatting>
  <conditionalFormatting sqref="P104">
    <cfRule type="containsText" dxfId="2" priority="303" operator="containsText" text="Short">
      <formula>NOT(ISERROR(SEARCH(("Short"),(P104))))</formula>
    </cfRule>
  </conditionalFormatting>
  <conditionalFormatting sqref="P104">
    <cfRule type="containsText" dxfId="3" priority="304" operator="containsText" text="Long">
      <formula>NOT(ISERROR(SEARCH(("Long"),(P104))))</formula>
    </cfRule>
  </conditionalFormatting>
  <conditionalFormatting sqref="P105:P107">
    <cfRule type="containsText" dxfId="0" priority="305" operator="containsText" text="Medium">
      <formula>NOT(ISERROR(SEARCH(("Medium"),(P105))))</formula>
    </cfRule>
  </conditionalFormatting>
  <conditionalFormatting sqref="P105:P107">
    <cfRule type="containsText" dxfId="1" priority="306" operator="containsText" text="Now">
      <formula>NOT(ISERROR(SEARCH(("Now"),(P105))))</formula>
    </cfRule>
  </conditionalFormatting>
  <conditionalFormatting sqref="P105:P107">
    <cfRule type="containsText" dxfId="2" priority="307" operator="containsText" text="Short">
      <formula>NOT(ISERROR(SEARCH(("Short"),(P105))))</formula>
    </cfRule>
  </conditionalFormatting>
  <conditionalFormatting sqref="P105:P107">
    <cfRule type="containsText" dxfId="3" priority="308" operator="containsText" text="Long">
      <formula>NOT(ISERROR(SEARCH(("Long"),(P105))))</formula>
    </cfRule>
  </conditionalFormatting>
  <conditionalFormatting sqref="P107 P164:P179 P181">
    <cfRule type="containsText" dxfId="0" priority="309" operator="containsText" text="Medium">
      <formula>NOT(ISERROR(SEARCH(("Medium"),(P107))))</formula>
    </cfRule>
  </conditionalFormatting>
  <conditionalFormatting sqref="P107 P164:P179 P181">
    <cfRule type="containsText" dxfId="1" priority="310" operator="containsText" text="Now">
      <formula>NOT(ISERROR(SEARCH(("Now"),(P107))))</formula>
    </cfRule>
  </conditionalFormatting>
  <conditionalFormatting sqref="P107 P164:P179 P181">
    <cfRule type="containsText" dxfId="2" priority="311" operator="containsText" text="Short">
      <formula>NOT(ISERROR(SEARCH(("Short"),(P107))))</formula>
    </cfRule>
  </conditionalFormatting>
  <conditionalFormatting sqref="P107 P164:P179 P181">
    <cfRule type="containsText" dxfId="3" priority="312" operator="containsText" text="Long">
      <formula>NOT(ISERROR(SEARCH(("Long"),(P107))))</formula>
    </cfRule>
  </conditionalFormatting>
  <conditionalFormatting sqref="P108">
    <cfRule type="containsText" dxfId="0" priority="313" operator="containsText" text="Medium">
      <formula>NOT(ISERROR(SEARCH(("Medium"),(P108))))</formula>
    </cfRule>
  </conditionalFormatting>
  <conditionalFormatting sqref="P108">
    <cfRule type="containsText" dxfId="1" priority="314" operator="containsText" text="Now">
      <formula>NOT(ISERROR(SEARCH(("Now"),(P108))))</formula>
    </cfRule>
  </conditionalFormatting>
  <conditionalFormatting sqref="P108">
    <cfRule type="containsText" dxfId="2" priority="315" operator="containsText" text="Short">
      <formula>NOT(ISERROR(SEARCH(("Short"),(P108))))</formula>
    </cfRule>
  </conditionalFormatting>
  <conditionalFormatting sqref="P108">
    <cfRule type="containsText" dxfId="3" priority="316" operator="containsText" text="Long">
      <formula>NOT(ISERROR(SEARCH(("Long"),(P108))))</formula>
    </cfRule>
  </conditionalFormatting>
  <conditionalFormatting sqref="P109:P110">
    <cfRule type="containsText" dxfId="0" priority="317" operator="containsText" text="Medium">
      <formula>NOT(ISERROR(SEARCH(("Medium"),(P109))))</formula>
    </cfRule>
  </conditionalFormatting>
  <conditionalFormatting sqref="P109:P110">
    <cfRule type="containsText" dxfId="1" priority="318" operator="containsText" text="Now">
      <formula>NOT(ISERROR(SEARCH(("Now"),(P109))))</formula>
    </cfRule>
  </conditionalFormatting>
  <conditionalFormatting sqref="P109:P110">
    <cfRule type="containsText" dxfId="2" priority="319" operator="containsText" text="Short">
      <formula>NOT(ISERROR(SEARCH(("Short"),(P109))))</formula>
    </cfRule>
  </conditionalFormatting>
  <conditionalFormatting sqref="P109:P110">
    <cfRule type="containsText" dxfId="3" priority="320" operator="containsText" text="Long">
      <formula>NOT(ISERROR(SEARCH(("Long"),(P109))))</formula>
    </cfRule>
  </conditionalFormatting>
  <conditionalFormatting sqref="P111">
    <cfRule type="containsText" dxfId="0" priority="321" operator="containsText" text="Medium">
      <formula>NOT(ISERROR(SEARCH(("Medium"),(P111))))</formula>
    </cfRule>
  </conditionalFormatting>
  <conditionalFormatting sqref="P111">
    <cfRule type="containsText" dxfId="1" priority="322" operator="containsText" text="Now">
      <formula>NOT(ISERROR(SEARCH(("Now"),(P111))))</formula>
    </cfRule>
  </conditionalFormatting>
  <conditionalFormatting sqref="P111">
    <cfRule type="containsText" dxfId="2" priority="323" operator="containsText" text="Short">
      <formula>NOT(ISERROR(SEARCH(("Short"),(P111))))</formula>
    </cfRule>
  </conditionalFormatting>
  <conditionalFormatting sqref="P111">
    <cfRule type="containsText" dxfId="3" priority="324" operator="containsText" text="Long">
      <formula>NOT(ISERROR(SEARCH(("Long"),(P111))))</formula>
    </cfRule>
  </conditionalFormatting>
  <conditionalFormatting sqref="P112">
    <cfRule type="containsText" dxfId="0" priority="325" operator="containsText" text="Medium">
      <formula>NOT(ISERROR(SEARCH(("Medium"),(P112))))</formula>
    </cfRule>
  </conditionalFormatting>
  <conditionalFormatting sqref="P112">
    <cfRule type="containsText" dxfId="1" priority="326" operator="containsText" text="Now">
      <formula>NOT(ISERROR(SEARCH(("Now"),(P112))))</formula>
    </cfRule>
  </conditionalFormatting>
  <conditionalFormatting sqref="P112">
    <cfRule type="containsText" dxfId="2" priority="327" operator="containsText" text="Short">
      <formula>NOT(ISERROR(SEARCH(("Short"),(P112))))</formula>
    </cfRule>
  </conditionalFormatting>
  <conditionalFormatting sqref="P112">
    <cfRule type="containsText" dxfId="3" priority="328" operator="containsText" text="Long">
      <formula>NOT(ISERROR(SEARCH(("Long"),(P112))))</formula>
    </cfRule>
  </conditionalFormatting>
  <conditionalFormatting sqref="P113">
    <cfRule type="containsText" dxfId="0" priority="329" operator="containsText" text="Medium">
      <formula>NOT(ISERROR(SEARCH(("Medium"),(P113))))</formula>
    </cfRule>
  </conditionalFormatting>
  <conditionalFormatting sqref="P113">
    <cfRule type="containsText" dxfId="1" priority="330" operator="containsText" text="Now">
      <formula>NOT(ISERROR(SEARCH(("Now"),(P113))))</formula>
    </cfRule>
  </conditionalFormatting>
  <conditionalFormatting sqref="P113">
    <cfRule type="containsText" dxfId="2" priority="331" operator="containsText" text="Short">
      <formula>NOT(ISERROR(SEARCH(("Short"),(P113))))</formula>
    </cfRule>
  </conditionalFormatting>
  <conditionalFormatting sqref="P113">
    <cfRule type="containsText" dxfId="3" priority="332" operator="containsText" text="Long">
      <formula>NOT(ISERROR(SEARCH(("Long"),(P113))))</formula>
    </cfRule>
  </conditionalFormatting>
  <conditionalFormatting sqref="P114">
    <cfRule type="containsText" dxfId="0" priority="333" operator="containsText" text="Medium">
      <formula>NOT(ISERROR(SEARCH(("Medium"),(P114))))</formula>
    </cfRule>
  </conditionalFormatting>
  <conditionalFormatting sqref="P114">
    <cfRule type="containsText" dxfId="1" priority="334" operator="containsText" text="Now">
      <formula>NOT(ISERROR(SEARCH(("Now"),(P114))))</formula>
    </cfRule>
  </conditionalFormatting>
  <conditionalFormatting sqref="P114">
    <cfRule type="containsText" dxfId="2" priority="335" operator="containsText" text="Short">
      <formula>NOT(ISERROR(SEARCH(("Short"),(P114))))</formula>
    </cfRule>
  </conditionalFormatting>
  <conditionalFormatting sqref="P114">
    <cfRule type="containsText" dxfId="3" priority="336" operator="containsText" text="Long">
      <formula>NOT(ISERROR(SEARCH(("Long"),(P114))))</formula>
    </cfRule>
  </conditionalFormatting>
  <conditionalFormatting sqref="P115">
    <cfRule type="containsText" dxfId="0" priority="337" operator="containsText" text="Medium">
      <formula>NOT(ISERROR(SEARCH(("Medium"),(P115))))</formula>
    </cfRule>
  </conditionalFormatting>
  <conditionalFormatting sqref="P115">
    <cfRule type="containsText" dxfId="1" priority="338" operator="containsText" text="Now">
      <formula>NOT(ISERROR(SEARCH(("Now"),(P115))))</formula>
    </cfRule>
  </conditionalFormatting>
  <conditionalFormatting sqref="P115">
    <cfRule type="containsText" dxfId="2" priority="339" operator="containsText" text="Short">
      <formula>NOT(ISERROR(SEARCH(("Short"),(P115))))</formula>
    </cfRule>
  </conditionalFormatting>
  <conditionalFormatting sqref="P115">
    <cfRule type="containsText" dxfId="3" priority="340" operator="containsText" text="Long">
      <formula>NOT(ISERROR(SEARCH(("Long"),(P115))))</formula>
    </cfRule>
  </conditionalFormatting>
  <conditionalFormatting sqref="P116">
    <cfRule type="containsText" dxfId="0" priority="341" operator="containsText" text="Medium">
      <formula>NOT(ISERROR(SEARCH(("Medium"),(P116))))</formula>
    </cfRule>
  </conditionalFormatting>
  <conditionalFormatting sqref="P116">
    <cfRule type="containsText" dxfId="1" priority="342" operator="containsText" text="Now">
      <formula>NOT(ISERROR(SEARCH(("Now"),(P116))))</formula>
    </cfRule>
  </conditionalFormatting>
  <conditionalFormatting sqref="P116">
    <cfRule type="containsText" dxfId="2" priority="343" operator="containsText" text="Short">
      <formula>NOT(ISERROR(SEARCH(("Short"),(P116))))</formula>
    </cfRule>
  </conditionalFormatting>
  <conditionalFormatting sqref="P116">
    <cfRule type="containsText" dxfId="3" priority="344" operator="containsText" text="Long">
      <formula>NOT(ISERROR(SEARCH(("Long"),(P116))))</formula>
    </cfRule>
  </conditionalFormatting>
  <conditionalFormatting sqref="P117">
    <cfRule type="containsText" dxfId="0" priority="345" operator="containsText" text="Medium">
      <formula>NOT(ISERROR(SEARCH(("Medium"),(P117))))</formula>
    </cfRule>
  </conditionalFormatting>
  <conditionalFormatting sqref="P117">
    <cfRule type="containsText" dxfId="1" priority="346" operator="containsText" text="Now">
      <formula>NOT(ISERROR(SEARCH(("Now"),(P117))))</formula>
    </cfRule>
  </conditionalFormatting>
  <conditionalFormatting sqref="P117">
    <cfRule type="containsText" dxfId="2" priority="347" operator="containsText" text="Short">
      <formula>NOT(ISERROR(SEARCH(("Short"),(P117))))</formula>
    </cfRule>
  </conditionalFormatting>
  <conditionalFormatting sqref="P117">
    <cfRule type="containsText" dxfId="3" priority="348" operator="containsText" text="Long">
      <formula>NOT(ISERROR(SEARCH(("Long"),(P117))))</formula>
    </cfRule>
  </conditionalFormatting>
  <conditionalFormatting sqref="P118 P129">
    <cfRule type="containsText" dxfId="0" priority="349" operator="containsText" text="Medium">
      <formula>NOT(ISERROR(SEARCH(("Medium"),(P118))))</formula>
    </cfRule>
  </conditionalFormatting>
  <conditionalFormatting sqref="P118 P129">
    <cfRule type="containsText" dxfId="1" priority="350" operator="containsText" text="Now">
      <formula>NOT(ISERROR(SEARCH(("Now"),(P118))))</formula>
    </cfRule>
  </conditionalFormatting>
  <conditionalFormatting sqref="P118 P129">
    <cfRule type="containsText" dxfId="2" priority="351" operator="containsText" text="Short">
      <formula>NOT(ISERROR(SEARCH(("Short"),(P118))))</formula>
    </cfRule>
  </conditionalFormatting>
  <conditionalFormatting sqref="P118 P129">
    <cfRule type="containsText" dxfId="3" priority="352" operator="containsText" text="Long">
      <formula>NOT(ISERROR(SEARCH(("Long"),(P118))))</formula>
    </cfRule>
  </conditionalFormatting>
  <conditionalFormatting sqref="P119">
    <cfRule type="containsText" dxfId="0" priority="353" operator="containsText" text="Medium">
      <formula>NOT(ISERROR(SEARCH(("Medium"),(P119))))</formula>
    </cfRule>
  </conditionalFormatting>
  <conditionalFormatting sqref="P119">
    <cfRule type="containsText" dxfId="1" priority="354" operator="containsText" text="Now">
      <formula>NOT(ISERROR(SEARCH(("Now"),(P119))))</formula>
    </cfRule>
  </conditionalFormatting>
  <conditionalFormatting sqref="P119">
    <cfRule type="containsText" dxfId="2" priority="355" operator="containsText" text="Short">
      <formula>NOT(ISERROR(SEARCH(("Short"),(P119))))</formula>
    </cfRule>
  </conditionalFormatting>
  <conditionalFormatting sqref="P119">
    <cfRule type="containsText" dxfId="3" priority="356" operator="containsText" text="Long">
      <formula>NOT(ISERROR(SEARCH(("Long"),(P119))))</formula>
    </cfRule>
  </conditionalFormatting>
  <conditionalFormatting sqref="P120">
    <cfRule type="containsText" dxfId="0" priority="357" operator="containsText" text="Medium">
      <formula>NOT(ISERROR(SEARCH(("Medium"),(P120))))</formula>
    </cfRule>
  </conditionalFormatting>
  <conditionalFormatting sqref="P120">
    <cfRule type="containsText" dxfId="1" priority="358" operator="containsText" text="Now">
      <formula>NOT(ISERROR(SEARCH(("Now"),(P120))))</formula>
    </cfRule>
  </conditionalFormatting>
  <conditionalFormatting sqref="P120">
    <cfRule type="containsText" dxfId="2" priority="359" operator="containsText" text="Short">
      <formula>NOT(ISERROR(SEARCH(("Short"),(P120))))</formula>
    </cfRule>
  </conditionalFormatting>
  <conditionalFormatting sqref="P120">
    <cfRule type="containsText" dxfId="3" priority="360" operator="containsText" text="Long">
      <formula>NOT(ISERROR(SEARCH(("Long"),(P120))))</formula>
    </cfRule>
  </conditionalFormatting>
  <conditionalFormatting sqref="P121">
    <cfRule type="containsText" dxfId="0" priority="361" operator="containsText" text="Medium">
      <formula>NOT(ISERROR(SEARCH(("Medium"),(P121))))</formula>
    </cfRule>
  </conditionalFormatting>
  <conditionalFormatting sqref="P121">
    <cfRule type="containsText" dxfId="1" priority="362" operator="containsText" text="Now">
      <formula>NOT(ISERROR(SEARCH(("Now"),(P121))))</formula>
    </cfRule>
  </conditionalFormatting>
  <conditionalFormatting sqref="P121">
    <cfRule type="containsText" dxfId="2" priority="363" operator="containsText" text="Short">
      <formula>NOT(ISERROR(SEARCH(("Short"),(P121))))</formula>
    </cfRule>
  </conditionalFormatting>
  <conditionalFormatting sqref="P121">
    <cfRule type="containsText" dxfId="3" priority="364" operator="containsText" text="Long">
      <formula>NOT(ISERROR(SEARCH(("Long"),(P121))))</formula>
    </cfRule>
  </conditionalFormatting>
  <conditionalFormatting sqref="P122">
    <cfRule type="containsText" dxfId="0" priority="365" operator="containsText" text="Medium">
      <formula>NOT(ISERROR(SEARCH(("Medium"),(P122))))</formula>
    </cfRule>
  </conditionalFormatting>
  <conditionalFormatting sqref="P122">
    <cfRule type="containsText" dxfId="1" priority="366" operator="containsText" text="Now">
      <formula>NOT(ISERROR(SEARCH(("Now"),(P122))))</formula>
    </cfRule>
  </conditionalFormatting>
  <conditionalFormatting sqref="P122">
    <cfRule type="containsText" dxfId="2" priority="367" operator="containsText" text="Short">
      <formula>NOT(ISERROR(SEARCH(("Short"),(P122))))</formula>
    </cfRule>
  </conditionalFormatting>
  <conditionalFormatting sqref="P122">
    <cfRule type="containsText" dxfId="3" priority="368" operator="containsText" text="Long">
      <formula>NOT(ISERROR(SEARCH(("Long"),(P122))))</formula>
    </cfRule>
  </conditionalFormatting>
  <conditionalFormatting sqref="P123">
    <cfRule type="containsText" dxfId="0" priority="369" operator="containsText" text="Medium">
      <formula>NOT(ISERROR(SEARCH(("Medium"),(P123))))</formula>
    </cfRule>
  </conditionalFormatting>
  <conditionalFormatting sqref="P123">
    <cfRule type="containsText" dxfId="1" priority="370" operator="containsText" text="Now">
      <formula>NOT(ISERROR(SEARCH(("Now"),(P123))))</formula>
    </cfRule>
  </conditionalFormatting>
  <conditionalFormatting sqref="P123">
    <cfRule type="containsText" dxfId="2" priority="371" operator="containsText" text="Short">
      <formula>NOT(ISERROR(SEARCH(("Short"),(P123))))</formula>
    </cfRule>
  </conditionalFormatting>
  <conditionalFormatting sqref="P123">
    <cfRule type="containsText" dxfId="3" priority="372" operator="containsText" text="Long">
      <formula>NOT(ISERROR(SEARCH(("Long"),(P123))))</formula>
    </cfRule>
  </conditionalFormatting>
  <conditionalFormatting sqref="P124">
    <cfRule type="containsText" dxfId="0" priority="373" operator="containsText" text="Medium">
      <formula>NOT(ISERROR(SEARCH(("Medium"),(P124))))</formula>
    </cfRule>
  </conditionalFormatting>
  <conditionalFormatting sqref="P124">
    <cfRule type="containsText" dxfId="1" priority="374" operator="containsText" text="Now">
      <formula>NOT(ISERROR(SEARCH(("Now"),(P124))))</formula>
    </cfRule>
  </conditionalFormatting>
  <conditionalFormatting sqref="P124">
    <cfRule type="containsText" dxfId="2" priority="375" operator="containsText" text="Short">
      <formula>NOT(ISERROR(SEARCH(("Short"),(P124))))</formula>
    </cfRule>
  </conditionalFormatting>
  <conditionalFormatting sqref="P124">
    <cfRule type="containsText" dxfId="3" priority="376" operator="containsText" text="Long">
      <formula>NOT(ISERROR(SEARCH(("Long"),(P124))))</formula>
    </cfRule>
  </conditionalFormatting>
  <conditionalFormatting sqref="P125">
    <cfRule type="containsText" dxfId="0" priority="377" operator="containsText" text="Medium">
      <formula>NOT(ISERROR(SEARCH(("Medium"),(P125))))</formula>
    </cfRule>
  </conditionalFormatting>
  <conditionalFormatting sqref="P125">
    <cfRule type="containsText" dxfId="1" priority="378" operator="containsText" text="Now">
      <formula>NOT(ISERROR(SEARCH(("Now"),(P125))))</formula>
    </cfRule>
  </conditionalFormatting>
  <conditionalFormatting sqref="P125">
    <cfRule type="containsText" dxfId="2" priority="379" operator="containsText" text="Short">
      <formula>NOT(ISERROR(SEARCH(("Short"),(P125))))</formula>
    </cfRule>
  </conditionalFormatting>
  <conditionalFormatting sqref="P125">
    <cfRule type="containsText" dxfId="3" priority="380" operator="containsText" text="Long">
      <formula>NOT(ISERROR(SEARCH(("Long"),(P125))))</formula>
    </cfRule>
  </conditionalFormatting>
  <conditionalFormatting sqref="P126">
    <cfRule type="containsText" dxfId="0" priority="381" operator="containsText" text="Medium">
      <formula>NOT(ISERROR(SEARCH(("Medium"),(P126))))</formula>
    </cfRule>
  </conditionalFormatting>
  <conditionalFormatting sqref="P126">
    <cfRule type="containsText" dxfId="1" priority="382" operator="containsText" text="Now">
      <formula>NOT(ISERROR(SEARCH(("Now"),(P126))))</formula>
    </cfRule>
  </conditionalFormatting>
  <conditionalFormatting sqref="P126">
    <cfRule type="containsText" dxfId="2" priority="383" operator="containsText" text="Short">
      <formula>NOT(ISERROR(SEARCH(("Short"),(P126))))</formula>
    </cfRule>
  </conditionalFormatting>
  <conditionalFormatting sqref="P126">
    <cfRule type="containsText" dxfId="3" priority="384" operator="containsText" text="Long">
      <formula>NOT(ISERROR(SEARCH(("Long"),(P126))))</formula>
    </cfRule>
  </conditionalFormatting>
  <conditionalFormatting sqref="P127 P156:P159 P161:P162 P164:P201">
    <cfRule type="containsText" dxfId="0" priority="385" operator="containsText" text="Medium">
      <formula>NOT(ISERROR(SEARCH(("Medium"),(P127))))</formula>
    </cfRule>
  </conditionalFormatting>
  <conditionalFormatting sqref="P127 P156:P159 P161:P162 P164:P201">
    <cfRule type="containsText" dxfId="1" priority="386" operator="containsText" text="Now">
      <formula>NOT(ISERROR(SEARCH(("Now"),(P127))))</formula>
    </cfRule>
  </conditionalFormatting>
  <conditionalFormatting sqref="P127 P156:P159 P161:P162 P164:P201">
    <cfRule type="containsText" dxfId="2" priority="387" operator="containsText" text="Short">
      <formula>NOT(ISERROR(SEARCH(("Short"),(P127))))</formula>
    </cfRule>
  </conditionalFormatting>
  <conditionalFormatting sqref="P127 P156:P159 P161:P162 P164:P201">
    <cfRule type="containsText" dxfId="3" priority="388" operator="containsText" text="Long">
      <formula>NOT(ISERROR(SEARCH(("Long"),(P127))))</formula>
    </cfRule>
  </conditionalFormatting>
  <conditionalFormatting sqref="P128:P129">
    <cfRule type="containsText" dxfId="0" priority="389" operator="containsText" text="Medium">
      <formula>NOT(ISERROR(SEARCH(("Medium"),(P128))))</formula>
    </cfRule>
  </conditionalFormatting>
  <conditionalFormatting sqref="P128:P129">
    <cfRule type="containsText" dxfId="1" priority="390" operator="containsText" text="Now">
      <formula>NOT(ISERROR(SEARCH(("Now"),(P128))))</formula>
    </cfRule>
  </conditionalFormatting>
  <conditionalFormatting sqref="P128:P129">
    <cfRule type="containsText" dxfId="2" priority="391" operator="containsText" text="Short">
      <formula>NOT(ISERROR(SEARCH(("Short"),(P128))))</formula>
    </cfRule>
  </conditionalFormatting>
  <conditionalFormatting sqref="P128:P129">
    <cfRule type="containsText" dxfId="3" priority="392" operator="containsText" text="Long">
      <formula>NOT(ISERROR(SEARCH(("Long"),(P128))))</formula>
    </cfRule>
  </conditionalFormatting>
  <dataValidations>
    <dataValidation type="list" allowBlank="1" sqref="G14 G16 G19 G22:G23 G35 G41 G49:G50 G54:G55 G72:G73 G77 G82 G96 G99 G102 G104 G131 G134 G139 G146 G159 G166 G182">
      <formula1>"Cabernet Sauvignon,Cabernet Franc,Bordeaux Blend - Right Bank,Bordeaux Blend - Left Bank,Rhone Blend,Pinot Noir,Zinfandel,Merlot,Syrah,Petit Verdot,Rhone Blend,Chardonnay,Bordeaux Blanc,Sauvignon Blanc,Nebbiolo,Other"</formula1>
    </dataValidation>
    <dataValidation type="list" allowBlank="1" sqref="B2:B201">
      <formula1>"Red,White,Sparkling"</formula1>
    </dataValidation>
    <dataValidation type="list" allowBlank="1" sqref="A2:A201">
      <formula1>"M,R,R+M"</formula1>
    </dataValidation>
    <dataValidation type="list" allowBlank="1" sqref="G2:G13 G15 G17:G18 G20:G21 G24:G34 G36:G40 G42:G48 G51:G53 G56:G64 G67:G71 G74:G76 G78:G81 G83:G95 G97:G98 G100:G101 G103 G105:G130 G132:G133 G135:G138 G140:G145 G147:G158 G160:G165 G167:G181 G183:G201">
      <formula1>"Cabernet Sauvignon,Cabernet Franc,Bordeaux Blend - Right Bank,Bordeaux Blend - Left Bank,Rhone Blend,Pinot Noir,Zinfandel,Merlot,Syrah,Petit Verdot,Rhone Blend,Chardonnay,Bordeaux Blanc,Sauvignon Blanc,Other,Sangiovese,Chardonnay,Barbera 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7.29"/>
    <col customWidth="1" min="2" max="2" width="32.14"/>
    <col customWidth="1" min="3" max="3" width="14.14"/>
    <col customWidth="1" min="4" max="4" width="27.71"/>
    <col customWidth="1" min="5" max="6" width="7.71"/>
  </cols>
  <sheetData>
    <row r="1">
      <c r="A1" s="62" t="s">
        <v>454</v>
      </c>
      <c r="B1" s="62" t="s">
        <v>455</v>
      </c>
      <c r="C1" s="62" t="s">
        <v>456</v>
      </c>
      <c r="D1" s="62" t="s">
        <v>457</v>
      </c>
      <c r="E1" s="62" t="s">
        <v>458</v>
      </c>
      <c r="F1" s="63" t="s">
        <v>17</v>
      </c>
    </row>
    <row r="2">
      <c r="A2" s="64" t="s">
        <v>459</v>
      </c>
      <c r="B2" s="64" t="s">
        <v>460</v>
      </c>
      <c r="C2" s="64">
        <v>2019.0</v>
      </c>
      <c r="D2" s="65">
        <v>280.0</v>
      </c>
      <c r="E2" s="66" t="b">
        <v>0</v>
      </c>
    </row>
    <row r="3">
      <c r="A3" s="64" t="s">
        <v>461</v>
      </c>
      <c r="B3" s="64" t="s">
        <v>462</v>
      </c>
      <c r="C3" s="64" t="s">
        <v>463</v>
      </c>
      <c r="D3" s="65">
        <v>350.0</v>
      </c>
      <c r="E3" s="66" t="b">
        <v>0</v>
      </c>
    </row>
    <row r="4">
      <c r="A4" s="64" t="s">
        <v>461</v>
      </c>
      <c r="B4" s="64" t="s">
        <v>464</v>
      </c>
      <c r="C4" s="64" t="s">
        <v>463</v>
      </c>
      <c r="D4" s="65">
        <v>250.0</v>
      </c>
      <c r="E4" s="66" t="b">
        <v>0</v>
      </c>
    </row>
    <row r="5">
      <c r="A5" s="64" t="s">
        <v>465</v>
      </c>
      <c r="B5" s="64" t="s">
        <v>466</v>
      </c>
      <c r="C5" s="64" t="s">
        <v>407</v>
      </c>
      <c r="D5" s="65">
        <v>90.0</v>
      </c>
      <c r="E5" s="66" t="b">
        <v>0</v>
      </c>
    </row>
    <row r="6">
      <c r="A6" s="64" t="s">
        <v>467</v>
      </c>
      <c r="B6" s="64" t="s">
        <v>468</v>
      </c>
      <c r="C6" s="64">
        <v>2014.0</v>
      </c>
      <c r="D6" s="65">
        <v>380.0</v>
      </c>
      <c r="E6" s="66" t="b">
        <v>0</v>
      </c>
    </row>
    <row r="7">
      <c r="A7" s="64" t="s">
        <v>469</v>
      </c>
      <c r="B7" s="64" t="s">
        <v>470</v>
      </c>
      <c r="C7" s="64">
        <v>2008.0</v>
      </c>
      <c r="D7" s="65">
        <v>230.0</v>
      </c>
      <c r="E7" s="66" t="b">
        <v>0</v>
      </c>
    </row>
    <row r="8">
      <c r="A8" s="64" t="s">
        <v>223</v>
      </c>
      <c r="B8" s="64" t="s">
        <v>471</v>
      </c>
      <c r="C8" s="64" t="s">
        <v>472</v>
      </c>
      <c r="D8" s="65" t="s">
        <v>473</v>
      </c>
      <c r="E8" s="66" t="b">
        <v>0</v>
      </c>
    </row>
    <row r="9">
      <c r="A9" s="64" t="s">
        <v>474</v>
      </c>
      <c r="B9" s="64" t="s">
        <v>475</v>
      </c>
      <c r="C9" s="64" t="s">
        <v>463</v>
      </c>
      <c r="D9" s="64" t="s">
        <v>476</v>
      </c>
      <c r="E9" s="66" t="b">
        <v>0</v>
      </c>
    </row>
    <row r="10">
      <c r="A10" s="64" t="s">
        <v>474</v>
      </c>
      <c r="B10" s="64" t="s">
        <v>477</v>
      </c>
      <c r="C10" s="64" t="s">
        <v>463</v>
      </c>
      <c r="D10" s="64" t="s">
        <v>478</v>
      </c>
      <c r="E10" s="66" t="b">
        <v>0</v>
      </c>
    </row>
    <row r="11">
      <c r="A11" s="64" t="s">
        <v>479</v>
      </c>
      <c r="B11" s="64" t="s">
        <v>477</v>
      </c>
      <c r="C11" s="64" t="s">
        <v>463</v>
      </c>
      <c r="D11" s="64" t="s">
        <v>478</v>
      </c>
      <c r="E11" s="66" t="b">
        <v>0</v>
      </c>
    </row>
    <row r="12">
      <c r="A12" s="64" t="s">
        <v>480</v>
      </c>
      <c r="B12" s="64" t="s">
        <v>481</v>
      </c>
      <c r="C12" s="64" t="s">
        <v>463</v>
      </c>
      <c r="D12" s="64" t="s">
        <v>482</v>
      </c>
      <c r="E12" s="66" t="b">
        <v>0</v>
      </c>
    </row>
    <row r="13">
      <c r="A13" s="64" t="s">
        <v>480</v>
      </c>
      <c r="B13" s="64" t="s">
        <v>483</v>
      </c>
      <c r="C13" s="64" t="s">
        <v>463</v>
      </c>
      <c r="D13" s="64" t="s">
        <v>484</v>
      </c>
      <c r="E13" s="66" t="b">
        <v>0</v>
      </c>
    </row>
    <row r="14">
      <c r="A14" s="64" t="s">
        <v>480</v>
      </c>
      <c r="B14" s="64" t="s">
        <v>485</v>
      </c>
      <c r="C14" s="64" t="s">
        <v>463</v>
      </c>
      <c r="D14" s="64" t="s">
        <v>486</v>
      </c>
      <c r="E14" s="66" t="b">
        <v>0</v>
      </c>
    </row>
    <row r="15">
      <c r="A15" s="64" t="s">
        <v>480</v>
      </c>
      <c r="B15" s="64" t="s">
        <v>487</v>
      </c>
      <c r="C15" s="64" t="s">
        <v>463</v>
      </c>
      <c r="D15" s="64" t="s">
        <v>486</v>
      </c>
      <c r="E15" s="66" t="b">
        <v>0</v>
      </c>
    </row>
    <row r="16">
      <c r="A16" s="64" t="s">
        <v>488</v>
      </c>
      <c r="B16" s="64" t="s">
        <v>489</v>
      </c>
      <c r="C16" s="64" t="s">
        <v>463</v>
      </c>
      <c r="D16" s="65">
        <v>100.0</v>
      </c>
      <c r="E16" s="66" t="b">
        <v>0</v>
      </c>
    </row>
    <row r="17">
      <c r="A17" s="64" t="s">
        <v>488</v>
      </c>
      <c r="B17" s="64" t="s">
        <v>490</v>
      </c>
      <c r="C17" s="64" t="s">
        <v>463</v>
      </c>
      <c r="D17" s="64" t="s">
        <v>491</v>
      </c>
      <c r="E17" s="66" t="b">
        <v>0</v>
      </c>
    </row>
    <row r="18">
      <c r="A18" s="64" t="s">
        <v>492</v>
      </c>
      <c r="B18" s="64" t="s">
        <v>493</v>
      </c>
      <c r="C18" s="64" t="s">
        <v>463</v>
      </c>
      <c r="D18" s="65">
        <v>80.0</v>
      </c>
      <c r="E18" s="66" t="b">
        <v>0</v>
      </c>
    </row>
    <row r="19">
      <c r="A19" s="64" t="s">
        <v>215</v>
      </c>
      <c r="B19" s="64" t="s">
        <v>219</v>
      </c>
      <c r="C19" s="64" t="s">
        <v>463</v>
      </c>
      <c r="D19" s="65">
        <v>40.0</v>
      </c>
      <c r="E19" s="66" t="b">
        <v>0</v>
      </c>
    </row>
    <row r="20">
      <c r="A20" s="64" t="s">
        <v>215</v>
      </c>
      <c r="B20" s="64" t="s">
        <v>494</v>
      </c>
      <c r="C20" s="64" t="s">
        <v>463</v>
      </c>
      <c r="D20" s="64" t="s">
        <v>495</v>
      </c>
      <c r="E20" s="64" t="b">
        <v>0</v>
      </c>
    </row>
    <row r="21">
      <c r="A21" s="64" t="s">
        <v>496</v>
      </c>
      <c r="B21" s="64" t="s">
        <v>92</v>
      </c>
      <c r="C21" s="64" t="s">
        <v>497</v>
      </c>
      <c r="D21" s="64" t="s">
        <v>498</v>
      </c>
      <c r="E21" s="64" t="b">
        <v>0</v>
      </c>
    </row>
    <row r="22">
      <c r="A22" s="64" t="s">
        <v>499</v>
      </c>
      <c r="B22" s="64" t="s">
        <v>500</v>
      </c>
      <c r="C22" s="64" t="s">
        <v>497</v>
      </c>
      <c r="D22" s="65">
        <v>150.0</v>
      </c>
      <c r="E22" s="64" t="b">
        <v>0</v>
      </c>
    </row>
    <row r="23">
      <c r="A23" s="64" t="s">
        <v>499</v>
      </c>
      <c r="B23" s="64" t="s">
        <v>501</v>
      </c>
      <c r="C23" s="64" t="s">
        <v>497</v>
      </c>
      <c r="D23" s="65">
        <v>150.0</v>
      </c>
      <c r="E23" s="64" t="b">
        <v>0</v>
      </c>
    </row>
    <row r="24">
      <c r="A24" s="64" t="s">
        <v>502</v>
      </c>
      <c r="B24" s="64"/>
      <c r="C24" s="64"/>
      <c r="D24" s="64"/>
      <c r="E24" s="64" t="b">
        <v>0</v>
      </c>
    </row>
    <row r="25">
      <c r="A25" s="64" t="s">
        <v>503</v>
      </c>
      <c r="B25" s="64"/>
      <c r="C25" s="64"/>
      <c r="D25" s="64"/>
      <c r="E25" s="64" t="b">
        <v>0</v>
      </c>
    </row>
    <row r="26">
      <c r="A26" s="64" t="s">
        <v>504</v>
      </c>
      <c r="B26" s="64"/>
      <c r="C26" s="64"/>
      <c r="D26" s="64"/>
      <c r="E26" s="64" t="b">
        <v>0</v>
      </c>
    </row>
    <row r="27">
      <c r="A27" s="64" t="s">
        <v>505</v>
      </c>
      <c r="B27" s="64"/>
      <c r="C27" s="64"/>
      <c r="D27" s="64"/>
      <c r="E27" s="64" t="b">
        <v>0</v>
      </c>
    </row>
    <row r="28">
      <c r="A28" s="64" t="s">
        <v>506</v>
      </c>
      <c r="B28" s="64"/>
      <c r="C28" s="64"/>
      <c r="D28" s="64"/>
      <c r="E28" s="64" t="b">
        <v>0</v>
      </c>
    </row>
    <row r="29">
      <c r="A29" s="64" t="s">
        <v>507</v>
      </c>
      <c r="E29" s="64" t="b">
        <v>0</v>
      </c>
    </row>
    <row r="30">
      <c r="A30" s="64" t="s">
        <v>508</v>
      </c>
    </row>
    <row r="31">
      <c r="A31" s="64" t="s">
        <v>163</v>
      </c>
      <c r="B31" s="64" t="s">
        <v>164</v>
      </c>
      <c r="C31" s="64"/>
      <c r="D31" s="65"/>
    </row>
    <row r="32">
      <c r="A32" s="64" t="s">
        <v>509</v>
      </c>
      <c r="B32" s="64"/>
      <c r="C32" s="64" t="s">
        <v>463</v>
      </c>
      <c r="D32" s="65" t="s">
        <v>510</v>
      </c>
      <c r="E32" s="66" t="b">
        <v>1</v>
      </c>
      <c r="F32" s="67" t="s">
        <v>511</v>
      </c>
    </row>
    <row r="33">
      <c r="A33" s="68" t="s">
        <v>512</v>
      </c>
    </row>
    <row r="34">
      <c r="A34" s="64" t="s">
        <v>513</v>
      </c>
      <c r="B34" s="64" t="s">
        <v>514</v>
      </c>
      <c r="C34" s="69" t="s">
        <v>515</v>
      </c>
      <c r="D34" s="65" t="s">
        <v>516</v>
      </c>
    </row>
    <row r="35">
      <c r="A35" s="69" t="s">
        <v>517</v>
      </c>
      <c r="B35" s="64" t="s">
        <v>518</v>
      </c>
    </row>
  </sheetData>
  <hyperlinks>
    <hyperlink r:id="rId1" ref="F32"/>
    <hyperlink r:id="rId2" ref="A3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66" t="str">
        <f>IFERROR(__xludf.DUMMYFUNCTION("QUERY('Updated 122223'!1:201, ""select * where P = 'Now'or P = 'Short'"",1)"),"Owner")</f>
        <v>Owner</v>
      </c>
      <c r="B1" s="66" t="str">
        <f>IFERROR(__xludf.DUMMYFUNCTION("""COMPUTED_VALUE"""),"Category")</f>
        <v>Category</v>
      </c>
      <c r="C1" s="66" t="str">
        <f>IFERROR(__xludf.DUMMYFUNCTION("""COMPUTED_VALUE"""),"Qty")</f>
        <v>Qty</v>
      </c>
      <c r="D1" s="66" t="str">
        <f>IFERROR(__xludf.DUMMYFUNCTION("""COMPUTED_VALUE"""),"Vintage ")</f>
        <v>Vintage </v>
      </c>
      <c r="E1" s="66" t="str">
        <f>IFERROR(__xludf.DUMMYFUNCTION("""COMPUTED_VALUE"""),"Winery ")</f>
        <v>Winery </v>
      </c>
      <c r="F1" s="66" t="str">
        <f>IFERROR(__xludf.DUMMYFUNCTION("""COMPUTED_VALUE"""),"Wine (Name)")</f>
        <v>Wine (Name)</v>
      </c>
      <c r="G1" s="66" t="str">
        <f>IFERROR(__xludf.DUMMYFUNCTION("""COMPUTED_VALUE"""),"Varietal(s)")</f>
        <v>Varietal(s)</v>
      </c>
      <c r="H1" s="66" t="str">
        <f>IFERROR(__xludf.DUMMYFUNCTION("""COMPUTED_VALUE"""),"Country ")</f>
        <v>Country </v>
      </c>
      <c r="I1" s="66" t="str">
        <f>IFERROR(__xludf.DUMMYFUNCTION("""COMPUTED_VALUE"""),"State ")</f>
        <v>State </v>
      </c>
      <c r="J1" s="66" t="str">
        <f>IFERROR(__xludf.DUMMYFUNCTION("""COMPUTED_VALUE"""),"Region ")</f>
        <v>Region </v>
      </c>
      <c r="K1" s="66" t="str">
        <f>IFERROR(__xludf.DUMMYFUNCTION("""COMPUTED_VALUE"""),"Appelation")</f>
        <v>Appelation</v>
      </c>
      <c r="L1" s="66" t="str">
        <f>IFERROR(__xludf.DUMMYFUNCTION("""COMPUTED_VALUE"""),"Sub App")</f>
        <v>Sub App</v>
      </c>
      <c r="M1" s="66" t="str">
        <f>IFERROR(__xludf.DUMMYFUNCTION("""COMPUTED_VALUE"""),"Vineyard/Cru")</f>
        <v>Vineyard/Cru</v>
      </c>
      <c r="N1" s="66" t="str">
        <f>IFERROR(__xludf.DUMMYFUNCTION("""COMPUTED_VALUE"""),"Retail Price ")</f>
        <v>Retail Price </v>
      </c>
      <c r="O1" s="66" t="str">
        <f>IFERROR(__xludf.DUMMYFUNCTION("""COMPUTED_VALUE"""),"Volume (mL)")</f>
        <v>Volume (mL)</v>
      </c>
      <c r="P1" s="66" t="str">
        <f>IFERROR(__xludf.DUMMYFUNCTION("""COMPUTED_VALUE"""),"Drinking Window")</f>
        <v>Drinking Window</v>
      </c>
      <c r="Q1" s="66" t="str">
        <f>IFERROR(__xludf.DUMMYFUNCTION("""COMPUTED_VALUE"""),"Box #")</f>
        <v>Box #</v>
      </c>
      <c r="R1" s="66" t="str">
        <f>IFERROR(__xludf.DUMMYFUNCTION("""COMPUTED_VALUE"""),"Notes")</f>
        <v>Notes</v>
      </c>
      <c r="S1" s="66" t="str">
        <f>IFERROR(__xludf.DUMMYFUNCTION("""COMPUTED_VALUE"""),"Drank")</f>
        <v>Drank</v>
      </c>
      <c r="T1" s="66" t="str">
        <f>IFERROR(__xludf.DUMMYFUNCTION("""COMPUTED_VALUE"""),"Pulled 1")</f>
        <v>Pulled 1</v>
      </c>
      <c r="U1" s="66" t="str">
        <f>IFERROR(__xludf.DUMMYFUNCTION("""COMPUTED_VALUE"""),"Double Check")</f>
        <v>Double Check</v>
      </c>
      <c r="V1" s="66" t="str">
        <f>IFERROR(__xludf.DUMMYFUNCTION("""COMPUTED_VALUE"""),"Pull 1 To Drink")</f>
        <v>Pull 1 To Drink</v>
      </c>
      <c r="W1" s="66" t="str">
        <f>IFERROR(__xludf.DUMMYFUNCTION("""COMPUTED_VALUE"""),"Ready to Drink")</f>
        <v>Ready to Drink</v>
      </c>
    </row>
    <row r="2">
      <c r="A2" s="66" t="str">
        <f>IFERROR(__xludf.DUMMYFUNCTION("""COMPUTED_VALUE"""),"R")</f>
        <v>R</v>
      </c>
      <c r="B2" s="66" t="str">
        <f>IFERROR(__xludf.DUMMYFUNCTION("""COMPUTED_VALUE"""),"Sparkling")</f>
        <v>Sparkling</v>
      </c>
      <c r="C2" s="66">
        <f>IFERROR(__xludf.DUMMYFUNCTION("""COMPUTED_VALUE"""),1.0)</f>
        <v>1</v>
      </c>
      <c r="D2" s="66">
        <f>IFERROR(__xludf.DUMMYFUNCTION("""COMPUTED_VALUE"""),2008.0)</f>
        <v>2008</v>
      </c>
      <c r="E2" s="66" t="str">
        <f>IFERROR(__xludf.DUMMYFUNCTION("""COMPUTED_VALUE"""),"Domain Chandon")</f>
        <v>Domain Chandon</v>
      </c>
      <c r="F2" s="66" t="str">
        <f>IFERROR(__xludf.DUMMYFUNCTION("""COMPUTED_VALUE"""),"Etoile")</f>
        <v>Etoile</v>
      </c>
      <c r="G2" s="66" t="str">
        <f>IFERROR(__xludf.DUMMYFUNCTION("""COMPUTED_VALUE"""),"Other")</f>
        <v>Other</v>
      </c>
      <c r="H2" s="66" t="str">
        <f>IFERROR(__xludf.DUMMYFUNCTION("""COMPUTED_VALUE"""),"USA")</f>
        <v>USA</v>
      </c>
      <c r="I2" s="66" t="str">
        <f>IFERROR(__xludf.DUMMYFUNCTION("""COMPUTED_VALUE"""),"CA")</f>
        <v>CA</v>
      </c>
      <c r="J2" s="66" t="str">
        <f>IFERROR(__xludf.DUMMYFUNCTION("""COMPUTED_VALUE"""),"Northern CA")</f>
        <v>Northern CA</v>
      </c>
      <c r="K2" s="66"/>
      <c r="L2" s="66"/>
      <c r="M2" s="66"/>
      <c r="N2" s="70">
        <f>IFERROR(__xludf.DUMMYFUNCTION("""COMPUTED_VALUE"""),65.0)</f>
        <v>65</v>
      </c>
      <c r="O2" s="66">
        <f>IFERROR(__xludf.DUMMYFUNCTION("""COMPUTED_VALUE"""),750.0)</f>
        <v>750</v>
      </c>
      <c r="P2" s="66" t="str">
        <f>IFERROR(__xludf.DUMMYFUNCTION("""COMPUTED_VALUE"""),"Now")</f>
        <v>Now</v>
      </c>
      <c r="Q2" s="66" t="str">
        <f>IFERROR(__xludf.DUMMYFUNCTION("""COMPUTED_VALUE"""),"Krug")</f>
        <v>Krug</v>
      </c>
      <c r="R2" s="66"/>
      <c r="S2" s="66" t="b">
        <f>IFERROR(__xludf.DUMMYFUNCTION("""COMPUTED_VALUE"""),TRUE)</f>
        <v>1</v>
      </c>
      <c r="T2" s="66" t="b">
        <f>IFERROR(__xludf.DUMMYFUNCTION("""COMPUTED_VALUE"""),TRUE)</f>
        <v>1</v>
      </c>
      <c r="U2" s="66" t="b">
        <f>IFERROR(__xludf.DUMMYFUNCTION("""COMPUTED_VALUE"""),FALSE)</f>
        <v>0</v>
      </c>
      <c r="V2" s="66" t="b">
        <f>IFERROR(__xludf.DUMMYFUNCTION("""COMPUTED_VALUE"""),FALSE)</f>
        <v>0</v>
      </c>
      <c r="W2" s="66" t="b">
        <f>IFERROR(__xludf.DUMMYFUNCTION("""COMPUTED_VALUE"""),FALSE)</f>
        <v>0</v>
      </c>
    </row>
    <row r="3">
      <c r="A3" s="66" t="str">
        <f>IFERROR(__xludf.DUMMYFUNCTION("""COMPUTED_VALUE"""),"R")</f>
        <v>R</v>
      </c>
      <c r="B3" s="66" t="str">
        <f>IFERROR(__xludf.DUMMYFUNCTION("""COMPUTED_VALUE"""),"Red")</f>
        <v>Red</v>
      </c>
      <c r="C3" s="66">
        <f>IFERROR(__xludf.DUMMYFUNCTION("""COMPUTED_VALUE"""),1.0)</f>
        <v>1</v>
      </c>
      <c r="D3" s="66">
        <f>IFERROR(__xludf.DUMMYFUNCTION("""COMPUTED_VALUE"""),2013.0)</f>
        <v>2013</v>
      </c>
      <c r="E3" s="66" t="str">
        <f>IFERROR(__xludf.DUMMYFUNCTION("""COMPUTED_VALUE"""),"Dowsett Family Wines")</f>
        <v>Dowsett Family Wines</v>
      </c>
      <c r="F3" s="66" t="str">
        <f>IFERROR(__xludf.DUMMYFUNCTION("""COMPUTED_VALUE"""),"Heart of the Hill Vineyard Mouvedre")</f>
        <v>Heart of the Hill Vineyard Mouvedre</v>
      </c>
      <c r="G3" s="66" t="str">
        <f>IFERROR(__xludf.DUMMYFUNCTION("""COMPUTED_VALUE"""),"Other")</f>
        <v>Other</v>
      </c>
      <c r="H3" s="66" t="str">
        <f>IFERROR(__xludf.DUMMYFUNCTION("""COMPUTED_VALUE"""),"USA")</f>
        <v>USA</v>
      </c>
      <c r="I3" s="66" t="str">
        <f>IFERROR(__xludf.DUMMYFUNCTION("""COMPUTED_VALUE"""),"WA")</f>
        <v>WA</v>
      </c>
      <c r="J3" s="66"/>
      <c r="K3" s="66" t="str">
        <f>IFERROR(__xludf.DUMMYFUNCTION("""COMPUTED_VALUE"""),"Columbia Valley")</f>
        <v>Columbia Valley</v>
      </c>
      <c r="L3" s="66" t="str">
        <f>IFERROR(__xludf.DUMMYFUNCTION("""COMPUTED_VALUE"""),"Red Mountain")</f>
        <v>Red Mountain</v>
      </c>
      <c r="M3" s="66" t="str">
        <f>IFERROR(__xludf.DUMMYFUNCTION("""COMPUTED_VALUE"""),"Heart of the Hill Vineyard")</f>
        <v>Heart of the Hill Vineyard</v>
      </c>
      <c r="N3" s="70">
        <f>IFERROR(__xludf.DUMMYFUNCTION("""COMPUTED_VALUE"""),34.0)</f>
        <v>34</v>
      </c>
      <c r="O3" s="66">
        <f>IFERROR(__xludf.DUMMYFUNCTION("""COMPUTED_VALUE"""),750.0)</f>
        <v>750</v>
      </c>
      <c r="P3" s="66" t="str">
        <f>IFERROR(__xludf.DUMMYFUNCTION("""COMPUTED_VALUE"""),"Now")</f>
        <v>Now</v>
      </c>
      <c r="Q3" s="66" t="str">
        <f>IFERROR(__xludf.DUMMYFUNCTION("""COMPUTED_VALUE"""),"MA1")</f>
        <v>MA1</v>
      </c>
      <c r="R3" s="66"/>
      <c r="S3" s="66" t="b">
        <f>IFERROR(__xludf.DUMMYFUNCTION("""COMPUTED_VALUE"""),TRUE)</f>
        <v>1</v>
      </c>
      <c r="T3" s="66" t="b">
        <f>IFERROR(__xludf.DUMMYFUNCTION("""COMPUTED_VALUE"""),TRUE)</f>
        <v>1</v>
      </c>
      <c r="U3" s="66" t="b">
        <f>IFERROR(__xludf.DUMMYFUNCTION("""COMPUTED_VALUE"""),FALSE)</f>
        <v>0</v>
      </c>
      <c r="V3" s="66" t="b">
        <f>IFERROR(__xludf.DUMMYFUNCTION("""COMPUTED_VALUE"""),FALSE)</f>
        <v>0</v>
      </c>
      <c r="W3" s="66" t="b">
        <f>IFERROR(__xludf.DUMMYFUNCTION("""COMPUTED_VALUE"""),FALSE)</f>
        <v>0</v>
      </c>
    </row>
    <row r="4">
      <c r="A4" s="66" t="str">
        <f>IFERROR(__xludf.DUMMYFUNCTION("""COMPUTED_VALUE"""),"R")</f>
        <v>R</v>
      </c>
      <c r="B4" s="66" t="str">
        <f>IFERROR(__xludf.DUMMYFUNCTION("""COMPUTED_VALUE"""),"Sparkling")</f>
        <v>Sparkling</v>
      </c>
      <c r="C4" s="66">
        <f>IFERROR(__xludf.DUMMYFUNCTION("""COMPUTED_VALUE"""),1.0)</f>
        <v>1</v>
      </c>
      <c r="D4" s="66">
        <f>IFERROR(__xludf.DUMMYFUNCTION("""COMPUTED_VALUE"""),2013.0)</f>
        <v>2013</v>
      </c>
      <c r="E4" s="66" t="str">
        <f>IFERROR(__xludf.DUMMYFUNCTION("""COMPUTED_VALUE"""),"Domaine Carneros")</f>
        <v>Domaine Carneros</v>
      </c>
      <c r="F4" s="66" t="str">
        <f>IFERROR(__xludf.DUMMYFUNCTION("""COMPUTED_VALUE"""),"La Reve Rosé")</f>
        <v>La Reve Rosé</v>
      </c>
      <c r="G4" s="66" t="str">
        <f>IFERROR(__xludf.DUMMYFUNCTION("""COMPUTED_VALUE"""),"Other")</f>
        <v>Other</v>
      </c>
      <c r="H4" s="66" t="str">
        <f>IFERROR(__xludf.DUMMYFUNCTION("""COMPUTED_VALUE"""),"USA")</f>
        <v>USA</v>
      </c>
      <c r="I4" s="66" t="str">
        <f>IFERROR(__xludf.DUMMYFUNCTION("""COMPUTED_VALUE"""),"CA")</f>
        <v>CA</v>
      </c>
      <c r="J4" s="66" t="str">
        <f>IFERROR(__xludf.DUMMYFUNCTION("""COMPUTED_VALUE"""),"Northern CA")</f>
        <v>Northern CA</v>
      </c>
      <c r="K4" s="66"/>
      <c r="L4" s="66"/>
      <c r="M4" s="66"/>
      <c r="N4" s="70">
        <f>IFERROR(__xludf.DUMMYFUNCTION("""COMPUTED_VALUE"""),115.0)</f>
        <v>115</v>
      </c>
      <c r="O4" s="66">
        <f>IFERROR(__xludf.DUMMYFUNCTION("""COMPUTED_VALUE"""),750.0)</f>
        <v>750</v>
      </c>
      <c r="P4" s="66" t="str">
        <f>IFERROR(__xludf.DUMMYFUNCTION("""COMPUTED_VALUE"""),"Short")</f>
        <v>Short</v>
      </c>
      <c r="Q4" s="66" t="str">
        <f>IFERROR(__xludf.DUMMYFUNCTION("""COMPUTED_VALUE"""),"Krug")</f>
        <v>Krug</v>
      </c>
      <c r="R4" s="66"/>
      <c r="S4" s="66" t="b">
        <f>IFERROR(__xludf.DUMMYFUNCTION("""COMPUTED_VALUE"""),TRUE)</f>
        <v>1</v>
      </c>
      <c r="T4" s="66" t="b">
        <f>IFERROR(__xludf.DUMMYFUNCTION("""COMPUTED_VALUE"""),FALSE)</f>
        <v>0</v>
      </c>
      <c r="U4" s="66" t="b">
        <f>IFERROR(__xludf.DUMMYFUNCTION("""COMPUTED_VALUE"""),FALSE)</f>
        <v>0</v>
      </c>
      <c r="V4" s="66" t="b">
        <f>IFERROR(__xludf.DUMMYFUNCTION("""COMPUTED_VALUE"""),TRUE)</f>
        <v>1</v>
      </c>
      <c r="W4" s="66" t="b">
        <f>IFERROR(__xludf.DUMMYFUNCTION("""COMPUTED_VALUE"""),FALSE)</f>
        <v>0</v>
      </c>
    </row>
    <row r="5">
      <c r="A5" s="66" t="str">
        <f>IFERROR(__xludf.DUMMYFUNCTION("""COMPUTED_VALUE"""),"R")</f>
        <v>R</v>
      </c>
      <c r="B5" s="66" t="str">
        <f>IFERROR(__xludf.DUMMYFUNCTION("""COMPUTED_VALUE"""),"Red")</f>
        <v>Red</v>
      </c>
      <c r="C5" s="66">
        <f>IFERROR(__xludf.DUMMYFUNCTION("""COMPUTED_VALUE"""),1.0)</f>
        <v>1</v>
      </c>
      <c r="D5" s="66">
        <f>IFERROR(__xludf.DUMMYFUNCTION("""COMPUTED_VALUE"""),2013.0)</f>
        <v>2013</v>
      </c>
      <c r="E5" s="66" t="str">
        <f>IFERROR(__xludf.DUMMYFUNCTION("""COMPUTED_VALUE"""),"Sterling Vineyards")</f>
        <v>Sterling Vineyards</v>
      </c>
      <c r="F5" s="66" t="str">
        <f>IFERROR(__xludf.DUMMYFUNCTION("""COMPUTED_VALUE"""),"Planium Select Cab Sauv")</f>
        <v>Planium Select Cab Sauv</v>
      </c>
      <c r="G5" s="66" t="str">
        <f>IFERROR(__xludf.DUMMYFUNCTION("""COMPUTED_VALUE"""),"Cabernet Sauvignon")</f>
        <v>Cabernet Sauvignon</v>
      </c>
      <c r="H5" s="66" t="str">
        <f>IFERROR(__xludf.DUMMYFUNCTION("""COMPUTED_VALUE"""),"USA")</f>
        <v>USA</v>
      </c>
      <c r="I5" s="66" t="str">
        <f>IFERROR(__xludf.DUMMYFUNCTION("""COMPUTED_VALUE"""),"CA")</f>
        <v>CA</v>
      </c>
      <c r="J5" s="66" t="str">
        <f>IFERROR(__xludf.DUMMYFUNCTION("""COMPUTED_VALUE"""),"Northern CA")</f>
        <v>Northern CA</v>
      </c>
      <c r="K5" s="66" t="str">
        <f>IFERROR(__xludf.DUMMYFUNCTION("""COMPUTED_VALUE"""),"Napa Valley")</f>
        <v>Napa Valley</v>
      </c>
      <c r="L5" s="66"/>
      <c r="M5" s="66"/>
      <c r="N5" s="70">
        <f>IFERROR(__xludf.DUMMYFUNCTION("""COMPUTED_VALUE"""),100.0)</f>
        <v>100</v>
      </c>
      <c r="O5" s="66">
        <f>IFERROR(__xludf.DUMMYFUNCTION("""COMPUTED_VALUE"""),750.0)</f>
        <v>750</v>
      </c>
      <c r="P5" s="66" t="str">
        <f>IFERROR(__xludf.DUMMYFUNCTION("""COMPUTED_VALUE"""),"Short")</f>
        <v>Short</v>
      </c>
      <c r="Q5" s="66" t="str">
        <f>IFERROR(__xludf.DUMMYFUNCTION("""COMPUTED_VALUE"""),"M3")</f>
        <v>M3</v>
      </c>
      <c r="R5" s="66"/>
      <c r="S5" s="66" t="b">
        <f>IFERROR(__xludf.DUMMYFUNCTION("""COMPUTED_VALUE"""),FALSE)</f>
        <v>0</v>
      </c>
      <c r="T5" s="66" t="b">
        <f>IFERROR(__xludf.DUMMYFUNCTION("""COMPUTED_VALUE"""),FALSE)</f>
        <v>0</v>
      </c>
      <c r="U5" s="66" t="b">
        <f>IFERROR(__xludf.DUMMYFUNCTION("""COMPUTED_VALUE"""),FALSE)</f>
        <v>0</v>
      </c>
      <c r="V5" s="66" t="b">
        <f>IFERROR(__xludf.DUMMYFUNCTION("""COMPUTED_VALUE"""),FALSE)</f>
        <v>0</v>
      </c>
      <c r="W5" s="66" t="b">
        <f>IFERROR(__xludf.DUMMYFUNCTION("""COMPUTED_VALUE"""),FALSE)</f>
        <v>0</v>
      </c>
    </row>
    <row r="6">
      <c r="A6" s="66" t="str">
        <f>IFERROR(__xludf.DUMMYFUNCTION("""COMPUTED_VALUE"""),"R")</f>
        <v>R</v>
      </c>
      <c r="B6" s="66" t="str">
        <f>IFERROR(__xludf.DUMMYFUNCTION("""COMPUTED_VALUE"""),"Red")</f>
        <v>Red</v>
      </c>
      <c r="C6" s="66">
        <f>IFERROR(__xludf.DUMMYFUNCTION("""COMPUTED_VALUE"""),1.0)</f>
        <v>1</v>
      </c>
      <c r="D6" s="66">
        <f>IFERROR(__xludf.DUMMYFUNCTION("""COMPUTED_VALUE"""),2013.0)</f>
        <v>2013</v>
      </c>
      <c r="E6" s="66" t="str">
        <f>IFERROR(__xludf.DUMMYFUNCTION("""COMPUTED_VALUE"""),"Hall Wines")</f>
        <v>Hall Wines</v>
      </c>
      <c r="F6" s="66" t="str">
        <f>IFERROR(__xludf.DUMMYFUNCTION("""COMPUTED_VALUE"""),"1873")</f>
        <v>1873</v>
      </c>
      <c r="G6" s="66" t="str">
        <f>IFERROR(__xludf.DUMMYFUNCTION("""COMPUTED_VALUE"""),"Cabernet Sauvignon")</f>
        <v>Cabernet Sauvignon</v>
      </c>
      <c r="H6" s="66" t="str">
        <f>IFERROR(__xludf.DUMMYFUNCTION("""COMPUTED_VALUE"""),"USA")</f>
        <v>USA</v>
      </c>
      <c r="I6" s="66" t="str">
        <f>IFERROR(__xludf.DUMMYFUNCTION("""COMPUTED_VALUE"""),"CA")</f>
        <v>CA</v>
      </c>
      <c r="J6" s="66" t="str">
        <f>IFERROR(__xludf.DUMMYFUNCTION("""COMPUTED_VALUE"""),"Northern CA")</f>
        <v>Northern CA</v>
      </c>
      <c r="K6" s="66" t="str">
        <f>IFERROR(__xludf.DUMMYFUNCTION("""COMPUTED_VALUE"""),"Napa Valley")</f>
        <v>Napa Valley</v>
      </c>
      <c r="L6" s="66"/>
      <c r="M6" s="66"/>
      <c r="N6" s="70">
        <f>IFERROR(__xludf.DUMMYFUNCTION("""COMPUTED_VALUE"""),85.0)</f>
        <v>85</v>
      </c>
      <c r="O6" s="66">
        <f>IFERROR(__xludf.DUMMYFUNCTION("""COMPUTED_VALUE"""),750.0)</f>
        <v>750</v>
      </c>
      <c r="P6" s="66" t="str">
        <f>IFERROR(__xludf.DUMMYFUNCTION("""COMPUTED_VALUE"""),"Short")</f>
        <v>Short</v>
      </c>
      <c r="Q6" s="66" t="str">
        <f>IFERROR(__xludf.DUMMYFUNCTION("""COMPUTED_VALUE"""),"S2")</f>
        <v>S2</v>
      </c>
      <c r="R6" s="66"/>
      <c r="S6" s="66" t="b">
        <f>IFERROR(__xludf.DUMMYFUNCTION("""COMPUTED_VALUE"""),TRUE)</f>
        <v>1</v>
      </c>
      <c r="T6" s="66" t="b">
        <f>IFERROR(__xludf.DUMMYFUNCTION("""COMPUTED_VALUE"""),FALSE)</f>
        <v>0</v>
      </c>
      <c r="U6" s="66" t="b">
        <f>IFERROR(__xludf.DUMMYFUNCTION("""COMPUTED_VALUE"""),FALSE)</f>
        <v>0</v>
      </c>
      <c r="V6" s="66" t="b">
        <f>IFERROR(__xludf.DUMMYFUNCTION("""COMPUTED_VALUE"""),FALSE)</f>
        <v>0</v>
      </c>
      <c r="W6" s="66" t="b">
        <f>IFERROR(__xludf.DUMMYFUNCTION("""COMPUTED_VALUE"""),TRUE)</f>
        <v>1</v>
      </c>
    </row>
    <row r="7">
      <c r="A7" s="66" t="str">
        <f>IFERROR(__xludf.DUMMYFUNCTION("""COMPUTED_VALUE"""),"R")</f>
        <v>R</v>
      </c>
      <c r="B7" s="66" t="str">
        <f>IFERROR(__xludf.DUMMYFUNCTION("""COMPUTED_VALUE"""),"Red")</f>
        <v>Red</v>
      </c>
      <c r="C7" s="66">
        <f>IFERROR(__xludf.DUMMYFUNCTION("""COMPUTED_VALUE"""),1.0)</f>
        <v>1</v>
      </c>
      <c r="D7" s="66">
        <f>IFERROR(__xludf.DUMMYFUNCTION("""COMPUTED_VALUE"""),2013.0)</f>
        <v>2013</v>
      </c>
      <c r="E7" s="66" t="str">
        <f>IFERROR(__xludf.DUMMYFUNCTION("""COMPUTED_VALUE"""),"Sterling Vineyards")</f>
        <v>Sterling Vineyards</v>
      </c>
      <c r="F7" s="66" t="str">
        <f>IFERROR(__xludf.DUMMYFUNCTION("""COMPUTED_VALUE"""),"Rutherford")</f>
        <v>Rutherford</v>
      </c>
      <c r="G7" s="66" t="str">
        <f>IFERROR(__xludf.DUMMYFUNCTION("""COMPUTED_VALUE"""),"Cabernet Sauvignon")</f>
        <v>Cabernet Sauvignon</v>
      </c>
      <c r="H7" s="66" t="str">
        <f>IFERROR(__xludf.DUMMYFUNCTION("""COMPUTED_VALUE"""),"USA")</f>
        <v>USA</v>
      </c>
      <c r="I7" s="66" t="str">
        <f>IFERROR(__xludf.DUMMYFUNCTION("""COMPUTED_VALUE"""),"CA")</f>
        <v>CA</v>
      </c>
      <c r="J7" s="66" t="str">
        <f>IFERROR(__xludf.DUMMYFUNCTION("""COMPUTED_VALUE"""),"Northern CA")</f>
        <v>Northern CA</v>
      </c>
      <c r="K7" s="66" t="str">
        <f>IFERROR(__xludf.DUMMYFUNCTION("""COMPUTED_VALUE"""),"Napa Valley")</f>
        <v>Napa Valley</v>
      </c>
      <c r="L7" s="66" t="str">
        <f>IFERROR(__xludf.DUMMYFUNCTION("""COMPUTED_VALUE"""),"Rutherford")</f>
        <v>Rutherford</v>
      </c>
      <c r="M7" s="66"/>
      <c r="N7" s="70">
        <f>IFERROR(__xludf.DUMMYFUNCTION("""COMPUTED_VALUE"""),55.0)</f>
        <v>55</v>
      </c>
      <c r="O7" s="66">
        <f>IFERROR(__xludf.DUMMYFUNCTION("""COMPUTED_VALUE"""),750.0)</f>
        <v>750</v>
      </c>
      <c r="P7" s="66" t="str">
        <f>IFERROR(__xludf.DUMMYFUNCTION("""COMPUTED_VALUE"""),"Short")</f>
        <v>Short</v>
      </c>
      <c r="Q7" s="66" t="str">
        <f>IFERROR(__xludf.DUMMYFUNCTION("""COMPUTED_VALUE"""),"M6")</f>
        <v>M6</v>
      </c>
      <c r="R7" s="66"/>
      <c r="S7" s="66" t="b">
        <f>IFERROR(__xludf.DUMMYFUNCTION("""COMPUTED_VALUE"""),FALSE)</f>
        <v>0</v>
      </c>
      <c r="T7" s="66" t="b">
        <f>IFERROR(__xludf.DUMMYFUNCTION("""COMPUTED_VALUE"""),FALSE)</f>
        <v>0</v>
      </c>
      <c r="U7" s="66" t="b">
        <f>IFERROR(__xludf.DUMMYFUNCTION("""COMPUTED_VALUE"""),FALSE)</f>
        <v>0</v>
      </c>
      <c r="V7" s="66" t="b">
        <f>IFERROR(__xludf.DUMMYFUNCTION("""COMPUTED_VALUE"""),FALSE)</f>
        <v>0</v>
      </c>
      <c r="W7" s="66" t="b">
        <f>IFERROR(__xludf.DUMMYFUNCTION("""COMPUTED_VALUE"""),TRUE)</f>
        <v>1</v>
      </c>
    </row>
    <row r="8">
      <c r="A8" s="66" t="str">
        <f>IFERROR(__xludf.DUMMYFUNCTION("""COMPUTED_VALUE"""),"R")</f>
        <v>R</v>
      </c>
      <c r="B8" s="66" t="str">
        <f>IFERROR(__xludf.DUMMYFUNCTION("""COMPUTED_VALUE"""),"Red")</f>
        <v>Red</v>
      </c>
      <c r="C8" s="66">
        <f>IFERROR(__xludf.DUMMYFUNCTION("""COMPUTED_VALUE"""),1.0)</f>
        <v>1</v>
      </c>
      <c r="D8" s="66">
        <f>IFERROR(__xludf.DUMMYFUNCTION("""COMPUTED_VALUE"""),2013.0)</f>
        <v>2013</v>
      </c>
      <c r="E8" s="66" t="str">
        <f>IFERROR(__xludf.DUMMYFUNCTION("""COMPUTED_VALUE"""),"Pax Wines")</f>
        <v>Pax Wines</v>
      </c>
      <c r="F8" s="66" t="str">
        <f>IFERROR(__xludf.DUMMYFUNCTION("""COMPUTED_VALUE"""),"Griffins Lair Vineyard - Sonoma Coast")</f>
        <v>Griffins Lair Vineyard - Sonoma Coast</v>
      </c>
      <c r="G8" s="66" t="str">
        <f>IFERROR(__xludf.DUMMYFUNCTION("""COMPUTED_VALUE"""),"Syrah")</f>
        <v>Syrah</v>
      </c>
      <c r="H8" s="66" t="str">
        <f>IFERROR(__xludf.DUMMYFUNCTION("""COMPUTED_VALUE"""),"USA")</f>
        <v>USA</v>
      </c>
      <c r="I8" s="66" t="str">
        <f>IFERROR(__xludf.DUMMYFUNCTION("""COMPUTED_VALUE"""),"CA")</f>
        <v>CA</v>
      </c>
      <c r="J8" s="66" t="str">
        <f>IFERROR(__xludf.DUMMYFUNCTION("""COMPUTED_VALUE"""),"Northern CA")</f>
        <v>Northern CA</v>
      </c>
      <c r="K8" s="66" t="str">
        <f>IFERROR(__xludf.DUMMYFUNCTION("""COMPUTED_VALUE"""),"Sonoma Coast")</f>
        <v>Sonoma Coast</v>
      </c>
      <c r="L8" s="66"/>
      <c r="M8" s="66" t="str">
        <f>IFERROR(__xludf.DUMMYFUNCTION("""COMPUTED_VALUE"""),"Griffins Lair Vineyard")</f>
        <v>Griffins Lair Vineyard</v>
      </c>
      <c r="N8" s="70">
        <f>IFERROR(__xludf.DUMMYFUNCTION("""COMPUTED_VALUE"""),50.0)</f>
        <v>50</v>
      </c>
      <c r="O8" s="66">
        <f>IFERROR(__xludf.DUMMYFUNCTION("""COMPUTED_VALUE"""),750.0)</f>
        <v>750</v>
      </c>
      <c r="P8" s="66" t="str">
        <f>IFERROR(__xludf.DUMMYFUNCTION("""COMPUTED_VALUE"""),"Short")</f>
        <v>Short</v>
      </c>
      <c r="Q8" s="66" t="str">
        <f>IFERROR(__xludf.DUMMYFUNCTION("""COMPUTED_VALUE"""),"M/S2")</f>
        <v>M/S2</v>
      </c>
      <c r="R8" s="66"/>
      <c r="S8" s="66" t="b">
        <f>IFERROR(__xludf.DUMMYFUNCTION("""COMPUTED_VALUE"""),TRUE)</f>
        <v>1</v>
      </c>
      <c r="T8" s="66" t="b">
        <f>IFERROR(__xludf.DUMMYFUNCTION("""COMPUTED_VALUE"""),TRUE)</f>
        <v>1</v>
      </c>
      <c r="U8" s="66" t="b">
        <f>IFERROR(__xludf.DUMMYFUNCTION("""COMPUTED_VALUE"""),FALSE)</f>
        <v>0</v>
      </c>
      <c r="V8" s="66" t="b">
        <f>IFERROR(__xludf.DUMMYFUNCTION("""COMPUTED_VALUE"""),TRUE)</f>
        <v>1</v>
      </c>
      <c r="W8" s="66" t="b">
        <f>IFERROR(__xludf.DUMMYFUNCTION("""COMPUTED_VALUE"""),TRUE)</f>
        <v>1</v>
      </c>
    </row>
    <row r="9">
      <c r="A9" s="66" t="str">
        <f>IFERROR(__xludf.DUMMYFUNCTION("""COMPUTED_VALUE"""),"R")</f>
        <v>R</v>
      </c>
      <c r="B9" s="66" t="str">
        <f>IFERROR(__xludf.DUMMYFUNCTION("""COMPUTED_VALUE"""),"Red")</f>
        <v>Red</v>
      </c>
      <c r="C9" s="66">
        <f>IFERROR(__xludf.DUMMYFUNCTION("""COMPUTED_VALUE"""),1.0)</f>
        <v>1</v>
      </c>
      <c r="D9" s="66">
        <f>IFERROR(__xludf.DUMMYFUNCTION("""COMPUTED_VALUE"""),2005.0)</f>
        <v>2005</v>
      </c>
      <c r="E9" s="66" t="str">
        <f>IFERROR(__xludf.DUMMYFUNCTION("""COMPUTED_VALUE"""),"Domaine Grand Veneur")</f>
        <v>Domaine Grand Veneur</v>
      </c>
      <c r="F9" s="66" t="str">
        <f>IFERROR(__xludf.DUMMYFUNCTION("""COMPUTED_VALUE"""),"Chateauneuf Du Pape Blend")</f>
        <v>Chateauneuf Du Pape Blend</v>
      </c>
      <c r="G9" s="66" t="str">
        <f>IFERROR(__xludf.DUMMYFUNCTION("""COMPUTED_VALUE"""),"Rhone Blend")</f>
        <v>Rhone Blend</v>
      </c>
      <c r="H9" s="66" t="str">
        <f>IFERROR(__xludf.DUMMYFUNCTION("""COMPUTED_VALUE"""),"France")</f>
        <v>France</v>
      </c>
      <c r="I9" s="66"/>
      <c r="J9" s="66" t="str">
        <f>IFERROR(__xludf.DUMMYFUNCTION("""COMPUTED_VALUE"""),"Southern Rhone")</f>
        <v>Southern Rhone</v>
      </c>
      <c r="K9" s="66" t="str">
        <f>IFERROR(__xludf.DUMMYFUNCTION("""COMPUTED_VALUE"""),"Chateauneuf Du Pape")</f>
        <v>Chateauneuf Du Pape</v>
      </c>
      <c r="L9" s="66"/>
      <c r="M9" s="66"/>
      <c r="N9" s="70">
        <f>IFERROR(__xludf.DUMMYFUNCTION("""COMPUTED_VALUE"""),65.0)</f>
        <v>65</v>
      </c>
      <c r="O9" s="66">
        <f>IFERROR(__xludf.DUMMYFUNCTION("""COMPUTED_VALUE"""),1500.0)</f>
        <v>1500</v>
      </c>
      <c r="P9" s="66" t="str">
        <f>IFERROR(__xludf.DUMMYFUNCTION("""COMPUTED_VALUE"""),"Now")</f>
        <v>Now</v>
      </c>
      <c r="Q9" s="66" t="str">
        <f>IFERROR(__xludf.DUMMYFUNCTION("""COMPUTED_VALUE"""),"MA1")</f>
        <v>MA1</v>
      </c>
      <c r="R9" s="66" t="str">
        <f>IFERROR(__xludf.DUMMYFUNCTION("""COMPUTED_VALUE"""),"excellent. buy from this producer again April 2022")</f>
        <v>excellent. buy from this producer again April 2022</v>
      </c>
      <c r="S9" s="66" t="b">
        <f>IFERROR(__xludf.DUMMYFUNCTION("""COMPUTED_VALUE"""),TRUE)</f>
        <v>1</v>
      </c>
      <c r="T9" s="66" t="b">
        <f>IFERROR(__xludf.DUMMYFUNCTION("""COMPUTED_VALUE"""),TRUE)</f>
        <v>1</v>
      </c>
      <c r="U9" s="66" t="b">
        <f>IFERROR(__xludf.DUMMYFUNCTION("""COMPUTED_VALUE"""),FALSE)</f>
        <v>0</v>
      </c>
      <c r="V9" s="66" t="b">
        <f>IFERROR(__xludf.DUMMYFUNCTION("""COMPUTED_VALUE"""),FALSE)</f>
        <v>0</v>
      </c>
      <c r="W9" s="66" t="b">
        <f>IFERROR(__xludf.DUMMYFUNCTION("""COMPUTED_VALUE"""),FALSE)</f>
        <v>0</v>
      </c>
    </row>
    <row r="10">
      <c r="A10" s="66" t="str">
        <f>IFERROR(__xludf.DUMMYFUNCTION("""COMPUTED_VALUE"""),"R")</f>
        <v>R</v>
      </c>
      <c r="B10" s="66" t="str">
        <f>IFERROR(__xludf.DUMMYFUNCTION("""COMPUTED_VALUE"""),"Sparkling")</f>
        <v>Sparkling</v>
      </c>
      <c r="C10" s="66">
        <f>IFERROR(__xludf.DUMMYFUNCTION("""COMPUTED_VALUE"""),1.0)</f>
        <v>1</v>
      </c>
      <c r="D10" s="66">
        <f>IFERROR(__xludf.DUMMYFUNCTION("""COMPUTED_VALUE"""),2008.0)</f>
        <v>2008</v>
      </c>
      <c r="E10" s="66" t="str">
        <f>IFERROR(__xludf.DUMMYFUNCTION("""COMPUTED_VALUE"""),"Gloria Ferrer")</f>
        <v>Gloria Ferrer</v>
      </c>
      <c r="F10" s="66" t="str">
        <f>IFERROR(__xludf.DUMMYFUNCTION("""COMPUTED_VALUE"""),"Carneros Cuvee")</f>
        <v>Carneros Cuvee</v>
      </c>
      <c r="G10" s="66" t="str">
        <f>IFERROR(__xludf.DUMMYFUNCTION("""COMPUTED_VALUE"""),"Other")</f>
        <v>Other</v>
      </c>
      <c r="H10" s="66" t="str">
        <f>IFERROR(__xludf.DUMMYFUNCTION("""COMPUTED_VALUE"""),"USA")</f>
        <v>USA</v>
      </c>
      <c r="I10" s="66" t="str">
        <f>IFERROR(__xludf.DUMMYFUNCTION("""COMPUTED_VALUE"""),"CA")</f>
        <v>CA</v>
      </c>
      <c r="J10" s="66" t="str">
        <f>IFERROR(__xludf.DUMMYFUNCTION("""COMPUTED_VALUE"""),"Northern CA")</f>
        <v>Northern CA</v>
      </c>
      <c r="K10" s="66"/>
      <c r="L10" s="66"/>
      <c r="M10" s="66"/>
      <c r="N10" s="70">
        <f>IFERROR(__xludf.DUMMYFUNCTION("""COMPUTED_VALUE"""),80.0)</f>
        <v>80</v>
      </c>
      <c r="O10" s="66">
        <f>IFERROR(__xludf.DUMMYFUNCTION("""COMPUTED_VALUE"""),750.0)</f>
        <v>750</v>
      </c>
      <c r="P10" s="66" t="str">
        <f>IFERROR(__xludf.DUMMYFUNCTION("""COMPUTED_VALUE"""),"Short")</f>
        <v>Short</v>
      </c>
      <c r="Q10" s="66" t="str">
        <f>IFERROR(__xludf.DUMMYFUNCTION("""COMPUTED_VALUE"""),"Krug ")</f>
        <v>Krug </v>
      </c>
      <c r="R10" s="66"/>
      <c r="S10" s="66" t="b">
        <f>IFERROR(__xludf.DUMMYFUNCTION("""COMPUTED_VALUE"""),TRUE)</f>
        <v>1</v>
      </c>
      <c r="T10" s="66" t="b">
        <f>IFERROR(__xludf.DUMMYFUNCTION("""COMPUTED_VALUE"""),TRUE)</f>
        <v>1</v>
      </c>
      <c r="U10" s="66" t="b">
        <f>IFERROR(__xludf.DUMMYFUNCTION("""COMPUTED_VALUE"""),FALSE)</f>
        <v>0</v>
      </c>
      <c r="V10" s="66" t="b">
        <f>IFERROR(__xludf.DUMMYFUNCTION("""COMPUTED_VALUE"""),FALSE)</f>
        <v>0</v>
      </c>
      <c r="W10" s="66" t="b">
        <f>IFERROR(__xludf.DUMMYFUNCTION("""COMPUTED_VALUE"""),FALSE)</f>
        <v>0</v>
      </c>
    </row>
    <row r="11">
      <c r="A11" s="66" t="str">
        <f>IFERROR(__xludf.DUMMYFUNCTION("""COMPUTED_VALUE"""),"R")</f>
        <v>R</v>
      </c>
      <c r="B11" s="66" t="str">
        <f>IFERROR(__xludf.DUMMYFUNCTION("""COMPUTED_VALUE"""),"Red")</f>
        <v>Red</v>
      </c>
      <c r="C11" s="66">
        <f>IFERROR(__xludf.DUMMYFUNCTION("""COMPUTED_VALUE"""),2.0)</f>
        <v>2</v>
      </c>
      <c r="D11" s="66">
        <f>IFERROR(__xludf.DUMMYFUNCTION("""COMPUTED_VALUE"""),2014.0)</f>
        <v>2014</v>
      </c>
      <c r="E11" s="66" t="str">
        <f>IFERROR(__xludf.DUMMYFUNCTION("""COMPUTED_VALUE"""),"Andrew Will Winery")</f>
        <v>Andrew Will Winery</v>
      </c>
      <c r="F11" s="66" t="str">
        <f>IFERROR(__xludf.DUMMYFUNCTION("""COMPUTED_VALUE"""),"Sorella")</f>
        <v>Sorella</v>
      </c>
      <c r="G11" s="66" t="str">
        <f>IFERROR(__xludf.DUMMYFUNCTION("""COMPUTED_VALUE"""),"Bordeaux Blend - Left Bank")</f>
        <v>Bordeaux Blend - Left Bank</v>
      </c>
      <c r="H11" s="66" t="str">
        <f>IFERROR(__xludf.DUMMYFUNCTION("""COMPUTED_VALUE"""),"USA")</f>
        <v>USA</v>
      </c>
      <c r="I11" s="66" t="str">
        <f>IFERROR(__xludf.DUMMYFUNCTION("""COMPUTED_VALUE"""),"WA")</f>
        <v>WA</v>
      </c>
      <c r="J11" s="66" t="str">
        <f>IFERROR(__xludf.DUMMYFUNCTION("""COMPUTED_VALUE"""),"Columbia Valley")</f>
        <v>Columbia Valley</v>
      </c>
      <c r="K11" s="66" t="str">
        <f>IFERROR(__xludf.DUMMYFUNCTION("""COMPUTED_VALUE"""),"Horse Heaven Hills")</f>
        <v>Horse Heaven Hills</v>
      </c>
      <c r="L11" s="66" t="str">
        <f>IFERROR(__xludf.DUMMYFUNCTION("""COMPUTED_VALUE"""),"Horse Heaven Hills")</f>
        <v>Horse Heaven Hills</v>
      </c>
      <c r="M11" s="66" t="str">
        <f>IFERROR(__xludf.DUMMYFUNCTION("""COMPUTED_VALUE"""),"Champoux Vineyard ")</f>
        <v>Champoux Vineyard </v>
      </c>
      <c r="N11" s="70">
        <f>IFERROR(__xludf.DUMMYFUNCTION("""COMPUTED_VALUE"""),110.0)</f>
        <v>110</v>
      </c>
      <c r="O11" s="66">
        <f>IFERROR(__xludf.DUMMYFUNCTION("""COMPUTED_VALUE"""),750.0)</f>
        <v>750</v>
      </c>
      <c r="P11" s="66" t="str">
        <f>IFERROR(__xludf.DUMMYFUNCTION("""COMPUTED_VALUE"""),"Short")</f>
        <v>Short</v>
      </c>
      <c r="Q11" s="66" t="str">
        <f>IFERROR(__xludf.DUMMYFUNCTION("""COMPUTED_VALUE"""),"Andrew Will OWC")</f>
        <v>Andrew Will OWC</v>
      </c>
      <c r="R11" s="66"/>
      <c r="S11" s="66" t="b">
        <f>IFERROR(__xludf.DUMMYFUNCTION("""COMPUTED_VALUE"""),TRUE)</f>
        <v>1</v>
      </c>
      <c r="T11" s="66" t="b">
        <f>IFERROR(__xludf.DUMMYFUNCTION("""COMPUTED_VALUE"""),TRUE)</f>
        <v>1</v>
      </c>
      <c r="U11" s="66" t="b">
        <f>IFERROR(__xludf.DUMMYFUNCTION("""COMPUTED_VALUE"""),FALSE)</f>
        <v>0</v>
      </c>
      <c r="V11" s="66" t="b">
        <f>IFERROR(__xludf.DUMMYFUNCTION("""COMPUTED_VALUE"""),FALSE)</f>
        <v>0</v>
      </c>
      <c r="W11" s="66" t="b">
        <f>IFERROR(__xludf.DUMMYFUNCTION("""COMPUTED_VALUE"""),FALSE)</f>
        <v>0</v>
      </c>
    </row>
    <row r="12">
      <c r="A12" s="66" t="str">
        <f>IFERROR(__xludf.DUMMYFUNCTION("""COMPUTED_VALUE"""),"R")</f>
        <v>R</v>
      </c>
      <c r="B12" s="66" t="str">
        <f>IFERROR(__xludf.DUMMYFUNCTION("""COMPUTED_VALUE"""),"Red")</f>
        <v>Red</v>
      </c>
      <c r="C12" s="66">
        <f>IFERROR(__xludf.DUMMYFUNCTION("""COMPUTED_VALUE"""),1.0)</f>
        <v>1</v>
      </c>
      <c r="D12" s="66">
        <f>IFERROR(__xludf.DUMMYFUNCTION("""COMPUTED_VALUE"""),2014.0)</f>
        <v>2014</v>
      </c>
      <c r="E12" s="66" t="str">
        <f>IFERROR(__xludf.DUMMYFUNCTION("""COMPUTED_VALUE"""),"Trinite Estate")</f>
        <v>Trinite Estate</v>
      </c>
      <c r="F12" s="66" t="str">
        <f>IFERROR(__xludf.DUMMYFUNCTION("""COMPUTED_VALUE"""),"Amaino")</f>
        <v>Amaino</v>
      </c>
      <c r="G12" s="66" t="str">
        <f>IFERROR(__xludf.DUMMYFUNCTION("""COMPUTED_VALUE"""),"Bordeaux Blend - Left Bank")</f>
        <v>Bordeaux Blend - Left Bank</v>
      </c>
      <c r="H12" s="66" t="str">
        <f>IFERROR(__xludf.DUMMYFUNCTION("""COMPUTED_VALUE"""),"USA")</f>
        <v>USA</v>
      </c>
      <c r="I12" s="66" t="str">
        <f>IFERROR(__xludf.DUMMYFUNCTION("""COMPUTED_VALUE"""),"CA")</f>
        <v>CA</v>
      </c>
      <c r="J12" s="66" t="str">
        <f>IFERROR(__xludf.DUMMYFUNCTION("""COMPUTED_VALUE"""),"Northern CA")</f>
        <v>Northern CA</v>
      </c>
      <c r="K12" s="66" t="str">
        <f>IFERROR(__xludf.DUMMYFUNCTION("""COMPUTED_VALUE"""),"Sonoma County")</f>
        <v>Sonoma County</v>
      </c>
      <c r="L12" s="66"/>
      <c r="M12" s="66"/>
      <c r="N12" s="70">
        <f>IFERROR(__xludf.DUMMYFUNCTION("""COMPUTED_VALUE"""),50.0)</f>
        <v>50</v>
      </c>
      <c r="O12" s="66">
        <f>IFERROR(__xludf.DUMMYFUNCTION("""COMPUTED_VALUE"""),750.0)</f>
        <v>750</v>
      </c>
      <c r="P12" s="66" t="str">
        <f>IFERROR(__xludf.DUMMYFUNCTION("""COMPUTED_VALUE"""),"Short")</f>
        <v>Short</v>
      </c>
      <c r="Q12" s="66" t="str">
        <f>IFERROR(__xludf.DUMMYFUNCTION("""COMPUTED_VALUE"""),"S2")</f>
        <v>S2</v>
      </c>
      <c r="R12" s="66"/>
      <c r="S12" s="66" t="b">
        <f>IFERROR(__xludf.DUMMYFUNCTION("""COMPUTED_VALUE"""),FALSE)</f>
        <v>0</v>
      </c>
      <c r="T12" s="66" t="b">
        <f>IFERROR(__xludf.DUMMYFUNCTION("""COMPUTED_VALUE"""),FALSE)</f>
        <v>0</v>
      </c>
      <c r="U12" s="66" t="b">
        <f>IFERROR(__xludf.DUMMYFUNCTION("""COMPUTED_VALUE"""),TRUE)</f>
        <v>1</v>
      </c>
      <c r="V12" s="66" t="b">
        <f>IFERROR(__xludf.DUMMYFUNCTION("""COMPUTED_VALUE"""),FALSE)</f>
        <v>0</v>
      </c>
      <c r="W12" s="66" t="b">
        <f>IFERROR(__xludf.DUMMYFUNCTION("""COMPUTED_VALUE"""),TRUE)</f>
        <v>1</v>
      </c>
    </row>
    <row r="13">
      <c r="A13" s="66" t="str">
        <f>IFERROR(__xludf.DUMMYFUNCTION("""COMPUTED_VALUE"""),"R")</f>
        <v>R</v>
      </c>
      <c r="B13" s="66" t="str">
        <f>IFERROR(__xludf.DUMMYFUNCTION("""COMPUTED_VALUE"""),"Red")</f>
        <v>Red</v>
      </c>
      <c r="C13" s="66">
        <f>IFERROR(__xludf.DUMMYFUNCTION("""COMPUTED_VALUE"""),1.0)</f>
        <v>1</v>
      </c>
      <c r="D13" s="66">
        <f>IFERROR(__xludf.DUMMYFUNCTION("""COMPUTED_VALUE"""),2014.0)</f>
        <v>2014</v>
      </c>
      <c r="E13" s="66" t="str">
        <f>IFERROR(__xludf.DUMMYFUNCTION("""COMPUTED_VALUE"""),"Trinite Estate")</f>
        <v>Trinite Estate</v>
      </c>
      <c r="F13" s="66" t="str">
        <f>IFERROR(__xludf.DUMMYFUNCTION("""COMPUTED_VALUE"""),"Amaino")</f>
        <v>Amaino</v>
      </c>
      <c r="G13" s="66" t="str">
        <f>IFERROR(__xludf.DUMMYFUNCTION("""COMPUTED_VALUE"""),"Bordeaux Blend - Left Bank")</f>
        <v>Bordeaux Blend - Left Bank</v>
      </c>
      <c r="H13" s="66" t="str">
        <f>IFERROR(__xludf.DUMMYFUNCTION("""COMPUTED_VALUE"""),"USA")</f>
        <v>USA</v>
      </c>
      <c r="I13" s="66" t="str">
        <f>IFERROR(__xludf.DUMMYFUNCTION("""COMPUTED_VALUE"""),"CA")</f>
        <v>CA</v>
      </c>
      <c r="J13" s="66" t="str">
        <f>IFERROR(__xludf.DUMMYFUNCTION("""COMPUTED_VALUE"""),"Northern CA")</f>
        <v>Northern CA</v>
      </c>
      <c r="K13" s="66" t="str">
        <f>IFERROR(__xludf.DUMMYFUNCTION("""COMPUTED_VALUE"""),"Sonoma County")</f>
        <v>Sonoma County</v>
      </c>
      <c r="L13" s="66"/>
      <c r="M13" s="66"/>
      <c r="N13" s="70">
        <f>IFERROR(__xludf.DUMMYFUNCTION("""COMPUTED_VALUE"""),50.0)</f>
        <v>50</v>
      </c>
      <c r="O13" s="66">
        <f>IFERROR(__xludf.DUMMYFUNCTION("""COMPUTED_VALUE"""),750.0)</f>
        <v>750</v>
      </c>
      <c r="P13" s="66" t="str">
        <f>IFERROR(__xludf.DUMMYFUNCTION("""COMPUTED_VALUE"""),"Short")</f>
        <v>Short</v>
      </c>
      <c r="Q13" s="66" t="str">
        <f>IFERROR(__xludf.DUMMYFUNCTION("""COMPUTED_VALUE"""),"M/S1")</f>
        <v>M/S1</v>
      </c>
      <c r="R13" s="66"/>
      <c r="S13" s="66" t="b">
        <f>IFERROR(__xludf.DUMMYFUNCTION("""COMPUTED_VALUE"""),TRUE)</f>
        <v>1</v>
      </c>
      <c r="T13" s="66" t="b">
        <f>IFERROR(__xludf.DUMMYFUNCTION("""COMPUTED_VALUE"""),TRUE)</f>
        <v>1</v>
      </c>
      <c r="U13" s="66" t="b">
        <f>IFERROR(__xludf.DUMMYFUNCTION("""COMPUTED_VALUE"""),FALSE)</f>
        <v>0</v>
      </c>
      <c r="V13" s="66" t="b">
        <f>IFERROR(__xludf.DUMMYFUNCTION("""COMPUTED_VALUE"""),FALSE)</f>
        <v>0</v>
      </c>
      <c r="W13" s="66" t="b">
        <f>IFERROR(__xludf.DUMMYFUNCTION("""COMPUTED_VALUE"""),TRUE)</f>
        <v>1</v>
      </c>
    </row>
    <row r="14">
      <c r="A14" s="66" t="str">
        <f>IFERROR(__xludf.DUMMYFUNCTION("""COMPUTED_VALUE"""),"R")</f>
        <v>R</v>
      </c>
      <c r="B14" s="66" t="str">
        <f>IFERROR(__xludf.DUMMYFUNCTION("""COMPUTED_VALUE"""),"Red")</f>
        <v>Red</v>
      </c>
      <c r="C14" s="66">
        <f>IFERROR(__xludf.DUMMYFUNCTION("""COMPUTED_VALUE"""),1.0)</f>
        <v>1</v>
      </c>
      <c r="D14" s="66">
        <f>IFERROR(__xludf.DUMMYFUNCTION("""COMPUTED_VALUE"""),2014.0)</f>
        <v>2014</v>
      </c>
      <c r="E14" s="66" t="str">
        <f>IFERROR(__xludf.DUMMYFUNCTION("""COMPUTED_VALUE"""),"Trinite Estate")</f>
        <v>Trinite Estate</v>
      </c>
      <c r="F14" s="66" t="str">
        <f>IFERROR(__xludf.DUMMYFUNCTION("""COMPUTED_VALUE"""),"Amaino")</f>
        <v>Amaino</v>
      </c>
      <c r="G14" s="66" t="str">
        <f>IFERROR(__xludf.DUMMYFUNCTION("""COMPUTED_VALUE"""),"Bordeaux Blend - Left Bank")</f>
        <v>Bordeaux Blend - Left Bank</v>
      </c>
      <c r="H14" s="66" t="str">
        <f>IFERROR(__xludf.DUMMYFUNCTION("""COMPUTED_VALUE"""),"USA")</f>
        <v>USA</v>
      </c>
      <c r="I14" s="66" t="str">
        <f>IFERROR(__xludf.DUMMYFUNCTION("""COMPUTED_VALUE"""),"CA")</f>
        <v>CA</v>
      </c>
      <c r="J14" s="66" t="str">
        <f>IFERROR(__xludf.DUMMYFUNCTION("""COMPUTED_VALUE"""),"Northern CA")</f>
        <v>Northern CA</v>
      </c>
      <c r="K14" s="66" t="str">
        <f>IFERROR(__xludf.DUMMYFUNCTION("""COMPUTED_VALUE"""),"Sonoma")</f>
        <v>Sonoma</v>
      </c>
      <c r="L14" s="66"/>
      <c r="M14" s="66"/>
      <c r="N14" s="70">
        <f>IFERROR(__xludf.DUMMYFUNCTION("""COMPUTED_VALUE"""),40.0)</f>
        <v>40</v>
      </c>
      <c r="O14" s="66">
        <f>IFERROR(__xludf.DUMMYFUNCTION("""COMPUTED_VALUE"""),750.0)</f>
        <v>750</v>
      </c>
      <c r="P14" s="66" t="str">
        <f>IFERROR(__xludf.DUMMYFUNCTION("""COMPUTED_VALUE"""),"Now")</f>
        <v>Now</v>
      </c>
      <c r="Q14" s="66" t="str">
        <f>IFERROR(__xludf.DUMMYFUNCTION("""COMPUTED_VALUE"""),"Domaine Wine Storage ")</f>
        <v>Domaine Wine Storage </v>
      </c>
      <c r="R14" s="66"/>
      <c r="S14" s="66" t="b">
        <f>IFERROR(__xludf.DUMMYFUNCTION("""COMPUTED_VALUE"""),FALSE)</f>
        <v>0</v>
      </c>
      <c r="T14" s="66" t="b">
        <f>IFERROR(__xludf.DUMMYFUNCTION("""COMPUTED_VALUE"""),FALSE)</f>
        <v>0</v>
      </c>
      <c r="U14" s="66" t="b">
        <f>IFERROR(__xludf.DUMMYFUNCTION("""COMPUTED_VALUE"""),FALSE)</f>
        <v>0</v>
      </c>
      <c r="V14" s="66" t="b">
        <f>IFERROR(__xludf.DUMMYFUNCTION("""COMPUTED_VALUE"""),FALSE)</f>
        <v>0</v>
      </c>
      <c r="W14" s="66" t="b">
        <f>IFERROR(__xludf.DUMMYFUNCTION("""COMPUTED_VALUE"""),TRUE)</f>
        <v>1</v>
      </c>
    </row>
    <row r="15">
      <c r="A15" s="66" t="str">
        <f>IFERROR(__xludf.DUMMYFUNCTION("""COMPUTED_VALUE"""),"R")</f>
        <v>R</v>
      </c>
      <c r="B15" s="66" t="str">
        <f>IFERROR(__xludf.DUMMYFUNCTION("""COMPUTED_VALUE"""),"Red")</f>
        <v>Red</v>
      </c>
      <c r="C15" s="66">
        <f>IFERROR(__xludf.DUMMYFUNCTION("""COMPUTED_VALUE"""),1.0)</f>
        <v>1</v>
      </c>
      <c r="D15" s="66">
        <f>IFERROR(__xludf.DUMMYFUNCTION("""COMPUTED_VALUE"""),2014.0)</f>
        <v>2014</v>
      </c>
      <c r="E15" s="66" t="str">
        <f>IFERROR(__xludf.DUMMYFUNCTION("""COMPUTED_VALUE"""),"Grgich Hills")</f>
        <v>Grgich Hills</v>
      </c>
      <c r="F15" s="66" t="str">
        <f>IFERROR(__xludf.DUMMYFUNCTION("""COMPUTED_VALUE"""),"Old Vine Cab Sauv")</f>
        <v>Old Vine Cab Sauv</v>
      </c>
      <c r="G15" s="66" t="str">
        <f>IFERROR(__xludf.DUMMYFUNCTION("""COMPUTED_VALUE"""),"Cabernet Sauvignon")</f>
        <v>Cabernet Sauvignon</v>
      </c>
      <c r="H15" s="66" t="str">
        <f>IFERROR(__xludf.DUMMYFUNCTION("""COMPUTED_VALUE"""),"USA")</f>
        <v>USA</v>
      </c>
      <c r="I15" s="66" t="str">
        <f>IFERROR(__xludf.DUMMYFUNCTION("""COMPUTED_VALUE"""),"CA")</f>
        <v>CA</v>
      </c>
      <c r="J15" s="66" t="str">
        <f>IFERROR(__xludf.DUMMYFUNCTION("""COMPUTED_VALUE"""),"Northern CA")</f>
        <v>Northern CA</v>
      </c>
      <c r="K15" s="66" t="str">
        <f>IFERROR(__xludf.DUMMYFUNCTION("""COMPUTED_VALUE"""),"Napa Valley")</f>
        <v>Napa Valley</v>
      </c>
      <c r="L15" s="66"/>
      <c r="M15" s="66"/>
      <c r="N15" s="70">
        <f>IFERROR(__xludf.DUMMYFUNCTION("""COMPUTED_VALUE"""),150.0)</f>
        <v>150</v>
      </c>
      <c r="O15" s="66">
        <f>IFERROR(__xludf.DUMMYFUNCTION("""COMPUTED_VALUE"""),750.0)</f>
        <v>750</v>
      </c>
      <c r="P15" s="66" t="str">
        <f>IFERROR(__xludf.DUMMYFUNCTION("""COMPUTED_VALUE"""),"Short")</f>
        <v>Short</v>
      </c>
      <c r="Q15" s="66" t="str">
        <f>IFERROR(__xludf.DUMMYFUNCTION("""COMPUTED_VALUE"""),"S2")</f>
        <v>S2</v>
      </c>
      <c r="R15" s="66"/>
      <c r="S15" s="66" t="b">
        <f>IFERROR(__xludf.DUMMYFUNCTION("""COMPUTED_VALUE"""),TRUE)</f>
        <v>1</v>
      </c>
      <c r="T15" s="66" t="b">
        <f>IFERROR(__xludf.DUMMYFUNCTION("""COMPUTED_VALUE"""),FALSE)</f>
        <v>0</v>
      </c>
      <c r="U15" s="66" t="b">
        <f>IFERROR(__xludf.DUMMYFUNCTION("""COMPUTED_VALUE"""),FALSE)</f>
        <v>0</v>
      </c>
      <c r="V15" s="66" t="b">
        <f>IFERROR(__xludf.DUMMYFUNCTION("""COMPUTED_VALUE"""),TRUE)</f>
        <v>1</v>
      </c>
      <c r="W15" s="66" t="b">
        <f>IFERROR(__xludf.DUMMYFUNCTION("""COMPUTED_VALUE"""),FALSE)</f>
        <v>0</v>
      </c>
    </row>
    <row r="16">
      <c r="A16" s="66" t="str">
        <f>IFERROR(__xludf.DUMMYFUNCTION("""COMPUTED_VALUE"""),"R")</f>
        <v>R</v>
      </c>
      <c r="B16" s="66" t="str">
        <f>IFERROR(__xludf.DUMMYFUNCTION("""COMPUTED_VALUE"""),"Red")</f>
        <v>Red</v>
      </c>
      <c r="C16" s="66">
        <f>IFERROR(__xludf.DUMMYFUNCTION("""COMPUTED_VALUE"""),1.0)</f>
        <v>1</v>
      </c>
      <c r="D16" s="66">
        <f>IFERROR(__xludf.DUMMYFUNCTION("""COMPUTED_VALUE"""),2013.0)</f>
        <v>2013</v>
      </c>
      <c r="E16" s="66" t="str">
        <f>IFERROR(__xludf.DUMMYFUNCTION("""COMPUTED_VALUE"""),"Trinite Estate")</f>
        <v>Trinite Estate</v>
      </c>
      <c r="F16" s="66" t="str">
        <f>IFERROR(__xludf.DUMMYFUNCTION("""COMPUTED_VALUE"""),"Acaibo")</f>
        <v>Acaibo</v>
      </c>
      <c r="G16" s="66" t="str">
        <f>IFERROR(__xludf.DUMMYFUNCTION("""COMPUTED_VALUE"""),"Bordeaux Blend - Left Bank")</f>
        <v>Bordeaux Blend - Left Bank</v>
      </c>
      <c r="H16" s="66" t="str">
        <f>IFERROR(__xludf.DUMMYFUNCTION("""COMPUTED_VALUE"""),"USA")</f>
        <v>USA</v>
      </c>
      <c r="I16" s="66" t="str">
        <f>IFERROR(__xludf.DUMMYFUNCTION("""COMPUTED_VALUE"""),"CA")</f>
        <v>CA</v>
      </c>
      <c r="J16" s="66" t="str">
        <f>IFERROR(__xludf.DUMMYFUNCTION("""COMPUTED_VALUE"""),"Northern CA")</f>
        <v>Northern CA</v>
      </c>
      <c r="K16" s="66" t="str">
        <f>IFERROR(__xludf.DUMMYFUNCTION("""COMPUTED_VALUE"""),"Napa Valley")</f>
        <v>Napa Valley</v>
      </c>
      <c r="L16" s="66"/>
      <c r="M16" s="66"/>
      <c r="N16" s="70">
        <f>IFERROR(__xludf.DUMMYFUNCTION("""COMPUTED_VALUE"""),75.0)</f>
        <v>75</v>
      </c>
      <c r="O16" s="66">
        <f>IFERROR(__xludf.DUMMYFUNCTION("""COMPUTED_VALUE"""),750.0)</f>
        <v>750</v>
      </c>
      <c r="P16" s="66" t="str">
        <f>IFERROR(__xludf.DUMMYFUNCTION("""COMPUTED_VALUE"""),"Short")</f>
        <v>Short</v>
      </c>
      <c r="Q16" s="66" t="str">
        <f>IFERROR(__xludf.DUMMYFUNCTION("""COMPUTED_VALUE"""),"S2")</f>
        <v>S2</v>
      </c>
      <c r="R16" s="66"/>
      <c r="S16" s="66" t="b">
        <f>IFERROR(__xludf.DUMMYFUNCTION("""COMPUTED_VALUE"""),TRUE)</f>
        <v>1</v>
      </c>
      <c r="T16" s="66" t="b">
        <f>IFERROR(__xludf.DUMMYFUNCTION("""COMPUTED_VALUE"""),TRUE)</f>
        <v>1</v>
      </c>
      <c r="U16" s="66" t="b">
        <f>IFERROR(__xludf.DUMMYFUNCTION("""COMPUTED_VALUE"""),FALSE)</f>
        <v>0</v>
      </c>
      <c r="V16" s="66" t="b">
        <f>IFERROR(__xludf.DUMMYFUNCTION("""COMPUTED_VALUE"""),FALSE)</f>
        <v>0</v>
      </c>
      <c r="W16" s="66" t="b">
        <f>IFERROR(__xludf.DUMMYFUNCTION("""COMPUTED_VALUE"""),FALSE)</f>
        <v>0</v>
      </c>
    </row>
    <row r="17">
      <c r="A17" s="66" t="str">
        <f>IFERROR(__xludf.DUMMYFUNCTION("""COMPUTED_VALUE"""),"R")</f>
        <v>R</v>
      </c>
      <c r="B17" s="66" t="str">
        <f>IFERROR(__xludf.DUMMYFUNCTION("""COMPUTED_VALUE"""),"Red")</f>
        <v>Red</v>
      </c>
      <c r="C17" s="66">
        <f>IFERROR(__xludf.DUMMYFUNCTION("""COMPUTED_VALUE"""),1.0)</f>
        <v>1</v>
      </c>
      <c r="D17" s="66">
        <f>IFERROR(__xludf.DUMMYFUNCTION("""COMPUTED_VALUE"""),2015.0)</f>
        <v>2015</v>
      </c>
      <c r="E17" s="66" t="str">
        <f>IFERROR(__xludf.DUMMYFUNCTION("""COMPUTED_VALUE"""),"Joseph Phelps Winery")</f>
        <v>Joseph Phelps Winery</v>
      </c>
      <c r="F17" s="66" t="str">
        <f>IFERROR(__xludf.DUMMYFUNCTION("""COMPUTED_VALUE"""),"Napa Valley Cabernet")</f>
        <v>Napa Valley Cabernet</v>
      </c>
      <c r="G17" s="66" t="str">
        <f>IFERROR(__xludf.DUMMYFUNCTION("""COMPUTED_VALUE"""),"Cabernet Sauvignon")</f>
        <v>Cabernet Sauvignon</v>
      </c>
      <c r="H17" s="66" t="str">
        <f>IFERROR(__xludf.DUMMYFUNCTION("""COMPUTED_VALUE"""),"USA")</f>
        <v>USA</v>
      </c>
      <c r="I17" s="66" t="str">
        <f>IFERROR(__xludf.DUMMYFUNCTION("""COMPUTED_VALUE"""),"CA")</f>
        <v>CA</v>
      </c>
      <c r="J17" s="66" t="str">
        <f>IFERROR(__xludf.DUMMYFUNCTION("""COMPUTED_VALUE"""),"Northern CA")</f>
        <v>Northern CA</v>
      </c>
      <c r="K17" s="66" t="str">
        <f>IFERROR(__xludf.DUMMYFUNCTION("""COMPUTED_VALUE"""),"Napa Valley")</f>
        <v>Napa Valley</v>
      </c>
      <c r="L17" s="66"/>
      <c r="M17" s="66"/>
      <c r="N17" s="70">
        <f>IFERROR(__xludf.DUMMYFUNCTION("""COMPUTED_VALUE"""),80.0)</f>
        <v>80</v>
      </c>
      <c r="O17" s="66">
        <f>IFERROR(__xludf.DUMMYFUNCTION("""COMPUTED_VALUE"""),750.0)</f>
        <v>750</v>
      </c>
      <c r="P17" s="66" t="str">
        <f>IFERROR(__xludf.DUMMYFUNCTION("""COMPUTED_VALUE"""),"Short")</f>
        <v>Short</v>
      </c>
      <c r="Q17" s="66" t="str">
        <f>IFERROR(__xludf.DUMMYFUNCTION("""COMPUTED_VALUE"""),"S2")</f>
        <v>S2</v>
      </c>
      <c r="R17" s="66"/>
      <c r="S17" s="66" t="b">
        <f>IFERROR(__xludf.DUMMYFUNCTION("""COMPUTED_VALUE"""),TRUE)</f>
        <v>1</v>
      </c>
      <c r="T17" s="66" t="b">
        <f>IFERROR(__xludf.DUMMYFUNCTION("""COMPUTED_VALUE"""),TRUE)</f>
        <v>1</v>
      </c>
      <c r="U17" s="66" t="b">
        <f>IFERROR(__xludf.DUMMYFUNCTION("""COMPUTED_VALUE"""),FALSE)</f>
        <v>0</v>
      </c>
      <c r="V17" s="66" t="b">
        <f>IFERROR(__xludf.DUMMYFUNCTION("""COMPUTED_VALUE"""),FALSE)</f>
        <v>0</v>
      </c>
      <c r="W17" s="66" t="b">
        <f>IFERROR(__xludf.DUMMYFUNCTION("""COMPUTED_VALUE"""),TRUE)</f>
        <v>1</v>
      </c>
    </row>
    <row r="18">
      <c r="A18" s="66" t="str">
        <f>IFERROR(__xludf.DUMMYFUNCTION("""COMPUTED_VALUE"""),"R")</f>
        <v>R</v>
      </c>
      <c r="B18" s="66" t="str">
        <f>IFERROR(__xludf.DUMMYFUNCTION("""COMPUTED_VALUE"""),"Red")</f>
        <v>Red</v>
      </c>
      <c r="C18" s="66">
        <f>IFERROR(__xludf.DUMMYFUNCTION("""COMPUTED_VALUE"""),1.0)</f>
        <v>1</v>
      </c>
      <c r="D18" s="66">
        <f>IFERROR(__xludf.DUMMYFUNCTION("""COMPUTED_VALUE"""),2015.0)</f>
        <v>2015</v>
      </c>
      <c r="E18" s="66" t="str">
        <f>IFERROR(__xludf.DUMMYFUNCTION("""COMPUTED_VALUE"""),"Goldeneye Winery")</f>
        <v>Goldeneye Winery</v>
      </c>
      <c r="F18" s="66" t="str">
        <f>IFERROR(__xludf.DUMMYFUNCTION("""COMPUTED_VALUE"""),"Confluence Vineyard")</f>
        <v>Confluence Vineyard</v>
      </c>
      <c r="G18" s="66" t="str">
        <f>IFERROR(__xludf.DUMMYFUNCTION("""COMPUTED_VALUE"""),"Pinot Noir")</f>
        <v>Pinot Noir</v>
      </c>
      <c r="H18" s="66" t="str">
        <f>IFERROR(__xludf.DUMMYFUNCTION("""COMPUTED_VALUE"""),"USA")</f>
        <v>USA</v>
      </c>
      <c r="I18" s="66" t="str">
        <f>IFERROR(__xludf.DUMMYFUNCTION("""COMPUTED_VALUE"""),"CA")</f>
        <v>CA</v>
      </c>
      <c r="J18" s="66" t="str">
        <f>IFERROR(__xludf.DUMMYFUNCTION("""COMPUTED_VALUE"""),"Northern CA")</f>
        <v>Northern CA</v>
      </c>
      <c r="K18" s="66" t="str">
        <f>IFERROR(__xludf.DUMMYFUNCTION("""COMPUTED_VALUE"""),"Sonoma Coast")</f>
        <v>Sonoma Coast</v>
      </c>
      <c r="L18" s="66"/>
      <c r="M18" s="66" t="str">
        <f>IFERROR(__xludf.DUMMYFUNCTION("""COMPUTED_VALUE"""),"Confluence Vineyad")</f>
        <v>Confluence Vineyad</v>
      </c>
      <c r="N18" s="70">
        <f>IFERROR(__xludf.DUMMYFUNCTION("""COMPUTED_VALUE"""),86.0)</f>
        <v>86</v>
      </c>
      <c r="O18" s="66">
        <f>IFERROR(__xludf.DUMMYFUNCTION("""COMPUTED_VALUE"""),750.0)</f>
        <v>750</v>
      </c>
      <c r="P18" s="66" t="str">
        <f>IFERROR(__xludf.DUMMYFUNCTION("""COMPUTED_VALUE"""),"Short")</f>
        <v>Short</v>
      </c>
      <c r="Q18" s="66" t="str">
        <f>IFERROR(__xludf.DUMMYFUNCTION("""COMPUTED_VALUE"""),"S1")</f>
        <v>S1</v>
      </c>
      <c r="R18" s="66"/>
      <c r="S18" s="66" t="b">
        <f>IFERROR(__xludf.DUMMYFUNCTION("""COMPUTED_VALUE"""),TRUE)</f>
        <v>1</v>
      </c>
      <c r="T18" s="66" t="b">
        <f>IFERROR(__xludf.DUMMYFUNCTION("""COMPUTED_VALUE"""),FALSE)</f>
        <v>0</v>
      </c>
      <c r="U18" s="66" t="b">
        <f>IFERROR(__xludf.DUMMYFUNCTION("""COMPUTED_VALUE"""),TRUE)</f>
        <v>1</v>
      </c>
      <c r="V18" s="66" t="b">
        <f>IFERROR(__xludf.DUMMYFUNCTION("""COMPUTED_VALUE"""),TRUE)</f>
        <v>1</v>
      </c>
      <c r="W18" s="66" t="b">
        <f>IFERROR(__xludf.DUMMYFUNCTION("""COMPUTED_VALUE"""),TRUE)</f>
        <v>1</v>
      </c>
    </row>
    <row r="19">
      <c r="A19" s="66" t="str">
        <f>IFERROR(__xludf.DUMMYFUNCTION("""COMPUTED_VALUE"""),"R")</f>
        <v>R</v>
      </c>
      <c r="B19" s="66" t="str">
        <f>IFERROR(__xludf.DUMMYFUNCTION("""COMPUTED_VALUE"""),"Red")</f>
        <v>Red</v>
      </c>
      <c r="C19" s="66">
        <f>IFERROR(__xludf.DUMMYFUNCTION("""COMPUTED_VALUE"""),1.0)</f>
        <v>1</v>
      </c>
      <c r="D19" s="66">
        <f>IFERROR(__xludf.DUMMYFUNCTION("""COMPUTED_VALUE"""),2014.0)</f>
        <v>2014</v>
      </c>
      <c r="E19" s="66" t="str">
        <f>IFERROR(__xludf.DUMMYFUNCTION("""COMPUTED_VALUE"""),"Hall Wines")</f>
        <v>Hall Wines</v>
      </c>
      <c r="F19" s="66" t="str">
        <f>IFERROR(__xludf.DUMMYFUNCTION("""COMPUTED_VALUE"""),"Ellie's")</f>
        <v>Ellie's</v>
      </c>
      <c r="G19" s="66" t="str">
        <f>IFERROR(__xludf.DUMMYFUNCTION("""COMPUTED_VALUE"""),"Cabernet Sauvignon")</f>
        <v>Cabernet Sauvignon</v>
      </c>
      <c r="H19" s="66" t="str">
        <f>IFERROR(__xludf.DUMMYFUNCTION("""COMPUTED_VALUE"""),"USA")</f>
        <v>USA</v>
      </c>
      <c r="I19" s="66" t="str">
        <f>IFERROR(__xludf.DUMMYFUNCTION("""COMPUTED_VALUE"""),"CA")</f>
        <v>CA</v>
      </c>
      <c r="J19" s="66" t="str">
        <f>IFERROR(__xludf.DUMMYFUNCTION("""COMPUTED_VALUE"""),"Northern CA")</f>
        <v>Northern CA</v>
      </c>
      <c r="K19" s="66" t="str">
        <f>IFERROR(__xludf.DUMMYFUNCTION("""COMPUTED_VALUE"""),"Napa Valley")</f>
        <v>Napa Valley</v>
      </c>
      <c r="L19" s="66" t="str">
        <f>IFERROR(__xludf.DUMMYFUNCTION("""COMPUTED_VALUE"""),"-")</f>
        <v>-</v>
      </c>
      <c r="M19" s="66"/>
      <c r="N19" s="70">
        <f>IFERROR(__xludf.DUMMYFUNCTION("""COMPUTED_VALUE"""),80.0)</f>
        <v>80</v>
      </c>
      <c r="O19" s="66">
        <f>IFERROR(__xludf.DUMMYFUNCTION("""COMPUTED_VALUE"""),750.0)</f>
        <v>750</v>
      </c>
      <c r="P19" s="66" t="str">
        <f>IFERROR(__xludf.DUMMYFUNCTION("""COMPUTED_VALUE"""),"Short")</f>
        <v>Short</v>
      </c>
      <c r="Q19" s="66" t="str">
        <f>IFERROR(__xludf.DUMMYFUNCTION("""COMPUTED_VALUE"""),"S2")</f>
        <v>S2</v>
      </c>
      <c r="R19" s="66"/>
      <c r="S19" s="66" t="b">
        <f>IFERROR(__xludf.DUMMYFUNCTION("""COMPUTED_VALUE"""),TRUE)</f>
        <v>1</v>
      </c>
      <c r="T19" s="66" t="b">
        <f>IFERROR(__xludf.DUMMYFUNCTION("""COMPUTED_VALUE"""),TRUE)</f>
        <v>1</v>
      </c>
      <c r="U19" s="66" t="b">
        <f>IFERROR(__xludf.DUMMYFUNCTION("""COMPUTED_VALUE"""),FALSE)</f>
        <v>0</v>
      </c>
      <c r="V19" s="66" t="b">
        <f>IFERROR(__xludf.DUMMYFUNCTION("""COMPUTED_VALUE"""),FALSE)</f>
        <v>0</v>
      </c>
      <c r="W19" s="66" t="b">
        <f>IFERROR(__xludf.DUMMYFUNCTION("""COMPUTED_VALUE"""),FALSE)</f>
        <v>0</v>
      </c>
    </row>
    <row r="20">
      <c r="A20" s="66" t="str">
        <f>IFERROR(__xludf.DUMMYFUNCTION("""COMPUTED_VALUE"""),"R")</f>
        <v>R</v>
      </c>
      <c r="B20" s="66" t="str">
        <f>IFERROR(__xludf.DUMMYFUNCTION("""COMPUTED_VALUE"""),"Red")</f>
        <v>Red</v>
      </c>
      <c r="C20" s="66">
        <f>IFERROR(__xludf.DUMMYFUNCTION("""COMPUTED_VALUE"""),1.0)</f>
        <v>1</v>
      </c>
      <c r="D20" s="66">
        <f>IFERROR(__xludf.DUMMYFUNCTION("""COMPUTED_VALUE"""),2014.0)</f>
        <v>2014</v>
      </c>
      <c r="E20" s="66" t="str">
        <f>IFERROR(__xludf.DUMMYFUNCTION("""COMPUTED_VALUE"""),"Silverado")</f>
        <v>Silverado</v>
      </c>
      <c r="F20" s="66" t="str">
        <f>IFERROR(__xludf.DUMMYFUNCTION("""COMPUTED_VALUE"""),"Geo")</f>
        <v>Geo</v>
      </c>
      <c r="G20" s="66" t="str">
        <f>IFERROR(__xludf.DUMMYFUNCTION("""COMPUTED_VALUE"""),"Cabernet Sauvignon")</f>
        <v>Cabernet Sauvignon</v>
      </c>
      <c r="H20" s="66" t="str">
        <f>IFERROR(__xludf.DUMMYFUNCTION("""COMPUTED_VALUE"""),"USA")</f>
        <v>USA</v>
      </c>
      <c r="I20" s="66" t="str">
        <f>IFERROR(__xludf.DUMMYFUNCTION("""COMPUTED_VALUE"""),"CA")</f>
        <v>CA</v>
      </c>
      <c r="J20" s="66" t="str">
        <f>IFERROR(__xludf.DUMMYFUNCTION("""COMPUTED_VALUE"""),"Northern CA")</f>
        <v>Northern CA</v>
      </c>
      <c r="K20" s="66" t="str">
        <f>IFERROR(__xludf.DUMMYFUNCTION("""COMPUTED_VALUE"""),"Napa Valley")</f>
        <v>Napa Valley</v>
      </c>
      <c r="L20" s="66" t="str">
        <f>IFERROR(__xludf.DUMMYFUNCTION("""COMPUTED_VALUE"""),"Coombsville")</f>
        <v>Coombsville</v>
      </c>
      <c r="M20" s="66"/>
      <c r="N20" s="70">
        <f>IFERROR(__xludf.DUMMYFUNCTION("""COMPUTED_VALUE"""),100.0)</f>
        <v>100</v>
      </c>
      <c r="O20" s="66">
        <f>IFERROR(__xludf.DUMMYFUNCTION("""COMPUTED_VALUE"""),750.0)</f>
        <v>750</v>
      </c>
      <c r="P20" s="66" t="str">
        <f>IFERROR(__xludf.DUMMYFUNCTION("""COMPUTED_VALUE"""),"Short")</f>
        <v>Short</v>
      </c>
      <c r="Q20" s="66" t="str">
        <f>IFERROR(__xludf.DUMMYFUNCTION("""COMPUTED_VALUE"""),"S2")</f>
        <v>S2</v>
      </c>
      <c r="R20" s="66"/>
      <c r="S20" s="66" t="b">
        <f>IFERROR(__xludf.DUMMYFUNCTION("""COMPUTED_VALUE"""),TRUE)</f>
        <v>1</v>
      </c>
      <c r="T20" s="66" t="b">
        <f>IFERROR(__xludf.DUMMYFUNCTION("""COMPUTED_VALUE"""),TRUE)</f>
        <v>1</v>
      </c>
      <c r="U20" s="66" t="b">
        <f>IFERROR(__xludf.DUMMYFUNCTION("""COMPUTED_VALUE"""),FALSE)</f>
        <v>0</v>
      </c>
      <c r="V20" s="66" t="b">
        <f>IFERROR(__xludf.DUMMYFUNCTION("""COMPUTED_VALUE"""),FALSE)</f>
        <v>0</v>
      </c>
      <c r="W20" s="66" t="b">
        <f>IFERROR(__xludf.DUMMYFUNCTION("""COMPUTED_VALUE"""),FALSE)</f>
        <v>0</v>
      </c>
    </row>
    <row r="21">
      <c r="A21" s="66" t="str">
        <f>IFERROR(__xludf.DUMMYFUNCTION("""COMPUTED_VALUE"""),"R")</f>
        <v>R</v>
      </c>
      <c r="B21" s="66" t="str">
        <f>IFERROR(__xludf.DUMMYFUNCTION("""COMPUTED_VALUE"""),"Red")</f>
        <v>Red</v>
      </c>
      <c r="C21" s="66">
        <f>IFERROR(__xludf.DUMMYFUNCTION("""COMPUTED_VALUE"""),1.0)</f>
        <v>1</v>
      </c>
      <c r="D21" s="66">
        <f>IFERROR(__xludf.DUMMYFUNCTION("""COMPUTED_VALUE"""),2015.0)</f>
        <v>2015</v>
      </c>
      <c r="E21" s="66" t="str">
        <f>IFERROR(__xludf.DUMMYFUNCTION("""COMPUTED_VALUE"""),"Sterling Vineyards")</f>
        <v>Sterling Vineyards</v>
      </c>
      <c r="F21" s="66" t="str">
        <f>IFERROR(__xludf.DUMMYFUNCTION("""COMPUTED_VALUE"""),"RRV Pinot Noir")</f>
        <v>RRV Pinot Noir</v>
      </c>
      <c r="G21" s="66" t="str">
        <f>IFERROR(__xludf.DUMMYFUNCTION("""COMPUTED_VALUE"""),"Pinot Noir")</f>
        <v>Pinot Noir</v>
      </c>
      <c r="H21" s="66" t="str">
        <f>IFERROR(__xludf.DUMMYFUNCTION("""COMPUTED_VALUE"""),"USA")</f>
        <v>USA</v>
      </c>
      <c r="I21" s="66" t="str">
        <f>IFERROR(__xludf.DUMMYFUNCTION("""COMPUTED_VALUE"""),"CA")</f>
        <v>CA</v>
      </c>
      <c r="J21" s="66" t="str">
        <f>IFERROR(__xludf.DUMMYFUNCTION("""COMPUTED_VALUE"""),"Northern CA")</f>
        <v>Northern CA</v>
      </c>
      <c r="K21" s="66" t="str">
        <f>IFERROR(__xludf.DUMMYFUNCTION("""COMPUTED_VALUE"""),"Sonoma County")</f>
        <v>Sonoma County</v>
      </c>
      <c r="L21" s="66" t="str">
        <f>IFERROR(__xludf.DUMMYFUNCTION("""COMPUTED_VALUE"""),"Russivan River Valley")</f>
        <v>Russivan River Valley</v>
      </c>
      <c r="M21" s="66"/>
      <c r="N21" s="70">
        <f>IFERROR(__xludf.DUMMYFUNCTION("""COMPUTED_VALUE"""),60.0)</f>
        <v>60</v>
      </c>
      <c r="O21" s="66">
        <f>IFERROR(__xludf.DUMMYFUNCTION("""COMPUTED_VALUE"""),750.0)</f>
        <v>750</v>
      </c>
      <c r="P21" s="66" t="str">
        <f>IFERROR(__xludf.DUMMYFUNCTION("""COMPUTED_VALUE"""),"Short")</f>
        <v>Short</v>
      </c>
      <c r="Q21" s="66" t="str">
        <f>IFERROR(__xludf.DUMMYFUNCTION("""COMPUTED_VALUE"""),"S1")</f>
        <v>S1</v>
      </c>
      <c r="R21" s="66"/>
      <c r="S21" s="66" t="b">
        <f>IFERROR(__xludf.DUMMYFUNCTION("""COMPUTED_VALUE"""),TRUE)</f>
        <v>1</v>
      </c>
      <c r="T21" s="66" t="b">
        <f>IFERROR(__xludf.DUMMYFUNCTION("""COMPUTED_VALUE"""),TRUE)</f>
        <v>1</v>
      </c>
      <c r="U21" s="66" t="b">
        <f>IFERROR(__xludf.DUMMYFUNCTION("""COMPUTED_VALUE"""),FALSE)</f>
        <v>0</v>
      </c>
      <c r="V21" s="66" t="b">
        <f>IFERROR(__xludf.DUMMYFUNCTION("""COMPUTED_VALUE"""),FALSE)</f>
        <v>0</v>
      </c>
      <c r="W21" s="66" t="b">
        <f>IFERROR(__xludf.DUMMYFUNCTION("""COMPUTED_VALUE"""),FALSE)</f>
        <v>0</v>
      </c>
    </row>
    <row r="22">
      <c r="A22" s="66" t="str">
        <f>IFERROR(__xludf.DUMMYFUNCTION("""COMPUTED_VALUE"""),"R")</f>
        <v>R</v>
      </c>
      <c r="B22" s="66" t="str">
        <f>IFERROR(__xludf.DUMMYFUNCTION("""COMPUTED_VALUE"""),"Red")</f>
        <v>Red</v>
      </c>
      <c r="C22" s="66">
        <f>IFERROR(__xludf.DUMMYFUNCTION("""COMPUTED_VALUE"""),2.0)</f>
        <v>2</v>
      </c>
      <c r="D22" s="66">
        <f>IFERROR(__xludf.DUMMYFUNCTION("""COMPUTED_VALUE"""),2016.0)</f>
        <v>2016</v>
      </c>
      <c r="E22" s="66" t="str">
        <f>IFERROR(__xludf.DUMMYFUNCTION("""COMPUTED_VALUE"""),"Big Basin Vineyards")</f>
        <v>Big Basin Vineyards</v>
      </c>
      <c r="F22" s="66" t="str">
        <f>IFERROR(__xludf.DUMMYFUNCTION("""COMPUTED_VALUE"""),"Homestead")</f>
        <v>Homestead</v>
      </c>
      <c r="G22" s="66" t="str">
        <f>IFERROR(__xludf.DUMMYFUNCTION("""COMPUTED_VALUE"""),"Rhone Blend")</f>
        <v>Rhone Blend</v>
      </c>
      <c r="H22" s="66" t="str">
        <f>IFERROR(__xludf.DUMMYFUNCTION("""COMPUTED_VALUE"""),"USA")</f>
        <v>USA</v>
      </c>
      <c r="I22" s="66" t="str">
        <f>IFERROR(__xludf.DUMMYFUNCTION("""COMPUTED_VALUE"""),"CA")</f>
        <v>CA</v>
      </c>
      <c r="J22" s="66" t="str">
        <f>IFERROR(__xludf.DUMMYFUNCTION("""COMPUTED_VALUE"""),"Northern CA")</f>
        <v>Northern CA</v>
      </c>
      <c r="K22" s="66" t="str">
        <f>IFERROR(__xludf.DUMMYFUNCTION("""COMPUTED_VALUE"""),"Central Coast")</f>
        <v>Central Coast</v>
      </c>
      <c r="L22" s="66"/>
      <c r="M22" s="66"/>
      <c r="N22" s="70">
        <f>IFERROR(__xludf.DUMMYFUNCTION("""COMPUTED_VALUE"""),25.0)</f>
        <v>25</v>
      </c>
      <c r="O22" s="66">
        <f>IFERROR(__xludf.DUMMYFUNCTION("""COMPUTED_VALUE"""),750.0)</f>
        <v>750</v>
      </c>
      <c r="P22" s="66" t="str">
        <f>IFERROR(__xludf.DUMMYFUNCTION("""COMPUTED_VALUE"""),"Short")</f>
        <v>Short</v>
      </c>
      <c r="Q22" s="66" t="str">
        <f>IFERROR(__xludf.DUMMYFUNCTION("""COMPUTED_VALUE"""),"Domaine Leflaive OWC ")</f>
        <v>Domaine Leflaive OWC </v>
      </c>
      <c r="R22" s="66"/>
      <c r="S22" s="66" t="b">
        <f>IFERROR(__xludf.DUMMYFUNCTION("""COMPUTED_VALUE"""),TRUE)</f>
        <v>1</v>
      </c>
      <c r="T22" s="66" t="b">
        <f>IFERROR(__xludf.DUMMYFUNCTION("""COMPUTED_VALUE"""),FALSE)</f>
        <v>0</v>
      </c>
      <c r="U22" s="66" t="b">
        <f>IFERROR(__xludf.DUMMYFUNCTION("""COMPUTED_VALUE"""),FALSE)</f>
        <v>0</v>
      </c>
      <c r="V22" s="66" t="b">
        <f>IFERROR(__xludf.DUMMYFUNCTION("""COMPUTED_VALUE"""),TRUE)</f>
        <v>1</v>
      </c>
      <c r="W22" s="66" t="b">
        <f>IFERROR(__xludf.DUMMYFUNCTION("""COMPUTED_VALUE"""),TRUE)</f>
        <v>1</v>
      </c>
    </row>
    <row r="23">
      <c r="A23" s="66" t="str">
        <f>IFERROR(__xludf.DUMMYFUNCTION("""COMPUTED_VALUE"""),"R")</f>
        <v>R</v>
      </c>
      <c r="B23" s="66" t="str">
        <f>IFERROR(__xludf.DUMMYFUNCTION("""COMPUTED_VALUE"""),"Red")</f>
        <v>Red</v>
      </c>
      <c r="C23" s="66">
        <f>IFERROR(__xludf.DUMMYFUNCTION("""COMPUTED_VALUE"""),1.0)</f>
        <v>1</v>
      </c>
      <c r="D23" s="66">
        <f>IFERROR(__xludf.DUMMYFUNCTION("""COMPUTED_VALUE"""),2015.0)</f>
        <v>2015</v>
      </c>
      <c r="E23" s="66" t="str">
        <f>IFERROR(__xludf.DUMMYFUNCTION("""COMPUTED_VALUE"""),"Silverado Vineyards")</f>
        <v>Silverado Vineyards</v>
      </c>
      <c r="F23" s="66" t="str">
        <f>IFERROR(__xludf.DUMMYFUNCTION("""COMPUTED_VALUE"""),"Estate Grown Cab Sauv")</f>
        <v>Estate Grown Cab Sauv</v>
      </c>
      <c r="G23" s="66" t="str">
        <f>IFERROR(__xludf.DUMMYFUNCTION("""COMPUTED_VALUE"""),"Cabernet Sauvignon")</f>
        <v>Cabernet Sauvignon</v>
      </c>
      <c r="H23" s="66" t="str">
        <f>IFERROR(__xludf.DUMMYFUNCTION("""COMPUTED_VALUE"""),"USA")</f>
        <v>USA</v>
      </c>
      <c r="I23" s="66" t="str">
        <f>IFERROR(__xludf.DUMMYFUNCTION("""COMPUTED_VALUE"""),"CA")</f>
        <v>CA</v>
      </c>
      <c r="J23" s="66" t="str">
        <f>IFERROR(__xludf.DUMMYFUNCTION("""COMPUTED_VALUE"""),"Northern CA")</f>
        <v>Northern CA</v>
      </c>
      <c r="K23" s="66" t="str">
        <f>IFERROR(__xludf.DUMMYFUNCTION("""COMPUTED_VALUE"""),"Napa Valley")</f>
        <v>Napa Valley</v>
      </c>
      <c r="L23" s="66" t="str">
        <f>IFERROR(__xludf.DUMMYFUNCTION("""COMPUTED_VALUE"""),"-")</f>
        <v>-</v>
      </c>
      <c r="M23" s="66"/>
      <c r="N23" s="70">
        <f>IFERROR(__xludf.DUMMYFUNCTION("""COMPUTED_VALUE"""),55.0)</f>
        <v>55</v>
      </c>
      <c r="O23" s="66">
        <f>IFERROR(__xludf.DUMMYFUNCTION("""COMPUTED_VALUE"""),750.0)</f>
        <v>750</v>
      </c>
      <c r="P23" s="66" t="str">
        <f>IFERROR(__xludf.DUMMYFUNCTION("""COMPUTED_VALUE"""),"Short")</f>
        <v>Short</v>
      </c>
      <c r="Q23" s="66" t="str">
        <f>IFERROR(__xludf.DUMMYFUNCTION("""COMPUTED_VALUE"""),"M/S2")</f>
        <v>M/S2</v>
      </c>
      <c r="R23" s="66"/>
      <c r="S23" s="66" t="b">
        <f>IFERROR(__xludf.DUMMYFUNCTION("""COMPUTED_VALUE"""),TRUE)</f>
        <v>1</v>
      </c>
      <c r="T23" s="66" t="b">
        <f>IFERROR(__xludf.DUMMYFUNCTION("""COMPUTED_VALUE"""),TRUE)</f>
        <v>1</v>
      </c>
      <c r="U23" s="66" t="b">
        <f>IFERROR(__xludf.DUMMYFUNCTION("""COMPUTED_VALUE"""),FALSE)</f>
        <v>0</v>
      </c>
      <c r="V23" s="66" t="b">
        <f>IFERROR(__xludf.DUMMYFUNCTION("""COMPUTED_VALUE"""),FALSE)</f>
        <v>0</v>
      </c>
      <c r="W23" s="66" t="b">
        <f>IFERROR(__xludf.DUMMYFUNCTION("""COMPUTED_VALUE"""),TRUE)</f>
        <v>1</v>
      </c>
    </row>
    <row r="24">
      <c r="A24" s="66" t="str">
        <f>IFERROR(__xludf.DUMMYFUNCTION("""COMPUTED_VALUE"""),"R")</f>
        <v>R</v>
      </c>
      <c r="B24" s="66" t="str">
        <f>IFERROR(__xludf.DUMMYFUNCTION("""COMPUTED_VALUE"""),"Red")</f>
        <v>Red</v>
      </c>
      <c r="C24" s="66">
        <f>IFERROR(__xludf.DUMMYFUNCTION("""COMPUTED_VALUE"""),1.0)</f>
        <v>1</v>
      </c>
      <c r="D24" s="66">
        <f>IFERROR(__xludf.DUMMYFUNCTION("""COMPUTED_VALUE"""),2016.0)</f>
        <v>2016</v>
      </c>
      <c r="E24" s="66" t="str">
        <f>IFERROR(__xludf.DUMMYFUNCTION("""COMPUTED_VALUE"""),"Domaine Carneros")</f>
        <v>Domaine Carneros</v>
      </c>
      <c r="F24" s="66" t="str">
        <f>IFERROR(__xludf.DUMMYFUNCTION("""COMPUTED_VALUE"""),"Famous Gate")</f>
        <v>Famous Gate</v>
      </c>
      <c r="G24" s="66" t="str">
        <f>IFERROR(__xludf.DUMMYFUNCTION("""COMPUTED_VALUE"""),"Pinot Noir")</f>
        <v>Pinot Noir</v>
      </c>
      <c r="H24" s="66" t="str">
        <f>IFERROR(__xludf.DUMMYFUNCTION("""COMPUTED_VALUE"""),"USA")</f>
        <v>USA</v>
      </c>
      <c r="I24" s="66" t="str">
        <f>IFERROR(__xludf.DUMMYFUNCTION("""COMPUTED_VALUE"""),"CA")</f>
        <v>CA</v>
      </c>
      <c r="J24" s="66" t="str">
        <f>IFERROR(__xludf.DUMMYFUNCTION("""COMPUTED_VALUE"""),"Northern CA")</f>
        <v>Northern CA</v>
      </c>
      <c r="K24" s="66"/>
      <c r="L24" s="66"/>
      <c r="M24" s="66"/>
      <c r="N24" s="70">
        <f>IFERROR(__xludf.DUMMYFUNCTION("""COMPUTED_VALUE"""),85.0)</f>
        <v>85</v>
      </c>
      <c r="O24" s="66">
        <f>IFERROR(__xludf.DUMMYFUNCTION("""COMPUTED_VALUE"""),750.0)</f>
        <v>750</v>
      </c>
      <c r="P24" s="66" t="str">
        <f>IFERROR(__xludf.DUMMYFUNCTION("""COMPUTED_VALUE"""),"Short")</f>
        <v>Short</v>
      </c>
      <c r="Q24" s="66" t="str">
        <f>IFERROR(__xludf.DUMMYFUNCTION("""COMPUTED_VALUE"""),"S1")</f>
        <v>S1</v>
      </c>
      <c r="R24" s="66"/>
      <c r="S24" s="66" t="b">
        <f>IFERROR(__xludf.DUMMYFUNCTION("""COMPUTED_VALUE"""),TRUE)</f>
        <v>1</v>
      </c>
      <c r="T24" s="66" t="b">
        <f>IFERROR(__xludf.DUMMYFUNCTION("""COMPUTED_VALUE"""),FALSE)</f>
        <v>0</v>
      </c>
      <c r="U24" s="66" t="b">
        <f>IFERROR(__xludf.DUMMYFUNCTION("""COMPUTED_VALUE"""),FALSE)</f>
        <v>0</v>
      </c>
      <c r="V24" s="66" t="b">
        <f>IFERROR(__xludf.DUMMYFUNCTION("""COMPUTED_VALUE"""),FALSE)</f>
        <v>0</v>
      </c>
      <c r="W24" s="66" t="b">
        <f>IFERROR(__xludf.DUMMYFUNCTION("""COMPUTED_VALUE"""),FALSE)</f>
        <v>0</v>
      </c>
    </row>
    <row r="25">
      <c r="A25" s="66" t="str">
        <f>IFERROR(__xludf.DUMMYFUNCTION("""COMPUTED_VALUE"""),"R")</f>
        <v>R</v>
      </c>
      <c r="B25" s="66" t="str">
        <f>IFERROR(__xludf.DUMMYFUNCTION("""COMPUTED_VALUE"""),"Red")</f>
        <v>Red</v>
      </c>
      <c r="C25" s="66">
        <f>IFERROR(__xludf.DUMMYFUNCTION("""COMPUTED_VALUE"""),1.0)</f>
        <v>1</v>
      </c>
      <c r="D25" s="66">
        <f>IFERROR(__xludf.DUMMYFUNCTION("""COMPUTED_VALUE"""),2016.0)</f>
        <v>2016</v>
      </c>
      <c r="E25" s="66" t="str">
        <f>IFERROR(__xludf.DUMMYFUNCTION("""COMPUTED_VALUE"""),"Dowsett Family Wines")</f>
        <v>Dowsett Family Wines</v>
      </c>
      <c r="F25" s="66" t="str">
        <f>IFERROR(__xludf.DUMMYFUNCTION("""COMPUTED_VALUE"""),"Becklin Vineyards Pinot Noir")</f>
        <v>Becklin Vineyards Pinot Noir</v>
      </c>
      <c r="G25" s="66" t="str">
        <f>IFERROR(__xludf.DUMMYFUNCTION("""COMPUTED_VALUE"""),"Pinot Noir")</f>
        <v>Pinot Noir</v>
      </c>
      <c r="H25" s="66" t="str">
        <f>IFERROR(__xludf.DUMMYFUNCTION("""COMPUTED_VALUE"""),"USA")</f>
        <v>USA</v>
      </c>
      <c r="I25" s="66" t="str">
        <f>IFERROR(__xludf.DUMMYFUNCTION("""COMPUTED_VALUE"""),"OR")</f>
        <v>OR</v>
      </c>
      <c r="J25" s="66"/>
      <c r="K25" s="66" t="str">
        <f>IFERROR(__xludf.DUMMYFUNCTION("""COMPUTED_VALUE"""),"Willammette Valley")</f>
        <v>Willammette Valley</v>
      </c>
      <c r="L25" s="66"/>
      <c r="M25" s="66" t="str">
        <f>IFERROR(__xludf.DUMMYFUNCTION("""COMPUTED_VALUE"""),"Becklin Vineyards")</f>
        <v>Becklin Vineyards</v>
      </c>
      <c r="N25" s="70">
        <f>IFERROR(__xludf.DUMMYFUNCTION("""COMPUTED_VALUE"""),33.0)</f>
        <v>33</v>
      </c>
      <c r="O25" s="66">
        <f>IFERROR(__xludf.DUMMYFUNCTION("""COMPUTED_VALUE"""),750.0)</f>
        <v>750</v>
      </c>
      <c r="P25" s="66" t="str">
        <f>IFERROR(__xludf.DUMMYFUNCTION("""COMPUTED_VALUE"""),"Short")</f>
        <v>Short</v>
      </c>
      <c r="Q25" s="66" t="str">
        <f>IFERROR(__xludf.DUMMYFUNCTION("""COMPUTED_VALUE"""),"S1")</f>
        <v>S1</v>
      </c>
      <c r="R25" s="66"/>
      <c r="S25" s="66" t="b">
        <f>IFERROR(__xludf.DUMMYFUNCTION("""COMPUTED_VALUE"""),TRUE)</f>
        <v>1</v>
      </c>
      <c r="T25" s="66" t="b">
        <f>IFERROR(__xludf.DUMMYFUNCTION("""COMPUTED_VALUE"""),FALSE)</f>
        <v>0</v>
      </c>
      <c r="U25" s="66" t="b">
        <f>IFERROR(__xludf.DUMMYFUNCTION("""COMPUTED_VALUE"""),FALSE)</f>
        <v>0</v>
      </c>
      <c r="V25" s="66" t="b">
        <f>IFERROR(__xludf.DUMMYFUNCTION("""COMPUTED_VALUE"""),FALSE)</f>
        <v>0</v>
      </c>
      <c r="W25" s="66" t="b">
        <f>IFERROR(__xludf.DUMMYFUNCTION("""COMPUTED_VALUE"""),TRUE)</f>
        <v>1</v>
      </c>
    </row>
    <row r="26">
      <c r="A26" s="66" t="str">
        <f>IFERROR(__xludf.DUMMYFUNCTION("""COMPUTED_VALUE"""),"R")</f>
        <v>R</v>
      </c>
      <c r="B26" s="66" t="str">
        <f>IFERROR(__xludf.DUMMYFUNCTION("""COMPUTED_VALUE"""),"Sparkling")</f>
        <v>Sparkling</v>
      </c>
      <c r="C26" s="66">
        <f>IFERROR(__xludf.DUMMYFUNCTION("""COMPUTED_VALUE"""),1.0)</f>
        <v>1</v>
      </c>
      <c r="D26" s="66">
        <f>IFERROR(__xludf.DUMMYFUNCTION("""COMPUTED_VALUE"""),2016.0)</f>
        <v>2016</v>
      </c>
      <c r="E26" s="66" t="str">
        <f>IFERROR(__xludf.DUMMYFUNCTION("""COMPUTED_VALUE"""),"Goldeneye Winery")</f>
        <v>Goldeneye Winery</v>
      </c>
      <c r="F26" s="66" t="str">
        <f>IFERROR(__xludf.DUMMYFUNCTION("""COMPUTED_VALUE"""),"Brut Rosé")</f>
        <v>Brut Rosé</v>
      </c>
      <c r="G26" s="66" t="str">
        <f>IFERROR(__xludf.DUMMYFUNCTION("""COMPUTED_VALUE"""),"Other")</f>
        <v>Other</v>
      </c>
      <c r="H26" s="66" t="str">
        <f>IFERROR(__xludf.DUMMYFUNCTION("""COMPUTED_VALUE"""),"USA")</f>
        <v>USA</v>
      </c>
      <c r="I26" s="66" t="str">
        <f>IFERROR(__xludf.DUMMYFUNCTION("""COMPUTED_VALUE"""),"CA")</f>
        <v>CA</v>
      </c>
      <c r="J26" s="66" t="str">
        <f>IFERROR(__xludf.DUMMYFUNCTION("""COMPUTED_VALUE"""),"Northern CA")</f>
        <v>Northern CA</v>
      </c>
      <c r="K26" s="66"/>
      <c r="L26" s="66"/>
      <c r="M26" s="66"/>
      <c r="N26" s="70">
        <f>IFERROR(__xludf.DUMMYFUNCTION("""COMPUTED_VALUE"""),65.0)</f>
        <v>65</v>
      </c>
      <c r="O26" s="66">
        <f>IFERROR(__xludf.DUMMYFUNCTION("""COMPUTED_VALUE"""),750.0)</f>
        <v>750</v>
      </c>
      <c r="P26" s="66" t="str">
        <f>IFERROR(__xludf.DUMMYFUNCTION("""COMPUTED_VALUE"""),"Now")</f>
        <v>Now</v>
      </c>
      <c r="Q26" s="66" t="str">
        <f>IFERROR(__xludf.DUMMYFUNCTION("""COMPUTED_VALUE"""),"Krug")</f>
        <v>Krug</v>
      </c>
      <c r="R26" s="66"/>
      <c r="S26" s="66" t="b">
        <f>IFERROR(__xludf.DUMMYFUNCTION("""COMPUTED_VALUE"""),TRUE)</f>
        <v>1</v>
      </c>
      <c r="T26" s="66" t="b">
        <f>IFERROR(__xludf.DUMMYFUNCTION("""COMPUTED_VALUE"""),TRUE)</f>
        <v>1</v>
      </c>
      <c r="U26" s="66" t="b">
        <f>IFERROR(__xludf.DUMMYFUNCTION("""COMPUTED_VALUE"""),FALSE)</f>
        <v>0</v>
      </c>
      <c r="V26" s="66" t="b">
        <f>IFERROR(__xludf.DUMMYFUNCTION("""COMPUTED_VALUE"""),FALSE)</f>
        <v>0</v>
      </c>
      <c r="W26" s="66" t="b">
        <f>IFERROR(__xludf.DUMMYFUNCTION("""COMPUTED_VALUE"""),FALSE)</f>
        <v>0</v>
      </c>
    </row>
    <row r="27">
      <c r="A27" s="66" t="str">
        <f>IFERROR(__xludf.DUMMYFUNCTION("""COMPUTED_VALUE"""),"R")</f>
        <v>R</v>
      </c>
      <c r="B27" s="66" t="str">
        <f>IFERROR(__xludf.DUMMYFUNCTION("""COMPUTED_VALUE"""),"Red")</f>
        <v>Red</v>
      </c>
      <c r="C27" s="66">
        <f>IFERROR(__xludf.DUMMYFUNCTION("""COMPUTED_VALUE"""),1.0)</f>
        <v>1</v>
      </c>
      <c r="D27" s="66">
        <f>IFERROR(__xludf.DUMMYFUNCTION("""COMPUTED_VALUE"""),2016.0)</f>
        <v>2016</v>
      </c>
      <c r="E27" s="66" t="str">
        <f>IFERROR(__xludf.DUMMYFUNCTION("""COMPUTED_VALUE"""),"Domaine Carneros")</f>
        <v>Domaine Carneros</v>
      </c>
      <c r="F27" s="66" t="str">
        <f>IFERROR(__xludf.DUMMYFUNCTION("""COMPUTED_VALUE"""),"Dijon 777 Clone")</f>
        <v>Dijon 777 Clone</v>
      </c>
      <c r="G27" s="66" t="str">
        <f>IFERROR(__xludf.DUMMYFUNCTION("""COMPUTED_VALUE"""),"Pinot Noir")</f>
        <v>Pinot Noir</v>
      </c>
      <c r="H27" s="66" t="str">
        <f>IFERROR(__xludf.DUMMYFUNCTION("""COMPUTED_VALUE"""),"USA")</f>
        <v>USA</v>
      </c>
      <c r="I27" s="66" t="str">
        <f>IFERROR(__xludf.DUMMYFUNCTION("""COMPUTED_VALUE"""),"CA")</f>
        <v>CA</v>
      </c>
      <c r="J27" s="66" t="str">
        <f>IFERROR(__xludf.DUMMYFUNCTION("""COMPUTED_VALUE"""),"Northern CA")</f>
        <v>Northern CA</v>
      </c>
      <c r="K27" s="66" t="str">
        <f>IFERROR(__xludf.DUMMYFUNCTION("""COMPUTED_VALUE"""),"Napa Valley")</f>
        <v>Napa Valley</v>
      </c>
      <c r="L27" s="66" t="str">
        <f>IFERROR(__xludf.DUMMYFUNCTION("""COMPUTED_VALUE"""),"Carneros")</f>
        <v>Carneros</v>
      </c>
      <c r="M27" s="66"/>
      <c r="N27" s="70">
        <f>IFERROR(__xludf.DUMMYFUNCTION("""COMPUTED_VALUE"""),60.0)</f>
        <v>60</v>
      </c>
      <c r="O27" s="66">
        <f>IFERROR(__xludf.DUMMYFUNCTION("""COMPUTED_VALUE"""),750.0)</f>
        <v>750</v>
      </c>
      <c r="P27" s="66" t="str">
        <f>IFERROR(__xludf.DUMMYFUNCTION("""COMPUTED_VALUE"""),"Short")</f>
        <v>Short</v>
      </c>
      <c r="Q27" s="66" t="str">
        <f>IFERROR(__xludf.DUMMYFUNCTION("""COMPUTED_VALUE"""),"S1")</f>
        <v>S1</v>
      </c>
      <c r="R27" s="66"/>
      <c r="S27" s="66" t="b">
        <f>IFERROR(__xludf.DUMMYFUNCTION("""COMPUTED_VALUE"""),TRUE)</f>
        <v>1</v>
      </c>
      <c r="T27" s="66" t="b">
        <f>IFERROR(__xludf.DUMMYFUNCTION("""COMPUTED_VALUE"""),FALSE)</f>
        <v>0</v>
      </c>
      <c r="U27" s="66" t="b">
        <f>IFERROR(__xludf.DUMMYFUNCTION("""COMPUTED_VALUE"""),FALSE)</f>
        <v>0</v>
      </c>
      <c r="V27" s="66" t="b">
        <f>IFERROR(__xludf.DUMMYFUNCTION("""COMPUTED_VALUE"""),TRUE)</f>
        <v>1</v>
      </c>
      <c r="W27" s="66" t="b">
        <f>IFERROR(__xludf.DUMMYFUNCTION("""COMPUTED_VALUE"""),TRUE)</f>
        <v>1</v>
      </c>
    </row>
    <row r="28">
      <c r="A28" s="66" t="str">
        <f>IFERROR(__xludf.DUMMYFUNCTION("""COMPUTED_VALUE"""),"R")</f>
        <v>R</v>
      </c>
      <c r="B28" s="66" t="str">
        <f>IFERROR(__xludf.DUMMYFUNCTION("""COMPUTED_VALUE"""),"Red")</f>
        <v>Red</v>
      </c>
      <c r="C28" s="66">
        <f>IFERROR(__xludf.DUMMYFUNCTION("""COMPUTED_VALUE"""),1.0)</f>
        <v>1</v>
      </c>
      <c r="D28" s="66">
        <f>IFERROR(__xludf.DUMMYFUNCTION("""COMPUTED_VALUE"""),2013.0)</f>
        <v>2013</v>
      </c>
      <c r="E28" s="66" t="str">
        <f>IFERROR(__xludf.DUMMYFUNCTION("""COMPUTED_VALUE"""),"Sterling Vineyards")</f>
        <v>Sterling Vineyards</v>
      </c>
      <c r="F28" s="66" t="str">
        <f>IFERROR(__xludf.DUMMYFUNCTION("""COMPUTED_VALUE"""),"Planium Cab Sauv")</f>
        <v>Planium Cab Sauv</v>
      </c>
      <c r="G28" s="66" t="str">
        <f>IFERROR(__xludf.DUMMYFUNCTION("""COMPUTED_VALUE"""),"Cabernet Sauvignon")</f>
        <v>Cabernet Sauvignon</v>
      </c>
      <c r="H28" s="66" t="str">
        <f>IFERROR(__xludf.DUMMYFUNCTION("""COMPUTED_VALUE"""),"USA")</f>
        <v>USA</v>
      </c>
      <c r="I28" s="66" t="str">
        <f>IFERROR(__xludf.DUMMYFUNCTION("""COMPUTED_VALUE"""),"CA")</f>
        <v>CA</v>
      </c>
      <c r="J28" s="66" t="str">
        <f>IFERROR(__xludf.DUMMYFUNCTION("""COMPUTED_VALUE"""),"Northern CA")</f>
        <v>Northern CA</v>
      </c>
      <c r="K28" s="66" t="str">
        <f>IFERROR(__xludf.DUMMYFUNCTION("""COMPUTED_VALUE"""),"Napa Valley")</f>
        <v>Napa Valley</v>
      </c>
      <c r="L28" s="66"/>
      <c r="M28" s="66"/>
      <c r="N28" s="70">
        <f>IFERROR(__xludf.DUMMYFUNCTION("""COMPUTED_VALUE"""),85.0)</f>
        <v>85</v>
      </c>
      <c r="O28" s="66">
        <f>IFERROR(__xludf.DUMMYFUNCTION("""COMPUTED_VALUE"""),750.0)</f>
        <v>750</v>
      </c>
      <c r="P28" s="66" t="str">
        <f>IFERROR(__xludf.DUMMYFUNCTION("""COMPUTED_VALUE"""),"Short")</f>
        <v>Short</v>
      </c>
      <c r="Q28" s="66" t="str">
        <f>IFERROR(__xludf.DUMMYFUNCTION("""COMPUTED_VALUE"""),"M6")</f>
        <v>M6</v>
      </c>
      <c r="R28" s="66"/>
      <c r="S28" s="66" t="b">
        <f>IFERROR(__xludf.DUMMYFUNCTION("""COMPUTED_VALUE"""),TRUE)</f>
        <v>1</v>
      </c>
      <c r="T28" s="66" t="b">
        <f>IFERROR(__xludf.DUMMYFUNCTION("""COMPUTED_VALUE"""),FALSE)</f>
        <v>0</v>
      </c>
      <c r="U28" s="66" t="b">
        <f>IFERROR(__xludf.DUMMYFUNCTION("""COMPUTED_VALUE"""),FALSE)</f>
        <v>0</v>
      </c>
      <c r="V28" s="66" t="b">
        <f>IFERROR(__xludf.DUMMYFUNCTION("""COMPUTED_VALUE"""),TRUE)</f>
        <v>1</v>
      </c>
      <c r="W28" s="66" t="b">
        <f>IFERROR(__xludf.DUMMYFUNCTION("""COMPUTED_VALUE"""),FALSE)</f>
        <v>0</v>
      </c>
    </row>
    <row r="29">
      <c r="A29" s="66" t="str">
        <f>IFERROR(__xludf.DUMMYFUNCTION("""COMPUTED_VALUE"""),"R")</f>
        <v>R</v>
      </c>
      <c r="B29" s="66" t="str">
        <f>IFERROR(__xludf.DUMMYFUNCTION("""COMPUTED_VALUE"""),"Red")</f>
        <v>Red</v>
      </c>
      <c r="C29" s="66">
        <f>IFERROR(__xludf.DUMMYFUNCTION("""COMPUTED_VALUE"""),1.0)</f>
        <v>1</v>
      </c>
      <c r="D29" s="66">
        <f>IFERROR(__xludf.DUMMYFUNCTION("""COMPUTED_VALUE"""),2016.0)</f>
        <v>2016</v>
      </c>
      <c r="E29" s="66" t="str">
        <f>IFERROR(__xludf.DUMMYFUNCTION("""COMPUTED_VALUE"""),"GC Lurton")</f>
        <v>GC Lurton</v>
      </c>
      <c r="F29" s="66" t="str">
        <f>IFERROR(__xludf.DUMMYFUNCTION("""COMPUTED_VALUE"""),"Sonoma Cabernet")</f>
        <v>Sonoma Cabernet</v>
      </c>
      <c r="G29" s="66" t="str">
        <f>IFERROR(__xludf.DUMMYFUNCTION("""COMPUTED_VALUE"""),"Cabernet Sauvignon")</f>
        <v>Cabernet Sauvignon</v>
      </c>
      <c r="H29" s="66" t="str">
        <f>IFERROR(__xludf.DUMMYFUNCTION("""COMPUTED_VALUE"""),"USA")</f>
        <v>USA</v>
      </c>
      <c r="I29" s="66" t="str">
        <f>IFERROR(__xludf.DUMMYFUNCTION("""COMPUTED_VALUE"""),"CA")</f>
        <v>CA</v>
      </c>
      <c r="J29" s="66" t="str">
        <f>IFERROR(__xludf.DUMMYFUNCTION("""COMPUTED_VALUE"""),"Northern CA")</f>
        <v>Northern CA</v>
      </c>
      <c r="K29" s="66" t="str">
        <f>IFERROR(__xludf.DUMMYFUNCTION("""COMPUTED_VALUE"""),"Sonoma County")</f>
        <v>Sonoma County</v>
      </c>
      <c r="L29" s="66"/>
      <c r="M29" s="66"/>
      <c r="N29" s="70">
        <f>IFERROR(__xludf.DUMMYFUNCTION("""COMPUTED_VALUE"""),50.0)</f>
        <v>50</v>
      </c>
      <c r="O29" s="66">
        <f>IFERROR(__xludf.DUMMYFUNCTION("""COMPUTED_VALUE"""),750.0)</f>
        <v>750</v>
      </c>
      <c r="P29" s="66" t="str">
        <f>IFERROR(__xludf.DUMMYFUNCTION("""COMPUTED_VALUE"""),"Short")</f>
        <v>Short</v>
      </c>
      <c r="Q29" s="66" t="str">
        <f>IFERROR(__xludf.DUMMYFUNCTION("""COMPUTED_VALUE"""),"S2")</f>
        <v>S2</v>
      </c>
      <c r="R29" s="66"/>
      <c r="S29" s="66" t="b">
        <f>IFERROR(__xludf.DUMMYFUNCTION("""COMPUTED_VALUE"""),TRUE)</f>
        <v>1</v>
      </c>
      <c r="T29" s="66" t="b">
        <f>IFERROR(__xludf.DUMMYFUNCTION("""COMPUTED_VALUE"""),FALSE)</f>
        <v>0</v>
      </c>
      <c r="U29" s="66" t="b">
        <f>IFERROR(__xludf.DUMMYFUNCTION("""COMPUTED_VALUE"""),FALSE)</f>
        <v>0</v>
      </c>
      <c r="V29" s="66" t="b">
        <f>IFERROR(__xludf.DUMMYFUNCTION("""COMPUTED_VALUE"""),TRUE)</f>
        <v>1</v>
      </c>
      <c r="W29" s="66" t="b">
        <f>IFERROR(__xludf.DUMMYFUNCTION("""COMPUTED_VALUE"""),FALSE)</f>
        <v>0</v>
      </c>
    </row>
    <row r="30">
      <c r="A30" s="66" t="str">
        <f>IFERROR(__xludf.DUMMYFUNCTION("""COMPUTED_VALUE"""),"R")</f>
        <v>R</v>
      </c>
      <c r="B30" s="66" t="str">
        <f>IFERROR(__xludf.DUMMYFUNCTION("""COMPUTED_VALUE"""),"Red")</f>
        <v>Red</v>
      </c>
      <c r="C30" s="66">
        <f>IFERROR(__xludf.DUMMYFUNCTION("""COMPUTED_VALUE"""),1.0)</f>
        <v>1</v>
      </c>
      <c r="D30" s="66">
        <f>IFERROR(__xludf.DUMMYFUNCTION("""COMPUTED_VALUE"""),2007.0)</f>
        <v>2007</v>
      </c>
      <c r="E30" s="66" t="str">
        <f>IFERROR(__xludf.DUMMYFUNCTION("""COMPUTED_VALUE"""),"Marcarini")</f>
        <v>Marcarini</v>
      </c>
      <c r="F30" s="66" t="str">
        <f>IFERROR(__xludf.DUMMYFUNCTION("""COMPUTED_VALUE"""),"Brunate")</f>
        <v>Brunate</v>
      </c>
      <c r="G30" s="66" t="str">
        <f>IFERROR(__xludf.DUMMYFUNCTION("""COMPUTED_VALUE"""),"Other")</f>
        <v>Other</v>
      </c>
      <c r="H30" s="66" t="str">
        <f>IFERROR(__xludf.DUMMYFUNCTION("""COMPUTED_VALUE"""),"Italy")</f>
        <v>Italy</v>
      </c>
      <c r="I30" s="66"/>
      <c r="J30" s="66" t="str">
        <f>IFERROR(__xludf.DUMMYFUNCTION("""COMPUTED_VALUE"""),"Piedmont")</f>
        <v>Piedmont</v>
      </c>
      <c r="K30" s="66"/>
      <c r="L30" s="66"/>
      <c r="M30" s="66" t="str">
        <f>IFERROR(__xludf.DUMMYFUNCTION("""COMPUTED_VALUE"""),"Brunate")</f>
        <v>Brunate</v>
      </c>
      <c r="N30" s="70">
        <f>IFERROR(__xludf.DUMMYFUNCTION("""COMPUTED_VALUE"""),58.0)</f>
        <v>58</v>
      </c>
      <c r="O30" s="66">
        <f>IFERROR(__xludf.DUMMYFUNCTION("""COMPUTED_VALUE"""),50.0)</f>
        <v>50</v>
      </c>
      <c r="P30" s="66" t="str">
        <f>IFERROR(__xludf.DUMMYFUNCTION("""COMPUTED_VALUE"""),"Now")</f>
        <v>Now</v>
      </c>
      <c r="Q30" s="66" t="str">
        <f>IFERROR(__xludf.DUMMYFUNCTION("""COMPUTED_VALUE"""),"Domaine Wine Storage ")</f>
        <v>Domaine Wine Storage </v>
      </c>
      <c r="R30" s="66" t="str">
        <f>IFERROR(__xludf.DUMMYFUNCTION("""COMPUTED_VALUE"""),"excellent. buy producer and vineyard again")</f>
        <v>excellent. buy producer and vineyard again</v>
      </c>
      <c r="S30" s="66" t="b">
        <f>IFERROR(__xludf.DUMMYFUNCTION("""COMPUTED_VALUE"""),TRUE)</f>
        <v>1</v>
      </c>
      <c r="T30" s="66" t="b">
        <f>IFERROR(__xludf.DUMMYFUNCTION("""COMPUTED_VALUE"""),TRUE)</f>
        <v>1</v>
      </c>
      <c r="U30" s="66" t="b">
        <f>IFERROR(__xludf.DUMMYFUNCTION("""COMPUTED_VALUE"""),FALSE)</f>
        <v>0</v>
      </c>
      <c r="V30" s="66" t="b">
        <f>IFERROR(__xludf.DUMMYFUNCTION("""COMPUTED_VALUE"""),FALSE)</f>
        <v>0</v>
      </c>
      <c r="W30" s="66" t="b">
        <f>IFERROR(__xludf.DUMMYFUNCTION("""COMPUTED_VALUE"""),FALSE)</f>
        <v>0</v>
      </c>
    </row>
    <row r="31">
      <c r="A31" s="66" t="str">
        <f>IFERROR(__xludf.DUMMYFUNCTION("""COMPUTED_VALUE"""),"R+M")</f>
        <v>R+M</v>
      </c>
      <c r="B31" s="66" t="str">
        <f>IFERROR(__xludf.DUMMYFUNCTION("""COMPUTED_VALUE"""),"Red")</f>
        <v>Red</v>
      </c>
      <c r="C31" s="66">
        <f>IFERROR(__xludf.DUMMYFUNCTION("""COMPUTED_VALUE"""),1.0)</f>
        <v>1</v>
      </c>
      <c r="D31" s="66">
        <f>IFERROR(__xludf.DUMMYFUNCTION("""COMPUTED_VALUE"""),2016.0)</f>
        <v>2016</v>
      </c>
      <c r="E31" s="66" t="str">
        <f>IFERROR(__xludf.DUMMYFUNCTION("""COMPUTED_VALUE"""),"White Rock Vineyards")</f>
        <v>White Rock Vineyards</v>
      </c>
      <c r="F31" s="66" t="str">
        <f>IFERROR(__xludf.DUMMYFUNCTION("""COMPUTED_VALUE"""),"Laureate ")</f>
        <v>Laureate </v>
      </c>
      <c r="G31" s="66" t="str">
        <f>IFERROR(__xludf.DUMMYFUNCTION("""COMPUTED_VALUE"""),"Cabernet Sauvignon")</f>
        <v>Cabernet Sauvignon</v>
      </c>
      <c r="H31" s="66" t="str">
        <f>IFERROR(__xludf.DUMMYFUNCTION("""COMPUTED_VALUE"""),"USA")</f>
        <v>USA</v>
      </c>
      <c r="I31" s="66" t="str">
        <f>IFERROR(__xludf.DUMMYFUNCTION("""COMPUTED_VALUE"""),"CA")</f>
        <v>CA</v>
      </c>
      <c r="J31" s="66" t="str">
        <f>IFERROR(__xludf.DUMMYFUNCTION("""COMPUTED_VALUE"""),"Northern CA")</f>
        <v>Northern CA</v>
      </c>
      <c r="K31" s="66" t="str">
        <f>IFERROR(__xludf.DUMMYFUNCTION("""COMPUTED_VALUE"""),"Napa Valley")</f>
        <v>Napa Valley</v>
      </c>
      <c r="L31" s="66"/>
      <c r="M31" s="66"/>
      <c r="N31" s="70">
        <f>IFERROR(__xludf.DUMMYFUNCTION("""COMPUTED_VALUE"""),100.0)</f>
        <v>100</v>
      </c>
      <c r="O31" s="66">
        <f>IFERROR(__xludf.DUMMYFUNCTION("""COMPUTED_VALUE"""),750.0)</f>
        <v>750</v>
      </c>
      <c r="P31" s="66" t="str">
        <f>IFERROR(__xludf.DUMMYFUNCTION("""COMPUTED_VALUE"""),"Short")</f>
        <v>Short</v>
      </c>
      <c r="Q31" s="66" t="str">
        <f>IFERROR(__xludf.DUMMYFUNCTION("""COMPUTED_VALUE"""),"M9")</f>
        <v>M9</v>
      </c>
      <c r="R31" s="66"/>
      <c r="S31" s="66" t="b">
        <f>IFERROR(__xludf.DUMMYFUNCTION("""COMPUTED_VALUE"""),FALSE)</f>
        <v>0</v>
      </c>
      <c r="T31" s="66" t="b">
        <f>IFERROR(__xludf.DUMMYFUNCTION("""COMPUTED_VALUE"""),FALSE)</f>
        <v>0</v>
      </c>
      <c r="U31" s="66" t="b">
        <f>IFERROR(__xludf.DUMMYFUNCTION("""COMPUTED_VALUE"""),FALSE)</f>
        <v>0</v>
      </c>
      <c r="V31" s="66" t="b">
        <f>IFERROR(__xludf.DUMMYFUNCTION("""COMPUTED_VALUE"""),FALSE)</f>
        <v>0</v>
      </c>
      <c r="W31" s="66" t="b">
        <f>IFERROR(__xludf.DUMMYFUNCTION("""COMPUTED_VALUE"""),FALSE)</f>
        <v>0</v>
      </c>
    </row>
    <row r="32">
      <c r="A32" s="66" t="str">
        <f>IFERROR(__xludf.DUMMYFUNCTION("""COMPUTED_VALUE"""),"R")</f>
        <v>R</v>
      </c>
      <c r="B32" s="66" t="str">
        <f>IFERROR(__xludf.DUMMYFUNCTION("""COMPUTED_VALUE"""),"Red")</f>
        <v>Red</v>
      </c>
      <c r="C32" s="66">
        <f>IFERROR(__xludf.DUMMYFUNCTION("""COMPUTED_VALUE"""),1.0)</f>
        <v>1</v>
      </c>
      <c r="D32" s="66">
        <f>IFERROR(__xludf.DUMMYFUNCTION("""COMPUTED_VALUE"""),2012.0)</f>
        <v>2012</v>
      </c>
      <c r="E32" s="66" t="str">
        <f>IFERROR(__xludf.DUMMYFUNCTION("""COMPUTED_VALUE"""),"Pax Wines")</f>
        <v>Pax Wines</v>
      </c>
      <c r="F32" s="66" t="str">
        <f>IFERROR(__xludf.DUMMYFUNCTION("""COMPUTED_VALUE"""),"James Berry Vineyard - Paso Robles")</f>
        <v>James Berry Vineyard - Paso Robles</v>
      </c>
      <c r="G32" s="66" t="str">
        <f>IFERROR(__xludf.DUMMYFUNCTION("""COMPUTED_VALUE"""),"Syrah")</f>
        <v>Syrah</v>
      </c>
      <c r="H32" s="66" t="str">
        <f>IFERROR(__xludf.DUMMYFUNCTION("""COMPUTED_VALUE"""),"USA")</f>
        <v>USA</v>
      </c>
      <c r="I32" s="66" t="str">
        <f>IFERROR(__xludf.DUMMYFUNCTION("""COMPUTED_VALUE"""),"CA")</f>
        <v>CA</v>
      </c>
      <c r="J32" s="66" t="str">
        <f>IFERROR(__xludf.DUMMYFUNCTION("""COMPUTED_VALUE"""),"Central Coast")</f>
        <v>Central Coast</v>
      </c>
      <c r="K32" s="66" t="str">
        <f>IFERROR(__xludf.DUMMYFUNCTION("""COMPUTED_VALUE"""),"Paso Robles")</f>
        <v>Paso Robles</v>
      </c>
      <c r="L32" s="66"/>
      <c r="M32" s="66" t="str">
        <f>IFERROR(__xludf.DUMMYFUNCTION("""COMPUTED_VALUE"""),"James Berry Vineyard")</f>
        <v>James Berry Vineyard</v>
      </c>
      <c r="N32" s="70">
        <f>IFERROR(__xludf.DUMMYFUNCTION("""COMPUTED_VALUE"""),40.0)</f>
        <v>40</v>
      </c>
      <c r="O32" s="66">
        <f>IFERROR(__xludf.DUMMYFUNCTION("""COMPUTED_VALUE"""),750.0)</f>
        <v>750</v>
      </c>
      <c r="P32" s="66" t="str">
        <f>IFERROR(__xludf.DUMMYFUNCTION("""COMPUTED_VALUE"""),"Now")</f>
        <v>Now</v>
      </c>
      <c r="Q32" s="66" t="str">
        <f>IFERROR(__xludf.DUMMYFUNCTION("""COMPUTED_VALUE"""),"Domaine Leflaive OWC ")</f>
        <v>Domaine Leflaive OWC </v>
      </c>
      <c r="R32" s="66"/>
      <c r="S32" s="66" t="b">
        <f>IFERROR(__xludf.DUMMYFUNCTION("""COMPUTED_VALUE"""),TRUE)</f>
        <v>1</v>
      </c>
      <c r="T32" s="66" t="b">
        <f>IFERROR(__xludf.DUMMYFUNCTION("""COMPUTED_VALUE"""),TRUE)</f>
        <v>1</v>
      </c>
      <c r="U32" s="66" t="b">
        <f>IFERROR(__xludf.DUMMYFUNCTION("""COMPUTED_VALUE"""),FALSE)</f>
        <v>0</v>
      </c>
      <c r="V32" s="66" t="b">
        <f>IFERROR(__xludf.DUMMYFUNCTION("""COMPUTED_VALUE"""),FALSE)</f>
        <v>0</v>
      </c>
      <c r="W32" s="66" t="b">
        <f>IFERROR(__xludf.DUMMYFUNCTION("""COMPUTED_VALUE"""),FALSE)</f>
        <v>0</v>
      </c>
    </row>
    <row r="33">
      <c r="A33" s="66" t="str">
        <f>IFERROR(__xludf.DUMMYFUNCTION("""COMPUTED_VALUE"""),"R")</f>
        <v>R</v>
      </c>
      <c r="B33" s="66" t="str">
        <f>IFERROR(__xludf.DUMMYFUNCTION("""COMPUTED_VALUE"""),"Red")</f>
        <v>Red</v>
      </c>
      <c r="C33" s="66">
        <f>IFERROR(__xludf.DUMMYFUNCTION("""COMPUTED_VALUE"""),1.0)</f>
        <v>1</v>
      </c>
      <c r="D33" s="66">
        <f>IFERROR(__xludf.DUMMYFUNCTION("""COMPUTED_VALUE"""),2017.0)</f>
        <v>2017</v>
      </c>
      <c r="E33" s="66" t="str">
        <f>IFERROR(__xludf.DUMMYFUNCTION("""COMPUTED_VALUE"""),"Big Basin Vineyards")</f>
        <v>Big Basin Vineyards</v>
      </c>
      <c r="F33" s="66" t="str">
        <f>IFERROR(__xludf.DUMMYFUNCTION("""COMPUTED_VALUE"""),"Homestead")</f>
        <v>Homestead</v>
      </c>
      <c r="G33" s="66" t="str">
        <f>IFERROR(__xludf.DUMMYFUNCTION("""COMPUTED_VALUE"""),"Other")</f>
        <v>Other</v>
      </c>
      <c r="H33" s="66" t="str">
        <f>IFERROR(__xludf.DUMMYFUNCTION("""COMPUTED_VALUE"""),"USA")</f>
        <v>USA</v>
      </c>
      <c r="I33" s="66" t="str">
        <f>IFERROR(__xludf.DUMMYFUNCTION("""COMPUTED_VALUE"""),"CA")</f>
        <v>CA</v>
      </c>
      <c r="J33" s="66" t="str">
        <f>IFERROR(__xludf.DUMMYFUNCTION("""COMPUTED_VALUE"""),"Northern CA")</f>
        <v>Northern CA</v>
      </c>
      <c r="K33" s="66" t="str">
        <f>IFERROR(__xludf.DUMMYFUNCTION("""COMPUTED_VALUE"""),"Central Coast")</f>
        <v>Central Coast</v>
      </c>
      <c r="L33" s="66"/>
      <c r="M33" s="66"/>
      <c r="N33" s="70">
        <f>IFERROR(__xludf.DUMMYFUNCTION("""COMPUTED_VALUE"""),35.0)</f>
        <v>35</v>
      </c>
      <c r="O33" s="66">
        <f>IFERROR(__xludf.DUMMYFUNCTION("""COMPUTED_VALUE"""),750.0)</f>
        <v>750</v>
      </c>
      <c r="P33" s="66" t="str">
        <f>IFERROR(__xludf.DUMMYFUNCTION("""COMPUTED_VALUE"""),"Short")</f>
        <v>Short</v>
      </c>
      <c r="Q33" s="66" t="str">
        <f>IFERROR(__xludf.DUMMYFUNCTION("""COMPUTED_VALUE"""),"M/S1")</f>
        <v>M/S1</v>
      </c>
      <c r="R33" s="66"/>
      <c r="S33" s="66" t="b">
        <f>IFERROR(__xludf.DUMMYFUNCTION("""COMPUTED_VALUE"""),TRUE)</f>
        <v>1</v>
      </c>
      <c r="T33" s="66" t="b">
        <f>IFERROR(__xludf.DUMMYFUNCTION("""COMPUTED_VALUE"""),TRUE)</f>
        <v>1</v>
      </c>
      <c r="U33" s="66" t="b">
        <f>IFERROR(__xludf.DUMMYFUNCTION("""COMPUTED_VALUE"""),FALSE)</f>
        <v>0</v>
      </c>
      <c r="V33" s="66" t="b">
        <f>IFERROR(__xludf.DUMMYFUNCTION("""COMPUTED_VALUE"""),TRUE)</f>
        <v>1</v>
      </c>
      <c r="W33" s="66" t="b">
        <f>IFERROR(__xludf.DUMMYFUNCTION("""COMPUTED_VALUE"""),FALSE)</f>
        <v>0</v>
      </c>
    </row>
    <row r="34">
      <c r="A34" s="66" t="str">
        <f>IFERROR(__xludf.DUMMYFUNCTION("""COMPUTED_VALUE"""),"R")</f>
        <v>R</v>
      </c>
      <c r="B34" s="66" t="str">
        <f>IFERROR(__xludf.DUMMYFUNCTION("""COMPUTED_VALUE"""),"Red")</f>
        <v>Red</v>
      </c>
      <c r="C34" s="66">
        <f>IFERROR(__xludf.DUMMYFUNCTION("""COMPUTED_VALUE"""),1.0)</f>
        <v>1</v>
      </c>
      <c r="D34" s="66">
        <f>IFERROR(__xludf.DUMMYFUNCTION("""COMPUTED_VALUE"""),2016.0)</f>
        <v>2016</v>
      </c>
      <c r="E34" s="66" t="str">
        <f>IFERROR(__xludf.DUMMYFUNCTION("""COMPUTED_VALUE"""),"Domaine Carneros")</f>
        <v>Domaine Carneros</v>
      </c>
      <c r="F34" s="66" t="str">
        <f>IFERROR(__xludf.DUMMYFUNCTION("""COMPUTED_VALUE"""),"La Ciel Serein")</f>
        <v>La Ciel Serein</v>
      </c>
      <c r="G34" s="66" t="str">
        <f>IFERROR(__xludf.DUMMYFUNCTION("""COMPUTED_VALUE"""),"Pinot Noir")</f>
        <v>Pinot Noir</v>
      </c>
      <c r="H34" s="66" t="str">
        <f>IFERROR(__xludf.DUMMYFUNCTION("""COMPUTED_VALUE"""),"USA")</f>
        <v>USA</v>
      </c>
      <c r="I34" s="66" t="str">
        <f>IFERROR(__xludf.DUMMYFUNCTION("""COMPUTED_VALUE"""),"CA")</f>
        <v>CA</v>
      </c>
      <c r="J34" s="66" t="str">
        <f>IFERROR(__xludf.DUMMYFUNCTION("""COMPUTED_VALUE"""),"Northern CA")</f>
        <v>Northern CA</v>
      </c>
      <c r="K34" s="66" t="str">
        <f>IFERROR(__xludf.DUMMYFUNCTION("""COMPUTED_VALUE"""),"Napa Valley")</f>
        <v>Napa Valley</v>
      </c>
      <c r="L34" s="66" t="str">
        <f>IFERROR(__xludf.DUMMYFUNCTION("""COMPUTED_VALUE"""),"Carneros")</f>
        <v>Carneros</v>
      </c>
      <c r="M34" s="66"/>
      <c r="N34" s="70">
        <f>IFERROR(__xludf.DUMMYFUNCTION("""COMPUTED_VALUE"""),59.0)</f>
        <v>59</v>
      </c>
      <c r="O34" s="66">
        <f>IFERROR(__xludf.DUMMYFUNCTION("""COMPUTED_VALUE"""),750.0)</f>
        <v>750</v>
      </c>
      <c r="P34" s="66" t="str">
        <f>IFERROR(__xludf.DUMMYFUNCTION("""COMPUTED_VALUE"""),"Short")</f>
        <v>Short</v>
      </c>
      <c r="Q34" s="66" t="str">
        <f>IFERROR(__xludf.DUMMYFUNCTION("""COMPUTED_VALUE"""),"S1")</f>
        <v>S1</v>
      </c>
      <c r="R34" s="66"/>
      <c r="S34" s="66" t="b">
        <f>IFERROR(__xludf.DUMMYFUNCTION("""COMPUTED_VALUE"""),TRUE)</f>
        <v>1</v>
      </c>
      <c r="T34" s="66" t="b">
        <f>IFERROR(__xludf.DUMMYFUNCTION("""COMPUTED_VALUE"""),TRUE)</f>
        <v>1</v>
      </c>
      <c r="U34" s="66" t="b">
        <f>IFERROR(__xludf.DUMMYFUNCTION("""COMPUTED_VALUE"""),FALSE)</f>
        <v>0</v>
      </c>
      <c r="V34" s="66" t="b">
        <f>IFERROR(__xludf.DUMMYFUNCTION("""COMPUTED_VALUE"""),TRUE)</f>
        <v>1</v>
      </c>
      <c r="W34" s="66" t="b">
        <f>IFERROR(__xludf.DUMMYFUNCTION("""COMPUTED_VALUE"""),FALSE)</f>
        <v>0</v>
      </c>
    </row>
    <row r="35">
      <c r="A35" s="66" t="str">
        <f>IFERROR(__xludf.DUMMYFUNCTION("""COMPUTED_VALUE"""),"R")</f>
        <v>R</v>
      </c>
      <c r="B35" s="66" t="str">
        <f>IFERROR(__xludf.DUMMYFUNCTION("""COMPUTED_VALUE"""),"Red")</f>
        <v>Red</v>
      </c>
      <c r="C35" s="66">
        <f>IFERROR(__xludf.DUMMYFUNCTION("""COMPUTED_VALUE"""),1.0)</f>
        <v>1</v>
      </c>
      <c r="D35" s="66">
        <f>IFERROR(__xludf.DUMMYFUNCTION("""COMPUTED_VALUE"""),2016.0)</f>
        <v>2016</v>
      </c>
      <c r="E35" s="66" t="str">
        <f>IFERROR(__xludf.DUMMYFUNCTION("""COMPUTED_VALUE"""),"Walt Wines")</f>
        <v>Walt Wines</v>
      </c>
      <c r="F35" s="66" t="str">
        <f>IFERROR(__xludf.DUMMYFUNCTION("""COMPUTED_VALUE"""),"Sierra Mar")</f>
        <v>Sierra Mar</v>
      </c>
      <c r="G35" s="66" t="str">
        <f>IFERROR(__xludf.DUMMYFUNCTION("""COMPUTED_VALUE"""),"Pinot Noir")</f>
        <v>Pinot Noir</v>
      </c>
      <c r="H35" s="66" t="str">
        <f>IFERROR(__xludf.DUMMYFUNCTION("""COMPUTED_VALUE"""),"USA")</f>
        <v>USA</v>
      </c>
      <c r="I35" s="66" t="str">
        <f>IFERROR(__xludf.DUMMYFUNCTION("""COMPUTED_VALUE"""),"CA")</f>
        <v>CA</v>
      </c>
      <c r="J35" s="66" t="str">
        <f>IFERROR(__xludf.DUMMYFUNCTION("""COMPUTED_VALUE"""),"Northern CA")</f>
        <v>Northern CA</v>
      </c>
      <c r="K35" s="66" t="str">
        <f>IFERROR(__xludf.DUMMYFUNCTION("""COMPUTED_VALUE"""),"Central Coast")</f>
        <v>Central Coast</v>
      </c>
      <c r="L35" s="66" t="str">
        <f>IFERROR(__xludf.DUMMYFUNCTION("""COMPUTED_VALUE"""),"Santa Lucia Highlands")</f>
        <v>Santa Lucia Highlands</v>
      </c>
      <c r="M35" s="66" t="str">
        <f>IFERROR(__xludf.DUMMYFUNCTION("""COMPUTED_VALUE"""),"Sierra Mar Vineyard")</f>
        <v>Sierra Mar Vineyard</v>
      </c>
      <c r="N35" s="70">
        <f>IFERROR(__xludf.DUMMYFUNCTION("""COMPUTED_VALUE"""),75.0)</f>
        <v>75</v>
      </c>
      <c r="O35" s="66">
        <f>IFERROR(__xludf.DUMMYFUNCTION("""COMPUTED_VALUE"""),750.0)</f>
        <v>750</v>
      </c>
      <c r="P35" s="66" t="str">
        <f>IFERROR(__xludf.DUMMYFUNCTION("""COMPUTED_VALUE"""),"Short")</f>
        <v>Short</v>
      </c>
      <c r="Q35" s="66" t="str">
        <f>IFERROR(__xludf.DUMMYFUNCTION("""COMPUTED_VALUE"""),"S1")</f>
        <v>S1</v>
      </c>
      <c r="R35" s="66"/>
      <c r="S35" s="66" t="b">
        <f>IFERROR(__xludf.DUMMYFUNCTION("""COMPUTED_VALUE"""),TRUE)</f>
        <v>1</v>
      </c>
      <c r="T35" s="66" t="b">
        <f>IFERROR(__xludf.DUMMYFUNCTION("""COMPUTED_VALUE"""),TRUE)</f>
        <v>1</v>
      </c>
      <c r="U35" s="66" t="b">
        <f>IFERROR(__xludf.DUMMYFUNCTION("""COMPUTED_VALUE"""),FALSE)</f>
        <v>0</v>
      </c>
      <c r="V35" s="66" t="b">
        <f>IFERROR(__xludf.DUMMYFUNCTION("""COMPUTED_VALUE"""),FALSE)</f>
        <v>0</v>
      </c>
      <c r="W35" s="66" t="b">
        <f>IFERROR(__xludf.DUMMYFUNCTION("""COMPUTED_VALUE"""),FALSE)</f>
        <v>0</v>
      </c>
    </row>
    <row r="36">
      <c r="A36" s="66" t="str">
        <f>IFERROR(__xludf.DUMMYFUNCTION("""COMPUTED_VALUE"""),"R")</f>
        <v>R</v>
      </c>
      <c r="B36" s="66" t="str">
        <f>IFERROR(__xludf.DUMMYFUNCTION("""COMPUTED_VALUE"""),"White")</f>
        <v>White</v>
      </c>
      <c r="C36" s="66">
        <f>IFERROR(__xludf.DUMMYFUNCTION("""COMPUTED_VALUE"""),1.0)</f>
        <v>1</v>
      </c>
      <c r="D36" s="66">
        <f>IFERROR(__xludf.DUMMYFUNCTION("""COMPUTED_VALUE"""),2018.0)</f>
        <v>2018</v>
      </c>
      <c r="E36" s="66" t="str">
        <f>IFERROR(__xludf.DUMMYFUNCTION("""COMPUTED_VALUE"""),"Saison Winery")</f>
        <v>Saison Winery</v>
      </c>
      <c r="F36" s="66" t="str">
        <f>IFERROR(__xludf.DUMMYFUNCTION("""COMPUTED_VALUE"""),"Wirz Vineyard Riesling")</f>
        <v>Wirz Vineyard Riesling</v>
      </c>
      <c r="G36" s="66" t="str">
        <f>IFERROR(__xludf.DUMMYFUNCTION("""COMPUTED_VALUE"""),"Other")</f>
        <v>Other</v>
      </c>
      <c r="H36" s="66" t="str">
        <f>IFERROR(__xludf.DUMMYFUNCTION("""COMPUTED_VALUE"""),"USA")</f>
        <v>USA</v>
      </c>
      <c r="I36" s="66" t="str">
        <f>IFERROR(__xludf.DUMMYFUNCTION("""COMPUTED_VALUE"""),"CA")</f>
        <v>CA</v>
      </c>
      <c r="J36" s="66" t="str">
        <f>IFERROR(__xludf.DUMMYFUNCTION("""COMPUTED_VALUE"""),"Northern CA")</f>
        <v>Northern CA</v>
      </c>
      <c r="K36" s="66" t="str">
        <f>IFERROR(__xludf.DUMMYFUNCTION("""COMPUTED_VALUE"""),"Cienga Valley")</f>
        <v>Cienga Valley</v>
      </c>
      <c r="L36" s="66"/>
      <c r="M36" s="66" t="str">
        <f>IFERROR(__xludf.DUMMYFUNCTION("""COMPUTED_VALUE"""),"Wirz Vineyard")</f>
        <v>Wirz Vineyard</v>
      </c>
      <c r="N36" s="70"/>
      <c r="O36" s="66">
        <f>IFERROR(__xludf.DUMMYFUNCTION("""COMPUTED_VALUE"""),750.0)</f>
        <v>750</v>
      </c>
      <c r="P36" s="66" t="str">
        <f>IFERROR(__xludf.DUMMYFUNCTION("""COMPUTED_VALUE"""),"Short")</f>
        <v>Short</v>
      </c>
      <c r="Q36" s="66" t="str">
        <f>IFERROR(__xludf.DUMMYFUNCTION("""COMPUTED_VALUE"""),"M/S1")</f>
        <v>M/S1</v>
      </c>
      <c r="R36" s="66"/>
      <c r="S36" s="66" t="b">
        <f>IFERROR(__xludf.DUMMYFUNCTION("""COMPUTED_VALUE"""),TRUE)</f>
        <v>1</v>
      </c>
      <c r="T36" s="66" t="b">
        <f>IFERROR(__xludf.DUMMYFUNCTION("""COMPUTED_VALUE"""),FALSE)</f>
        <v>0</v>
      </c>
      <c r="U36" s="66" t="b">
        <f>IFERROR(__xludf.DUMMYFUNCTION("""COMPUTED_VALUE"""),FALSE)</f>
        <v>0</v>
      </c>
      <c r="V36" s="66" t="b">
        <f>IFERROR(__xludf.DUMMYFUNCTION("""COMPUTED_VALUE"""),TRUE)</f>
        <v>1</v>
      </c>
      <c r="W36" s="66" t="b">
        <f>IFERROR(__xludf.DUMMYFUNCTION("""COMPUTED_VALUE"""),FALSE)</f>
        <v>0</v>
      </c>
    </row>
    <row r="37">
      <c r="A37" s="66" t="str">
        <f>IFERROR(__xludf.DUMMYFUNCTION("""COMPUTED_VALUE"""),"R")</f>
        <v>R</v>
      </c>
      <c r="B37" s="66" t="str">
        <f>IFERROR(__xludf.DUMMYFUNCTION("""COMPUTED_VALUE"""),"Red")</f>
        <v>Red</v>
      </c>
      <c r="C37" s="66">
        <f>IFERROR(__xludf.DUMMYFUNCTION("""COMPUTED_VALUE"""),1.0)</f>
        <v>1</v>
      </c>
      <c r="D37" s="66">
        <f>IFERROR(__xludf.DUMMYFUNCTION("""COMPUTED_VALUE"""),2018.0)</f>
        <v>2018</v>
      </c>
      <c r="E37" s="66" t="str">
        <f>IFERROR(__xludf.DUMMYFUNCTION("""COMPUTED_VALUE"""),"Joseph Phelps Winery")</f>
        <v>Joseph Phelps Winery</v>
      </c>
      <c r="F37" s="66" t="str">
        <f>IFERROR(__xludf.DUMMYFUNCTION("""COMPUTED_VALUE"""),"Freestone Vineyard")</f>
        <v>Freestone Vineyard</v>
      </c>
      <c r="G37" s="66" t="str">
        <f>IFERROR(__xludf.DUMMYFUNCTION("""COMPUTED_VALUE"""),"Pinot Noir")</f>
        <v>Pinot Noir</v>
      </c>
      <c r="H37" s="66" t="str">
        <f>IFERROR(__xludf.DUMMYFUNCTION("""COMPUTED_VALUE"""),"USA")</f>
        <v>USA</v>
      </c>
      <c r="I37" s="66" t="str">
        <f>IFERROR(__xludf.DUMMYFUNCTION("""COMPUTED_VALUE"""),"CA")</f>
        <v>CA</v>
      </c>
      <c r="J37" s="66" t="str">
        <f>IFERROR(__xludf.DUMMYFUNCTION("""COMPUTED_VALUE"""),"Sonoma Coast")</f>
        <v>Sonoma Coast</v>
      </c>
      <c r="K37" s="66"/>
      <c r="L37" s="66"/>
      <c r="M37" s="66" t="str">
        <f>IFERROR(__xludf.DUMMYFUNCTION("""COMPUTED_VALUE"""),"Freestone Vineyard")</f>
        <v>Freestone Vineyard</v>
      </c>
      <c r="N37" s="70">
        <f>IFERROR(__xludf.DUMMYFUNCTION("""COMPUTED_VALUE"""),45.0)</f>
        <v>45</v>
      </c>
      <c r="O37" s="66">
        <f>IFERROR(__xludf.DUMMYFUNCTION("""COMPUTED_VALUE"""),750.0)</f>
        <v>750</v>
      </c>
      <c r="P37" s="66" t="str">
        <f>IFERROR(__xludf.DUMMYFUNCTION("""COMPUTED_VALUE"""),"Now")</f>
        <v>Now</v>
      </c>
      <c r="Q37" s="66" t="str">
        <f>IFERROR(__xludf.DUMMYFUNCTION("""COMPUTED_VALUE"""),"M7")</f>
        <v>M7</v>
      </c>
      <c r="R37" s="66"/>
      <c r="S37" s="66" t="b">
        <f>IFERROR(__xludf.DUMMYFUNCTION("""COMPUTED_VALUE"""),TRUE)</f>
        <v>1</v>
      </c>
      <c r="T37" s="66" t="b">
        <f>IFERROR(__xludf.DUMMYFUNCTION("""COMPUTED_VALUE"""),FALSE)</f>
        <v>0</v>
      </c>
      <c r="U37" s="66" t="b">
        <f>IFERROR(__xludf.DUMMYFUNCTION("""COMPUTED_VALUE"""),TRUE)</f>
        <v>1</v>
      </c>
      <c r="V37" s="66" t="b">
        <f>IFERROR(__xludf.DUMMYFUNCTION("""COMPUTED_VALUE"""),TRUE)</f>
        <v>1</v>
      </c>
      <c r="W37" s="66" t="b">
        <f>IFERROR(__xludf.DUMMYFUNCTION("""COMPUTED_VALUE"""),FALSE)</f>
        <v>0</v>
      </c>
    </row>
    <row r="38">
      <c r="A38" s="66" t="str">
        <f>IFERROR(__xludf.DUMMYFUNCTION("""COMPUTED_VALUE"""),"R")</f>
        <v>R</v>
      </c>
      <c r="B38" s="66" t="str">
        <f>IFERROR(__xludf.DUMMYFUNCTION("""COMPUTED_VALUE"""),"Red")</f>
        <v>Red</v>
      </c>
      <c r="C38" s="66">
        <f>IFERROR(__xludf.DUMMYFUNCTION("""COMPUTED_VALUE"""),1.0)</f>
        <v>1</v>
      </c>
      <c r="D38" s="66">
        <f>IFERROR(__xludf.DUMMYFUNCTION("""COMPUTED_VALUE"""),2017.0)</f>
        <v>2017</v>
      </c>
      <c r="E38" s="66" t="str">
        <f>IFERROR(__xludf.DUMMYFUNCTION("""COMPUTED_VALUE"""),"Phillips Hill")</f>
        <v>Phillips Hill</v>
      </c>
      <c r="F38" s="66" t="str">
        <f>IFERROR(__xludf.DUMMYFUNCTION("""COMPUTED_VALUE"""),"Oppenlander Vineyard ")</f>
        <v>Oppenlander Vineyard </v>
      </c>
      <c r="G38" s="66" t="str">
        <f>IFERROR(__xludf.DUMMYFUNCTION("""COMPUTED_VALUE"""),"Pinot Noir")</f>
        <v>Pinot Noir</v>
      </c>
      <c r="H38" s="66" t="str">
        <f>IFERROR(__xludf.DUMMYFUNCTION("""COMPUTED_VALUE"""),"USA")</f>
        <v>USA</v>
      </c>
      <c r="I38" s="66" t="str">
        <f>IFERROR(__xludf.DUMMYFUNCTION("""COMPUTED_VALUE"""),"CA")</f>
        <v>CA</v>
      </c>
      <c r="J38" s="66" t="str">
        <f>IFERROR(__xludf.DUMMYFUNCTION("""COMPUTED_VALUE"""),"Northern CA")</f>
        <v>Northern CA</v>
      </c>
      <c r="K38" s="66" t="str">
        <f>IFERROR(__xludf.DUMMYFUNCTION("""COMPUTED_VALUE"""),"Mendocino County")</f>
        <v>Mendocino County</v>
      </c>
      <c r="L38" s="66" t="str">
        <f>IFERROR(__xludf.DUMMYFUNCTION("""COMPUTED_VALUE"""),"Anderson Valley")</f>
        <v>Anderson Valley</v>
      </c>
      <c r="M38" s="66" t="str">
        <f>IFERROR(__xludf.DUMMYFUNCTION("""COMPUTED_VALUE"""),"Oppenlander Vineyard")</f>
        <v>Oppenlander Vineyard</v>
      </c>
      <c r="N38" s="70">
        <f>IFERROR(__xludf.DUMMYFUNCTION("""COMPUTED_VALUE"""),40.0)</f>
        <v>40</v>
      </c>
      <c r="O38" s="66">
        <f>IFERROR(__xludf.DUMMYFUNCTION("""COMPUTED_VALUE"""),750.0)</f>
        <v>750</v>
      </c>
      <c r="P38" s="66" t="str">
        <f>IFERROR(__xludf.DUMMYFUNCTION("""COMPUTED_VALUE"""),"Short")</f>
        <v>Short</v>
      </c>
      <c r="Q38" s="66" t="str">
        <f>IFERROR(__xludf.DUMMYFUNCTION("""COMPUTED_VALUE"""),"S1")</f>
        <v>S1</v>
      </c>
      <c r="R38" s="66"/>
      <c r="S38" s="66" t="b">
        <f>IFERROR(__xludf.DUMMYFUNCTION("""COMPUTED_VALUE"""),TRUE)</f>
        <v>1</v>
      </c>
      <c r="T38" s="66" t="b">
        <f>IFERROR(__xludf.DUMMYFUNCTION("""COMPUTED_VALUE"""),FALSE)</f>
        <v>0</v>
      </c>
      <c r="U38" s="66" t="b">
        <f>IFERROR(__xludf.DUMMYFUNCTION("""COMPUTED_VALUE"""),FALSE)</f>
        <v>0</v>
      </c>
      <c r="V38" s="66" t="b">
        <f>IFERROR(__xludf.DUMMYFUNCTION("""COMPUTED_VALUE"""),TRUE)</f>
        <v>1</v>
      </c>
      <c r="W38" s="66" t="b">
        <f>IFERROR(__xludf.DUMMYFUNCTION("""COMPUTED_VALUE"""),TRUE)</f>
        <v>1</v>
      </c>
    </row>
    <row r="39">
      <c r="A39" s="66" t="str">
        <f>IFERROR(__xludf.DUMMYFUNCTION("""COMPUTED_VALUE"""),"R+M")</f>
        <v>R+M</v>
      </c>
      <c r="B39" s="66" t="str">
        <f>IFERROR(__xludf.DUMMYFUNCTION("""COMPUTED_VALUE"""),"Red")</f>
        <v>Red</v>
      </c>
      <c r="C39" s="66">
        <f>IFERROR(__xludf.DUMMYFUNCTION("""COMPUTED_VALUE"""),1.0)</f>
        <v>1</v>
      </c>
      <c r="D39" s="66">
        <f>IFERROR(__xludf.DUMMYFUNCTION("""COMPUTED_VALUE"""),2018.0)</f>
        <v>2018</v>
      </c>
      <c r="E39" s="66" t="str">
        <f>IFERROR(__xludf.DUMMYFUNCTION("""COMPUTED_VALUE"""),"Matthiasson Winery")</f>
        <v>Matthiasson Winery</v>
      </c>
      <c r="F39" s="66" t="str">
        <f>IFERROR(__xludf.DUMMYFUNCTION("""COMPUTED_VALUE"""),"Michael Mara Vineyard Chardonnay")</f>
        <v>Michael Mara Vineyard Chardonnay</v>
      </c>
      <c r="G39" s="66" t="str">
        <f>IFERROR(__xludf.DUMMYFUNCTION("""COMPUTED_VALUE"""),"Chardonnay")</f>
        <v>Chardonnay</v>
      </c>
      <c r="H39" s="66" t="str">
        <f>IFERROR(__xludf.DUMMYFUNCTION("""COMPUTED_VALUE"""),"USA")</f>
        <v>USA</v>
      </c>
      <c r="I39" s="66" t="str">
        <f>IFERROR(__xludf.DUMMYFUNCTION("""COMPUTED_VALUE"""),"CA")</f>
        <v>CA</v>
      </c>
      <c r="J39" s="66" t="str">
        <f>IFERROR(__xludf.DUMMYFUNCTION("""COMPUTED_VALUE"""),"Northern CA")</f>
        <v>Northern CA</v>
      </c>
      <c r="K39" s="66" t="str">
        <f>IFERROR(__xludf.DUMMYFUNCTION("""COMPUTED_VALUE"""),"Sonoma Coast")</f>
        <v>Sonoma Coast</v>
      </c>
      <c r="L39" s="66"/>
      <c r="M39" s="66" t="str">
        <f>IFERROR(__xludf.DUMMYFUNCTION("""COMPUTED_VALUE"""),"Michael Mara Vineyard")</f>
        <v>Michael Mara Vineyard</v>
      </c>
      <c r="N39" s="70">
        <f>IFERROR(__xludf.DUMMYFUNCTION("""COMPUTED_VALUE"""),40.0)</f>
        <v>40</v>
      </c>
      <c r="O39" s="66">
        <f>IFERROR(__xludf.DUMMYFUNCTION("""COMPUTED_VALUE"""),750.0)</f>
        <v>750</v>
      </c>
      <c r="P39" s="66" t="str">
        <f>IFERROR(__xludf.DUMMYFUNCTION("""COMPUTED_VALUE"""),"Now")</f>
        <v>Now</v>
      </c>
      <c r="Q39" s="66" t="str">
        <f>IFERROR(__xludf.DUMMYFUNCTION("""COMPUTED_VALUE"""),"Domaine Wine Storage ")</f>
        <v>Domaine Wine Storage </v>
      </c>
      <c r="R39" s="66"/>
      <c r="S39" s="66" t="b">
        <f>IFERROR(__xludf.DUMMYFUNCTION("""COMPUTED_VALUE"""),FALSE)</f>
        <v>0</v>
      </c>
      <c r="T39" s="66" t="b">
        <f>IFERROR(__xludf.DUMMYFUNCTION("""COMPUTED_VALUE"""),FALSE)</f>
        <v>0</v>
      </c>
      <c r="U39" s="66" t="b">
        <f>IFERROR(__xludf.DUMMYFUNCTION("""COMPUTED_VALUE"""),FALSE)</f>
        <v>0</v>
      </c>
      <c r="V39" s="66" t="b">
        <f>IFERROR(__xludf.DUMMYFUNCTION("""COMPUTED_VALUE"""),FALSE)</f>
        <v>0</v>
      </c>
      <c r="W39" s="66" t="b">
        <f>IFERROR(__xludf.DUMMYFUNCTION("""COMPUTED_VALUE"""),FALSE)</f>
        <v>0</v>
      </c>
    </row>
    <row r="40">
      <c r="A40" s="66" t="str">
        <f>IFERROR(__xludf.DUMMYFUNCTION("""COMPUTED_VALUE"""),"R+M")</f>
        <v>R+M</v>
      </c>
      <c r="B40" s="66" t="str">
        <f>IFERROR(__xludf.DUMMYFUNCTION("""COMPUTED_VALUE"""),"White")</f>
        <v>White</v>
      </c>
      <c r="C40" s="66">
        <f>IFERROR(__xludf.DUMMYFUNCTION("""COMPUTED_VALUE"""),1.0)</f>
        <v>1</v>
      </c>
      <c r="D40" s="66">
        <f>IFERROR(__xludf.DUMMYFUNCTION("""COMPUTED_VALUE"""),2018.0)</f>
        <v>2018</v>
      </c>
      <c r="E40" s="66" t="str">
        <f>IFERROR(__xludf.DUMMYFUNCTION("""COMPUTED_VALUE"""),"White Rock Vineyards")</f>
        <v>White Rock Vineyards</v>
      </c>
      <c r="F40" s="66" t="str">
        <f>IFERROR(__xludf.DUMMYFUNCTION("""COMPUTED_VALUE"""),"Breccia")</f>
        <v>Breccia</v>
      </c>
      <c r="G40" s="66" t="str">
        <f>IFERROR(__xludf.DUMMYFUNCTION("""COMPUTED_VALUE"""),"Chardonnay")</f>
        <v>Chardonnay</v>
      </c>
      <c r="H40" s="66" t="str">
        <f>IFERROR(__xludf.DUMMYFUNCTION("""COMPUTED_VALUE"""),"USA")</f>
        <v>USA</v>
      </c>
      <c r="I40" s="66" t="str">
        <f>IFERROR(__xludf.DUMMYFUNCTION("""COMPUTED_VALUE"""),"CA")</f>
        <v>CA</v>
      </c>
      <c r="J40" s="66" t="str">
        <f>IFERROR(__xludf.DUMMYFUNCTION("""COMPUTED_VALUE"""),"Northern CA")</f>
        <v>Northern CA</v>
      </c>
      <c r="K40" s="66" t="str">
        <f>IFERROR(__xludf.DUMMYFUNCTION("""COMPUTED_VALUE"""),"Napa Valley")</f>
        <v>Napa Valley</v>
      </c>
      <c r="L40" s="66"/>
      <c r="M40" s="66"/>
      <c r="N40" s="70">
        <f>IFERROR(__xludf.DUMMYFUNCTION("""COMPUTED_VALUE"""),85.0)</f>
        <v>85</v>
      </c>
      <c r="O40" s="66">
        <f>IFERROR(__xludf.DUMMYFUNCTION("""COMPUTED_VALUE"""),750.0)</f>
        <v>750</v>
      </c>
      <c r="P40" s="66" t="str">
        <f>IFERROR(__xludf.DUMMYFUNCTION("""COMPUTED_VALUE"""),"Short")</f>
        <v>Short</v>
      </c>
      <c r="Q40" s="66" t="str">
        <f>IFERROR(__xludf.DUMMYFUNCTION("""COMPUTED_VALUE"""),"M9")</f>
        <v>M9</v>
      </c>
      <c r="R40" s="66"/>
      <c r="S40" s="66" t="b">
        <f>IFERROR(__xludf.DUMMYFUNCTION("""COMPUTED_VALUE"""),FALSE)</f>
        <v>0</v>
      </c>
      <c r="T40" s="66" t="b">
        <f>IFERROR(__xludf.DUMMYFUNCTION("""COMPUTED_VALUE"""),FALSE)</f>
        <v>0</v>
      </c>
      <c r="U40" s="66" t="b">
        <f>IFERROR(__xludf.DUMMYFUNCTION("""COMPUTED_VALUE"""),FALSE)</f>
        <v>0</v>
      </c>
      <c r="V40" s="66" t="b">
        <f>IFERROR(__xludf.DUMMYFUNCTION("""COMPUTED_VALUE"""),FALSE)</f>
        <v>0</v>
      </c>
      <c r="W40" s="66" t="b">
        <f>IFERROR(__xludf.DUMMYFUNCTION("""COMPUTED_VALUE"""),FALSE)</f>
        <v>0</v>
      </c>
    </row>
    <row r="41">
      <c r="A41" s="66" t="str">
        <f>IFERROR(__xludf.DUMMYFUNCTION("""COMPUTED_VALUE"""),"R")</f>
        <v>R</v>
      </c>
      <c r="B41" s="66" t="str">
        <f>IFERROR(__xludf.DUMMYFUNCTION("""COMPUTED_VALUE"""),"Sparkling")</f>
        <v>Sparkling</v>
      </c>
      <c r="C41" s="66">
        <f>IFERROR(__xludf.DUMMYFUNCTION("""COMPUTED_VALUE"""),1.0)</f>
        <v>1</v>
      </c>
      <c r="D41" s="66">
        <f>IFERROR(__xludf.DUMMYFUNCTION("""COMPUTED_VALUE"""),2018.0)</f>
        <v>2018</v>
      </c>
      <c r="E41" s="66" t="str">
        <f>IFERROR(__xludf.DUMMYFUNCTION("""COMPUTED_VALUE"""),"Ultramarine")</f>
        <v>Ultramarine</v>
      </c>
      <c r="F41" s="66" t="str">
        <f>IFERROR(__xludf.DUMMYFUNCTION("""COMPUTED_VALUE"""),"Keefer Ranch Blanc de Blancs")</f>
        <v>Keefer Ranch Blanc de Blancs</v>
      </c>
      <c r="G41" s="66" t="str">
        <f>IFERROR(__xludf.DUMMYFUNCTION("""COMPUTED_VALUE"""),"Chardonnay")</f>
        <v>Chardonnay</v>
      </c>
      <c r="H41" s="66" t="str">
        <f>IFERROR(__xludf.DUMMYFUNCTION("""COMPUTED_VALUE"""),"USA")</f>
        <v>USA</v>
      </c>
      <c r="I41" s="66" t="str">
        <f>IFERROR(__xludf.DUMMYFUNCTION("""COMPUTED_VALUE"""),"CA")</f>
        <v>CA</v>
      </c>
      <c r="J41" s="66" t="str">
        <f>IFERROR(__xludf.DUMMYFUNCTION("""COMPUTED_VALUE"""),"Sonoma Coast")</f>
        <v>Sonoma Coast</v>
      </c>
      <c r="K41" s="66"/>
      <c r="L41" s="66"/>
      <c r="M41" s="66" t="str">
        <f>IFERROR(__xludf.DUMMYFUNCTION("""COMPUTED_VALUE"""),"Keefer Ranch")</f>
        <v>Keefer Ranch</v>
      </c>
      <c r="N41" s="70">
        <f>IFERROR(__xludf.DUMMYFUNCTION("""COMPUTED_VALUE"""),80.0)</f>
        <v>80</v>
      </c>
      <c r="O41" s="66">
        <f>IFERROR(__xludf.DUMMYFUNCTION("""COMPUTED_VALUE"""),750.0)</f>
        <v>750</v>
      </c>
      <c r="P41" s="66" t="str">
        <f>IFERROR(__xludf.DUMMYFUNCTION("""COMPUTED_VALUE"""),"Short")</f>
        <v>Short</v>
      </c>
      <c r="Q41" s="66" t="str">
        <f>IFERROR(__xludf.DUMMYFUNCTION("""COMPUTED_VALUE"""),"M3")</f>
        <v>M3</v>
      </c>
      <c r="R41" s="66"/>
      <c r="S41" s="66" t="b">
        <f>IFERROR(__xludf.DUMMYFUNCTION("""COMPUTED_VALUE"""),FALSE)</f>
        <v>0</v>
      </c>
      <c r="T41" s="66" t="b">
        <f>IFERROR(__xludf.DUMMYFUNCTION("""COMPUTED_VALUE"""),FALSE)</f>
        <v>0</v>
      </c>
      <c r="U41" s="66" t="b">
        <f>IFERROR(__xludf.DUMMYFUNCTION("""COMPUTED_VALUE"""),FALSE)</f>
        <v>0</v>
      </c>
      <c r="V41" s="66" t="b">
        <f>IFERROR(__xludf.DUMMYFUNCTION("""COMPUTED_VALUE"""),FALSE)</f>
        <v>0</v>
      </c>
      <c r="W41" s="66" t="b">
        <f>IFERROR(__xludf.DUMMYFUNCTION("""COMPUTED_VALUE"""),FALSE)</f>
        <v>0</v>
      </c>
    </row>
    <row r="42">
      <c r="A42" s="66" t="str">
        <f>IFERROR(__xludf.DUMMYFUNCTION("""COMPUTED_VALUE"""),"R+M")</f>
        <v>R+M</v>
      </c>
      <c r="B42" s="66" t="str">
        <f>IFERROR(__xludf.DUMMYFUNCTION("""COMPUTED_VALUE"""),"Red")</f>
        <v>Red</v>
      </c>
      <c r="C42" s="66">
        <f>IFERROR(__xludf.DUMMYFUNCTION("""COMPUTED_VALUE"""),1.0)</f>
        <v>1</v>
      </c>
      <c r="D42" s="66">
        <f>IFERROR(__xludf.DUMMYFUNCTION("""COMPUTED_VALUE"""),2019.0)</f>
        <v>2019</v>
      </c>
      <c r="E42" s="66" t="str">
        <f>IFERROR(__xludf.DUMMYFUNCTION("""COMPUTED_VALUE"""),"Di Costanzo")</f>
        <v>Di Costanzo</v>
      </c>
      <c r="F42" s="66" t="str">
        <f>IFERROR(__xludf.DUMMYFUNCTION("""COMPUTED_VALUE"""),"DI CO")</f>
        <v>DI CO</v>
      </c>
      <c r="G42" s="66" t="str">
        <f>IFERROR(__xludf.DUMMYFUNCTION("""COMPUTED_VALUE"""),"Cabernet Sauvignon")</f>
        <v>Cabernet Sauvignon</v>
      </c>
      <c r="H42" s="66" t="str">
        <f>IFERROR(__xludf.DUMMYFUNCTION("""COMPUTED_VALUE"""),"USA")</f>
        <v>USA</v>
      </c>
      <c r="I42" s="66" t="str">
        <f>IFERROR(__xludf.DUMMYFUNCTION("""COMPUTED_VALUE"""),"CA")</f>
        <v>CA</v>
      </c>
      <c r="J42" s="66" t="str">
        <f>IFERROR(__xludf.DUMMYFUNCTION("""COMPUTED_VALUE"""),"Northern CA")</f>
        <v>Northern CA</v>
      </c>
      <c r="K42" s="66" t="str">
        <f>IFERROR(__xludf.DUMMYFUNCTION("""COMPUTED_VALUE"""),"Napa Valley")</f>
        <v>Napa Valley</v>
      </c>
      <c r="L42" s="66"/>
      <c r="M42" s="66"/>
      <c r="N42" s="70">
        <f>IFERROR(__xludf.DUMMYFUNCTION("""COMPUTED_VALUE"""),65.0)</f>
        <v>65</v>
      </c>
      <c r="O42" s="66">
        <f>IFERROR(__xludf.DUMMYFUNCTION("""COMPUTED_VALUE"""),750.0)</f>
        <v>750</v>
      </c>
      <c r="P42" s="66" t="str">
        <f>IFERROR(__xludf.DUMMYFUNCTION("""COMPUTED_VALUE"""),"Short")</f>
        <v>Short</v>
      </c>
      <c r="Q42" s="66" t="str">
        <f>IFERROR(__xludf.DUMMYFUNCTION("""COMPUTED_VALUE"""),"S2")</f>
        <v>S2</v>
      </c>
      <c r="R42" s="66"/>
      <c r="S42" s="66" t="b">
        <f>IFERROR(__xludf.DUMMYFUNCTION("""COMPUTED_VALUE"""),TRUE)</f>
        <v>1</v>
      </c>
      <c r="T42" s="66" t="b">
        <f>IFERROR(__xludf.DUMMYFUNCTION("""COMPUTED_VALUE"""),TRUE)</f>
        <v>1</v>
      </c>
      <c r="U42" s="66" t="b">
        <f>IFERROR(__xludf.DUMMYFUNCTION("""COMPUTED_VALUE"""),FALSE)</f>
        <v>0</v>
      </c>
      <c r="V42" s="66" t="b">
        <f>IFERROR(__xludf.DUMMYFUNCTION("""COMPUTED_VALUE"""),FALSE)</f>
        <v>0</v>
      </c>
      <c r="W42" s="66" t="b">
        <f>IFERROR(__xludf.DUMMYFUNCTION("""COMPUTED_VALUE"""),FALSE)</f>
        <v>0</v>
      </c>
    </row>
    <row r="43">
      <c r="A43" s="66" t="str">
        <f>IFERROR(__xludf.DUMMYFUNCTION("""COMPUTED_VALUE"""),"R")</f>
        <v>R</v>
      </c>
      <c r="B43" s="66" t="str">
        <f>IFERROR(__xludf.DUMMYFUNCTION("""COMPUTED_VALUE"""),"Red")</f>
        <v>Red</v>
      </c>
      <c r="C43" s="66">
        <f>IFERROR(__xludf.DUMMYFUNCTION("""COMPUTED_VALUE"""),1.0)</f>
        <v>1</v>
      </c>
      <c r="D43" s="66">
        <f>IFERROR(__xludf.DUMMYFUNCTION("""COMPUTED_VALUE"""),2018.0)</f>
        <v>2018</v>
      </c>
      <c r="E43" s="66" t="str">
        <f>IFERROR(__xludf.DUMMYFUNCTION("""COMPUTED_VALUE"""),"Force Majure")</f>
        <v>Force Majure</v>
      </c>
      <c r="F43" s="66" t="str">
        <f>IFERROR(__xludf.DUMMYFUNCTION("""COMPUTED_VALUE"""),"Parabellum Coulee")</f>
        <v>Parabellum Coulee</v>
      </c>
      <c r="G43" s="66" t="str">
        <f>IFERROR(__xludf.DUMMYFUNCTION("""COMPUTED_VALUE"""),"Rhone Blend")</f>
        <v>Rhone Blend</v>
      </c>
      <c r="H43" s="66" t="str">
        <f>IFERROR(__xludf.DUMMYFUNCTION("""COMPUTED_VALUE"""),"USA")</f>
        <v>USA</v>
      </c>
      <c r="I43" s="66" t="str">
        <f>IFERROR(__xludf.DUMMYFUNCTION("""COMPUTED_VALUE"""),"WA")</f>
        <v>WA</v>
      </c>
      <c r="J43" s="66"/>
      <c r="K43" s="66"/>
      <c r="L43" s="66"/>
      <c r="M43" s="66"/>
      <c r="N43" s="70">
        <f>IFERROR(__xludf.DUMMYFUNCTION("""COMPUTED_VALUE"""),57.0)</f>
        <v>57</v>
      </c>
      <c r="O43" s="66">
        <f>IFERROR(__xludf.DUMMYFUNCTION("""COMPUTED_VALUE"""),750.0)</f>
        <v>750</v>
      </c>
      <c r="P43" s="66" t="str">
        <f>IFERROR(__xludf.DUMMYFUNCTION("""COMPUTED_VALUE"""),"Short")</f>
        <v>Short</v>
      </c>
      <c r="Q43" s="66" t="str">
        <f>IFERROR(__xludf.DUMMYFUNCTION("""COMPUTED_VALUE"""),"M/S1")</f>
        <v>M/S1</v>
      </c>
      <c r="R43" s="66"/>
      <c r="S43" s="66" t="b">
        <f>IFERROR(__xludf.DUMMYFUNCTION("""COMPUTED_VALUE"""),TRUE)</f>
        <v>1</v>
      </c>
      <c r="T43" s="66" t="b">
        <f>IFERROR(__xludf.DUMMYFUNCTION("""COMPUTED_VALUE"""),FALSE)</f>
        <v>0</v>
      </c>
      <c r="U43" s="66" t="b">
        <f>IFERROR(__xludf.DUMMYFUNCTION("""COMPUTED_VALUE"""),FALSE)</f>
        <v>0</v>
      </c>
      <c r="V43" s="66" t="b">
        <f>IFERROR(__xludf.DUMMYFUNCTION("""COMPUTED_VALUE"""),FALSE)</f>
        <v>0</v>
      </c>
      <c r="W43" s="66" t="b">
        <f>IFERROR(__xludf.DUMMYFUNCTION("""COMPUTED_VALUE"""),TRUE)</f>
        <v>1</v>
      </c>
    </row>
    <row r="44">
      <c r="A44" s="66" t="str">
        <f>IFERROR(__xludf.DUMMYFUNCTION("""COMPUTED_VALUE"""),"R+M")</f>
        <v>R+M</v>
      </c>
      <c r="B44" s="66" t="str">
        <f>IFERROR(__xludf.DUMMYFUNCTION("""COMPUTED_VALUE"""),"Red")</f>
        <v>Red</v>
      </c>
      <c r="C44" s="66">
        <f>IFERROR(__xludf.DUMMYFUNCTION("""COMPUTED_VALUE"""),2.0)</f>
        <v>2</v>
      </c>
      <c r="D44" s="66">
        <f>IFERROR(__xludf.DUMMYFUNCTION("""COMPUTED_VALUE"""),2019.0)</f>
        <v>2019</v>
      </c>
      <c r="E44" s="66" t="str">
        <f>IFERROR(__xludf.DUMMYFUNCTION("""COMPUTED_VALUE"""),"Di Costanzo")</f>
        <v>Di Costanzo</v>
      </c>
      <c r="F44" s="66" t="str">
        <f>IFERROR(__xludf.DUMMYFUNCTION("""COMPUTED_VALUE"""),"DI CO")</f>
        <v>DI CO</v>
      </c>
      <c r="G44" s="66" t="str">
        <f>IFERROR(__xludf.DUMMYFUNCTION("""COMPUTED_VALUE"""),"Cabernet Sauvignon")</f>
        <v>Cabernet Sauvignon</v>
      </c>
      <c r="H44" s="66" t="str">
        <f>IFERROR(__xludf.DUMMYFUNCTION("""COMPUTED_VALUE"""),"USA")</f>
        <v>USA</v>
      </c>
      <c r="I44" s="66" t="str">
        <f>IFERROR(__xludf.DUMMYFUNCTION("""COMPUTED_VALUE"""),"CA")</f>
        <v>CA</v>
      </c>
      <c r="J44" s="66" t="str">
        <f>IFERROR(__xludf.DUMMYFUNCTION("""COMPUTED_VALUE"""),"Northern CA")</f>
        <v>Northern CA</v>
      </c>
      <c r="K44" s="66" t="str">
        <f>IFERROR(__xludf.DUMMYFUNCTION("""COMPUTED_VALUE"""),"Napa Valley")</f>
        <v>Napa Valley</v>
      </c>
      <c r="L44" s="66"/>
      <c r="M44" s="66"/>
      <c r="N44" s="70">
        <f>IFERROR(__xludf.DUMMYFUNCTION("""COMPUTED_VALUE"""),65.0)</f>
        <v>65</v>
      </c>
      <c r="O44" s="66">
        <f>IFERROR(__xludf.DUMMYFUNCTION("""COMPUTED_VALUE"""),750.0)</f>
        <v>750</v>
      </c>
      <c r="P44" s="66" t="str">
        <f>IFERROR(__xludf.DUMMYFUNCTION("""COMPUTED_VALUE"""),"Short")</f>
        <v>Short</v>
      </c>
      <c r="Q44" s="66" t="str">
        <f>IFERROR(__xludf.DUMMYFUNCTION("""COMPUTED_VALUE"""),"R/M1")</f>
        <v>R/M1</v>
      </c>
      <c r="R44" s="66"/>
      <c r="S44" s="66" t="b">
        <f>IFERROR(__xludf.DUMMYFUNCTION("""COMPUTED_VALUE"""),FALSE)</f>
        <v>0</v>
      </c>
      <c r="T44" s="66" t="b">
        <f>IFERROR(__xludf.DUMMYFUNCTION("""COMPUTED_VALUE"""),FALSE)</f>
        <v>0</v>
      </c>
      <c r="U44" s="66" t="b">
        <f>IFERROR(__xludf.DUMMYFUNCTION("""COMPUTED_VALUE"""),FALSE)</f>
        <v>0</v>
      </c>
      <c r="V44" s="66" t="b">
        <f>IFERROR(__xludf.DUMMYFUNCTION("""COMPUTED_VALUE"""),FALSE)</f>
        <v>0</v>
      </c>
      <c r="W44" s="66" t="b">
        <f>IFERROR(__xludf.DUMMYFUNCTION("""COMPUTED_VALUE"""),FALSE)</f>
        <v>0</v>
      </c>
    </row>
    <row r="45">
      <c r="A45" s="66" t="str">
        <f>IFERROR(__xludf.DUMMYFUNCTION("""COMPUTED_VALUE"""),"R")</f>
        <v>R</v>
      </c>
      <c r="B45" s="66" t="str">
        <f>IFERROR(__xludf.DUMMYFUNCTION("""COMPUTED_VALUE"""),"Red")</f>
        <v>Red</v>
      </c>
      <c r="C45" s="66">
        <f>IFERROR(__xludf.DUMMYFUNCTION("""COMPUTED_VALUE"""),1.0)</f>
        <v>1</v>
      </c>
      <c r="D45" s="66">
        <f>IFERROR(__xludf.DUMMYFUNCTION("""COMPUTED_VALUE"""),2019.0)</f>
        <v>2019</v>
      </c>
      <c r="E45" s="66" t="str">
        <f>IFERROR(__xludf.DUMMYFUNCTION("""COMPUTED_VALUE"""),"GC Lurton")</f>
        <v>GC Lurton</v>
      </c>
      <c r="F45" s="66" t="str">
        <f>IFERROR(__xludf.DUMMYFUNCTION("""COMPUTED_VALUE"""),"Cabernet Franc")</f>
        <v>Cabernet Franc</v>
      </c>
      <c r="G45" s="66" t="str">
        <f>IFERROR(__xludf.DUMMYFUNCTION("""COMPUTED_VALUE"""),"Cabernet Franc")</f>
        <v>Cabernet Franc</v>
      </c>
      <c r="H45" s="66" t="str">
        <f>IFERROR(__xludf.DUMMYFUNCTION("""COMPUTED_VALUE"""),"USA")</f>
        <v>USA</v>
      </c>
      <c r="I45" s="66" t="str">
        <f>IFERROR(__xludf.DUMMYFUNCTION("""COMPUTED_VALUE"""),"CA")</f>
        <v>CA</v>
      </c>
      <c r="J45" s="66" t="str">
        <f>IFERROR(__xludf.DUMMYFUNCTION("""COMPUTED_VALUE"""),"Northern CA")</f>
        <v>Northern CA</v>
      </c>
      <c r="K45" s="66" t="str">
        <f>IFERROR(__xludf.DUMMYFUNCTION("""COMPUTED_VALUE"""),"Sonoma County")</f>
        <v>Sonoma County</v>
      </c>
      <c r="L45" s="66"/>
      <c r="M45" s="66"/>
      <c r="N45" s="70">
        <f>IFERROR(__xludf.DUMMYFUNCTION("""COMPUTED_VALUE"""),45.0)</f>
        <v>45</v>
      </c>
      <c r="O45" s="66">
        <f>IFERROR(__xludf.DUMMYFUNCTION("""COMPUTED_VALUE"""),750.0)</f>
        <v>750</v>
      </c>
      <c r="P45" s="66" t="str">
        <f>IFERROR(__xludf.DUMMYFUNCTION("""COMPUTED_VALUE"""),"Short")</f>
        <v>Short</v>
      </c>
      <c r="Q45" s="66" t="str">
        <f>IFERROR(__xludf.DUMMYFUNCTION("""COMPUTED_VALUE"""),"M/S1")</f>
        <v>M/S1</v>
      </c>
      <c r="R45" s="66"/>
      <c r="S45" s="66" t="b">
        <f>IFERROR(__xludf.DUMMYFUNCTION("""COMPUTED_VALUE"""),TRUE)</f>
        <v>1</v>
      </c>
      <c r="T45" s="66" t="b">
        <f>IFERROR(__xludf.DUMMYFUNCTION("""COMPUTED_VALUE"""),TRUE)</f>
        <v>1</v>
      </c>
      <c r="U45" s="66" t="b">
        <f>IFERROR(__xludf.DUMMYFUNCTION("""COMPUTED_VALUE"""),FALSE)</f>
        <v>0</v>
      </c>
      <c r="V45" s="66" t="b">
        <f>IFERROR(__xludf.DUMMYFUNCTION("""COMPUTED_VALUE"""),FALSE)</f>
        <v>0</v>
      </c>
      <c r="W45" s="66" t="b">
        <f>IFERROR(__xludf.DUMMYFUNCTION("""COMPUTED_VALUE"""),TRUE)</f>
        <v>1</v>
      </c>
    </row>
    <row r="46">
      <c r="A46" s="66" t="str">
        <f>IFERROR(__xludf.DUMMYFUNCTION("""COMPUTED_VALUE"""),"R")</f>
        <v>R</v>
      </c>
      <c r="B46" s="66" t="str">
        <f>IFERROR(__xludf.DUMMYFUNCTION("""COMPUTED_VALUE"""),"Red")</f>
        <v>Red</v>
      </c>
      <c r="C46" s="66">
        <f>IFERROR(__xludf.DUMMYFUNCTION("""COMPUTED_VALUE"""),1.0)</f>
        <v>1</v>
      </c>
      <c r="D46" s="66">
        <f>IFERROR(__xludf.DUMMYFUNCTION("""COMPUTED_VALUE"""),2019.0)</f>
        <v>2019</v>
      </c>
      <c r="E46" s="66" t="str">
        <f>IFERROR(__xludf.DUMMYFUNCTION("""COMPUTED_VALUE"""),"Domaine de la Vieille Julienne")</f>
        <v>Domaine de la Vieille Julienne</v>
      </c>
      <c r="F46" s="66" t="str">
        <f>IFERROR(__xludf.DUMMYFUNCTION("""COMPUTED_VALUE"""),"lieu-dit Clavin")</f>
        <v>lieu-dit Clavin</v>
      </c>
      <c r="G46" s="66" t="str">
        <f>IFERROR(__xludf.DUMMYFUNCTION("""COMPUTED_VALUE"""),"Rhone Blend")</f>
        <v>Rhone Blend</v>
      </c>
      <c r="H46" s="66" t="str">
        <f>IFERROR(__xludf.DUMMYFUNCTION("""COMPUTED_VALUE"""),"France")</f>
        <v>France</v>
      </c>
      <c r="I46" s="66"/>
      <c r="J46" s="66" t="str">
        <f>IFERROR(__xludf.DUMMYFUNCTION("""COMPUTED_VALUE"""),"Southern Rhone")</f>
        <v>Southern Rhone</v>
      </c>
      <c r="K46" s="66" t="str">
        <f>IFERROR(__xludf.DUMMYFUNCTION("""COMPUTED_VALUE"""),"Côtes-du-Rhone")</f>
        <v>Côtes-du-Rhone</v>
      </c>
      <c r="L46" s="66"/>
      <c r="M46" s="66"/>
      <c r="N46" s="70">
        <f>IFERROR(__xludf.DUMMYFUNCTION("""COMPUTED_VALUE"""),30.0)</f>
        <v>30</v>
      </c>
      <c r="O46" s="66">
        <f>IFERROR(__xludf.DUMMYFUNCTION("""COMPUTED_VALUE"""),750.0)</f>
        <v>750</v>
      </c>
      <c r="P46" s="66" t="str">
        <f>IFERROR(__xludf.DUMMYFUNCTION("""COMPUTED_VALUE"""),"Short")</f>
        <v>Short</v>
      </c>
      <c r="Q46" s="66" t="str">
        <f>IFERROR(__xludf.DUMMYFUNCTION("""COMPUTED_VALUE"""),"Loose")</f>
        <v>Loose</v>
      </c>
      <c r="R46" s="66"/>
      <c r="S46" s="66" t="b">
        <f>IFERROR(__xludf.DUMMYFUNCTION("""COMPUTED_VALUE"""),FALSE)</f>
        <v>0</v>
      </c>
      <c r="T46" s="66" t="b">
        <f>IFERROR(__xludf.DUMMYFUNCTION("""COMPUTED_VALUE"""),FALSE)</f>
        <v>0</v>
      </c>
      <c r="U46" s="66" t="b">
        <f>IFERROR(__xludf.DUMMYFUNCTION("""COMPUTED_VALUE"""),FALSE)</f>
        <v>0</v>
      </c>
      <c r="V46" s="66" t="b">
        <f>IFERROR(__xludf.DUMMYFUNCTION("""COMPUTED_VALUE"""),FALSE)</f>
        <v>0</v>
      </c>
      <c r="W46" s="66" t="b">
        <f>IFERROR(__xludf.DUMMYFUNCTION("""COMPUTED_VALUE"""),FALSE)</f>
        <v>0</v>
      </c>
    </row>
    <row r="47">
      <c r="A47" s="66" t="str">
        <f>IFERROR(__xludf.DUMMYFUNCTION("""COMPUTED_VALUE"""),"R")</f>
        <v>R</v>
      </c>
      <c r="B47" s="66" t="str">
        <f>IFERROR(__xludf.DUMMYFUNCTION("""COMPUTED_VALUE"""),"Red")</f>
        <v>Red</v>
      </c>
      <c r="C47" s="66">
        <f>IFERROR(__xludf.DUMMYFUNCTION("""COMPUTED_VALUE"""),1.0)</f>
        <v>1</v>
      </c>
      <c r="D47" s="66">
        <f>IFERROR(__xludf.DUMMYFUNCTION("""COMPUTED_VALUE"""),2019.0)</f>
        <v>2019</v>
      </c>
      <c r="E47" s="66" t="str">
        <f>IFERROR(__xludf.DUMMYFUNCTION("""COMPUTED_VALUE"""),"Raen Vineyards")</f>
        <v>Raen Vineyards</v>
      </c>
      <c r="F47" s="66" t="str">
        <f>IFERROR(__xludf.DUMMYFUNCTION("""COMPUTED_VALUE"""),"Royal St. Robert - Sonoma Coast")</f>
        <v>Royal St. Robert - Sonoma Coast</v>
      </c>
      <c r="G47" s="66" t="str">
        <f>IFERROR(__xludf.DUMMYFUNCTION("""COMPUTED_VALUE"""),"Pinot Noir")</f>
        <v>Pinot Noir</v>
      </c>
      <c r="H47" s="66" t="str">
        <f>IFERROR(__xludf.DUMMYFUNCTION("""COMPUTED_VALUE"""),"USA")</f>
        <v>USA</v>
      </c>
      <c r="I47" s="66" t="str">
        <f>IFERROR(__xludf.DUMMYFUNCTION("""COMPUTED_VALUE"""),"CA")</f>
        <v>CA</v>
      </c>
      <c r="J47" s="66" t="str">
        <f>IFERROR(__xludf.DUMMYFUNCTION("""COMPUTED_VALUE"""),"Northern CA")</f>
        <v>Northern CA</v>
      </c>
      <c r="K47" s="66" t="str">
        <f>IFERROR(__xludf.DUMMYFUNCTION("""COMPUTED_VALUE"""),"Sonoma Coast")</f>
        <v>Sonoma Coast</v>
      </c>
      <c r="L47" s="66"/>
      <c r="M47" s="66"/>
      <c r="N47" s="70">
        <f>IFERROR(__xludf.DUMMYFUNCTION("""COMPUTED_VALUE"""),60.0)</f>
        <v>60</v>
      </c>
      <c r="O47" s="66">
        <f>IFERROR(__xludf.DUMMYFUNCTION("""COMPUTED_VALUE"""),750.0)</f>
        <v>750</v>
      </c>
      <c r="P47" s="66" t="str">
        <f>IFERROR(__xludf.DUMMYFUNCTION("""COMPUTED_VALUE"""),"Short")</f>
        <v>Short</v>
      </c>
      <c r="Q47" s="66" t="str">
        <f>IFERROR(__xludf.DUMMYFUNCTION("""COMPUTED_VALUE"""),"M/S2")</f>
        <v>M/S2</v>
      </c>
      <c r="R47" s="66"/>
      <c r="S47" s="66" t="b">
        <f>IFERROR(__xludf.DUMMYFUNCTION("""COMPUTED_VALUE"""),TRUE)</f>
        <v>1</v>
      </c>
      <c r="T47" s="66" t="b">
        <f>IFERROR(__xludf.DUMMYFUNCTION("""COMPUTED_VALUE"""),TRUE)</f>
        <v>1</v>
      </c>
      <c r="U47" s="66" t="b">
        <f>IFERROR(__xludf.DUMMYFUNCTION("""COMPUTED_VALUE"""),FALSE)</f>
        <v>0</v>
      </c>
      <c r="V47" s="66" t="b">
        <f>IFERROR(__xludf.DUMMYFUNCTION("""COMPUTED_VALUE"""),FALSE)</f>
        <v>0</v>
      </c>
      <c r="W47" s="66" t="b">
        <f>IFERROR(__xludf.DUMMYFUNCTION("""COMPUTED_VALUE"""),FALSE)</f>
        <v>0</v>
      </c>
    </row>
    <row r="48">
      <c r="A48" s="66" t="str">
        <f>IFERROR(__xludf.DUMMYFUNCTION("""COMPUTED_VALUE"""),"R")</f>
        <v>R</v>
      </c>
      <c r="B48" s="66" t="str">
        <f>IFERROR(__xludf.DUMMYFUNCTION("""COMPUTED_VALUE"""),"Red")</f>
        <v>Red</v>
      </c>
      <c r="C48" s="66">
        <f>IFERROR(__xludf.DUMMYFUNCTION("""COMPUTED_VALUE"""),1.0)</f>
        <v>1</v>
      </c>
      <c r="D48" s="66">
        <f>IFERROR(__xludf.DUMMYFUNCTION("""COMPUTED_VALUE"""),2019.0)</f>
        <v>2019</v>
      </c>
      <c r="E48" s="66" t="str">
        <f>IFERROR(__xludf.DUMMYFUNCTION("""COMPUTED_VALUE"""),"Matthiasson Winery")</f>
        <v>Matthiasson Winery</v>
      </c>
      <c r="F48" s="66" t="str">
        <f>IFERROR(__xludf.DUMMYFUNCTION("""COMPUTED_VALUE"""),"Phoenix Vineyard Merlot")</f>
        <v>Phoenix Vineyard Merlot</v>
      </c>
      <c r="G48" s="66" t="str">
        <f>IFERROR(__xludf.DUMMYFUNCTION("""COMPUTED_VALUE"""),"Merlot")</f>
        <v>Merlot</v>
      </c>
      <c r="H48" s="66" t="str">
        <f>IFERROR(__xludf.DUMMYFUNCTION("""COMPUTED_VALUE"""),"USA")</f>
        <v>USA</v>
      </c>
      <c r="I48" s="66" t="str">
        <f>IFERROR(__xludf.DUMMYFUNCTION("""COMPUTED_VALUE"""),"CA")</f>
        <v>CA</v>
      </c>
      <c r="J48" s="66" t="str">
        <f>IFERROR(__xludf.DUMMYFUNCTION("""COMPUTED_VALUE"""),"Napa Valley")</f>
        <v>Napa Valley</v>
      </c>
      <c r="K48" s="66"/>
      <c r="L48" s="66"/>
      <c r="M48" s="66" t="str">
        <f>IFERROR(__xludf.DUMMYFUNCTION("""COMPUTED_VALUE"""),"Phoenix Vineyard")</f>
        <v>Phoenix Vineyard</v>
      </c>
      <c r="N48" s="70">
        <f>IFERROR(__xludf.DUMMYFUNCTION("""COMPUTED_VALUE"""),70.0)</f>
        <v>70</v>
      </c>
      <c r="O48" s="66">
        <f>IFERROR(__xludf.DUMMYFUNCTION("""COMPUTED_VALUE"""),750.0)</f>
        <v>750</v>
      </c>
      <c r="P48" s="66" t="str">
        <f>IFERROR(__xludf.DUMMYFUNCTION("""COMPUTED_VALUE"""),"Short")</f>
        <v>Short</v>
      </c>
      <c r="Q48" s="66" t="str">
        <f>IFERROR(__xludf.DUMMYFUNCTION("""COMPUTED_VALUE"""),"M4")</f>
        <v>M4</v>
      </c>
      <c r="R48" s="66"/>
      <c r="S48" s="66" t="b">
        <f>IFERROR(__xludf.DUMMYFUNCTION("""COMPUTED_VALUE"""),FALSE)</f>
        <v>0</v>
      </c>
      <c r="T48" s="66" t="b">
        <f>IFERROR(__xludf.DUMMYFUNCTION("""COMPUTED_VALUE"""),FALSE)</f>
        <v>0</v>
      </c>
      <c r="U48" s="66" t="b">
        <f>IFERROR(__xludf.DUMMYFUNCTION("""COMPUTED_VALUE"""),FALSE)</f>
        <v>0</v>
      </c>
      <c r="V48" s="66" t="b">
        <f>IFERROR(__xludf.DUMMYFUNCTION("""COMPUTED_VALUE"""),FALSE)</f>
        <v>0</v>
      </c>
      <c r="W48" s="66" t="b">
        <f>IFERROR(__xludf.DUMMYFUNCTION("""COMPUTED_VALUE"""),FALSE)</f>
        <v>0</v>
      </c>
    </row>
    <row r="49">
      <c r="A49" s="66" t="str">
        <f>IFERROR(__xludf.DUMMYFUNCTION("""COMPUTED_VALUE"""),"R")</f>
        <v>R</v>
      </c>
      <c r="B49" s="66" t="str">
        <f>IFERROR(__xludf.DUMMYFUNCTION("""COMPUTED_VALUE"""),"Red")</f>
        <v>Red</v>
      </c>
      <c r="C49" s="66">
        <f>IFERROR(__xludf.DUMMYFUNCTION("""COMPUTED_VALUE"""),1.0)</f>
        <v>1</v>
      </c>
      <c r="D49" s="66">
        <f>IFERROR(__xludf.DUMMYFUNCTION("""COMPUTED_VALUE"""),2015.0)</f>
        <v>2015</v>
      </c>
      <c r="E49" s="66" t="str">
        <f>IFERROR(__xludf.DUMMYFUNCTION("""COMPUTED_VALUE"""),"Grgich Hills")</f>
        <v>Grgich Hills</v>
      </c>
      <c r="F49" s="66" t="str">
        <f>IFERROR(__xludf.DUMMYFUNCTION("""COMPUTED_VALUE"""),"Old Vine Zinfandel")</f>
        <v>Old Vine Zinfandel</v>
      </c>
      <c r="G49" s="66" t="str">
        <f>IFERROR(__xludf.DUMMYFUNCTION("""COMPUTED_VALUE"""),"Zinfandel")</f>
        <v>Zinfandel</v>
      </c>
      <c r="H49" s="66" t="str">
        <f>IFERROR(__xludf.DUMMYFUNCTION("""COMPUTED_VALUE"""),"USA")</f>
        <v>USA</v>
      </c>
      <c r="I49" s="66" t="str">
        <f>IFERROR(__xludf.DUMMYFUNCTION("""COMPUTED_VALUE"""),"CA")</f>
        <v>CA</v>
      </c>
      <c r="J49" s="66" t="str">
        <f>IFERROR(__xludf.DUMMYFUNCTION("""COMPUTED_VALUE"""),"Northern CA")</f>
        <v>Northern CA</v>
      </c>
      <c r="K49" s="66" t="str">
        <f>IFERROR(__xludf.DUMMYFUNCTION("""COMPUTED_VALUE"""),"Napa Valley")</f>
        <v>Napa Valley</v>
      </c>
      <c r="L49" s="66" t="str">
        <f>IFERROR(__xludf.DUMMYFUNCTION("""COMPUTED_VALUE"""),"Rutherford")</f>
        <v>Rutherford</v>
      </c>
      <c r="M49" s="66"/>
      <c r="N49" s="70">
        <f>IFERROR(__xludf.DUMMYFUNCTION("""COMPUTED_VALUE"""),125.0)</f>
        <v>125</v>
      </c>
      <c r="O49" s="66">
        <f>IFERROR(__xludf.DUMMYFUNCTION("""COMPUTED_VALUE"""),750.0)</f>
        <v>750</v>
      </c>
      <c r="P49" s="66" t="str">
        <f>IFERROR(__xludf.DUMMYFUNCTION("""COMPUTED_VALUE"""),"Short")</f>
        <v>Short</v>
      </c>
      <c r="Q49" s="66" t="str">
        <f>IFERROR(__xludf.DUMMYFUNCTION("""COMPUTED_VALUE"""),"S2")</f>
        <v>S2</v>
      </c>
      <c r="R49" s="66"/>
      <c r="S49" s="66" t="b">
        <f>IFERROR(__xludf.DUMMYFUNCTION("""COMPUTED_VALUE"""),TRUE)</f>
        <v>1</v>
      </c>
      <c r="T49" s="66" t="b">
        <f>IFERROR(__xludf.DUMMYFUNCTION("""COMPUTED_VALUE"""),TRUE)</f>
        <v>1</v>
      </c>
      <c r="U49" s="66" t="b">
        <f>IFERROR(__xludf.DUMMYFUNCTION("""COMPUTED_VALUE"""),FALSE)</f>
        <v>0</v>
      </c>
      <c r="V49" s="66" t="b">
        <f>IFERROR(__xludf.DUMMYFUNCTION("""COMPUTED_VALUE"""),TRUE)</f>
        <v>1</v>
      </c>
      <c r="W49" s="66" t="b">
        <f>IFERROR(__xludf.DUMMYFUNCTION("""COMPUTED_VALUE"""),FALSE)</f>
        <v>0</v>
      </c>
    </row>
    <row r="50">
      <c r="A50" s="66" t="str">
        <f>IFERROR(__xludf.DUMMYFUNCTION("""COMPUTED_VALUE"""),"R")</f>
        <v>R</v>
      </c>
      <c r="B50" s="66" t="str">
        <f>IFERROR(__xludf.DUMMYFUNCTION("""COMPUTED_VALUE"""),"Red")</f>
        <v>Red</v>
      </c>
      <c r="C50" s="66">
        <f>IFERROR(__xludf.DUMMYFUNCTION("""COMPUTED_VALUE"""),1.0)</f>
        <v>1</v>
      </c>
      <c r="D50" s="66">
        <f>IFERROR(__xludf.DUMMYFUNCTION("""COMPUTED_VALUE"""),2019.0)</f>
        <v>2019</v>
      </c>
      <c r="E50" s="66" t="str">
        <f>IFERROR(__xludf.DUMMYFUNCTION("""COMPUTED_VALUE"""),"Joseph Phelps Winery")</f>
        <v>Joseph Phelps Winery</v>
      </c>
      <c r="F50" s="66" t="str">
        <f>IFERROR(__xludf.DUMMYFUNCTION("""COMPUTED_VALUE"""),"Freestone Vineyard")</f>
        <v>Freestone Vineyard</v>
      </c>
      <c r="G50" s="66" t="str">
        <f>IFERROR(__xludf.DUMMYFUNCTION("""COMPUTED_VALUE"""),"Pinot Noir")</f>
        <v>Pinot Noir</v>
      </c>
      <c r="H50" s="66" t="str">
        <f>IFERROR(__xludf.DUMMYFUNCTION("""COMPUTED_VALUE"""),"USA")</f>
        <v>USA</v>
      </c>
      <c r="I50" s="66" t="str">
        <f>IFERROR(__xludf.DUMMYFUNCTION("""COMPUTED_VALUE"""),"CA")</f>
        <v>CA</v>
      </c>
      <c r="J50" s="66" t="str">
        <f>IFERROR(__xludf.DUMMYFUNCTION("""COMPUTED_VALUE"""),"Sonoma Coast")</f>
        <v>Sonoma Coast</v>
      </c>
      <c r="K50" s="66"/>
      <c r="L50" s="66"/>
      <c r="M50" s="66" t="str">
        <f>IFERROR(__xludf.DUMMYFUNCTION("""COMPUTED_VALUE"""),"Freestone Vineyard")</f>
        <v>Freestone Vineyard</v>
      </c>
      <c r="N50" s="70">
        <f>IFERROR(__xludf.DUMMYFUNCTION("""COMPUTED_VALUE"""),45.0)</f>
        <v>45</v>
      </c>
      <c r="O50" s="66">
        <f>IFERROR(__xludf.DUMMYFUNCTION("""COMPUTED_VALUE"""),750.0)</f>
        <v>750</v>
      </c>
      <c r="P50" s="66" t="str">
        <f>IFERROR(__xludf.DUMMYFUNCTION("""COMPUTED_VALUE"""),"Now")</f>
        <v>Now</v>
      </c>
      <c r="Q50" s="66" t="str">
        <f>IFERROR(__xludf.DUMMYFUNCTION("""COMPUTED_VALUE"""),"M/S1")</f>
        <v>M/S1</v>
      </c>
      <c r="R50" s="66"/>
      <c r="S50" s="66" t="b">
        <f>IFERROR(__xludf.DUMMYFUNCTION("""COMPUTED_VALUE"""),FALSE)</f>
        <v>0</v>
      </c>
      <c r="T50" s="66" t="b">
        <f>IFERROR(__xludf.DUMMYFUNCTION("""COMPUTED_VALUE"""),FALSE)</f>
        <v>0</v>
      </c>
      <c r="U50" s="66" t="b">
        <f>IFERROR(__xludf.DUMMYFUNCTION("""COMPUTED_VALUE"""),FALSE)</f>
        <v>0</v>
      </c>
      <c r="V50" s="66" t="b">
        <f>IFERROR(__xludf.DUMMYFUNCTION("""COMPUTED_VALUE"""),FALSE)</f>
        <v>0</v>
      </c>
      <c r="W50" s="66" t="b">
        <f>IFERROR(__xludf.DUMMYFUNCTION("""COMPUTED_VALUE"""),TRUE)</f>
        <v>1</v>
      </c>
    </row>
    <row r="51">
      <c r="A51" s="66" t="str">
        <f>IFERROR(__xludf.DUMMYFUNCTION("""COMPUTED_VALUE"""),"R")</f>
        <v>R</v>
      </c>
      <c r="B51" s="66" t="str">
        <f>IFERROR(__xludf.DUMMYFUNCTION("""COMPUTED_VALUE"""),"Sparkling")</f>
        <v>Sparkling</v>
      </c>
      <c r="C51" s="66">
        <f>IFERROR(__xludf.DUMMYFUNCTION("""COMPUTED_VALUE"""),1.0)</f>
        <v>1</v>
      </c>
      <c r="D51" s="66"/>
      <c r="E51" s="66" t="str">
        <f>IFERROR(__xludf.DUMMYFUNCTION("""COMPUTED_VALUE"""),"Domaine Carneros")</f>
        <v>Domaine Carneros</v>
      </c>
      <c r="F51" s="66" t="str">
        <f>IFERROR(__xludf.DUMMYFUNCTION("""COMPUTED_VALUE"""),"Blanc de Noir")</f>
        <v>Blanc de Noir</v>
      </c>
      <c r="G51" s="66" t="str">
        <f>IFERROR(__xludf.DUMMYFUNCTION("""COMPUTED_VALUE"""),"Other")</f>
        <v>Other</v>
      </c>
      <c r="H51" s="66" t="str">
        <f>IFERROR(__xludf.DUMMYFUNCTION("""COMPUTED_VALUE"""),"USA")</f>
        <v>USA</v>
      </c>
      <c r="I51" s="66" t="str">
        <f>IFERROR(__xludf.DUMMYFUNCTION("""COMPUTED_VALUE"""),"CA")</f>
        <v>CA</v>
      </c>
      <c r="J51" s="66" t="str">
        <f>IFERROR(__xludf.DUMMYFUNCTION("""COMPUTED_VALUE"""),"Northern CA")</f>
        <v>Northern CA</v>
      </c>
      <c r="K51" s="66"/>
      <c r="L51" s="66"/>
      <c r="M51" s="66"/>
      <c r="N51" s="70">
        <f>IFERROR(__xludf.DUMMYFUNCTION("""COMPUTED_VALUE"""),40.0)</f>
        <v>40</v>
      </c>
      <c r="O51" s="66">
        <f>IFERROR(__xludf.DUMMYFUNCTION("""COMPUTED_VALUE"""),750.0)</f>
        <v>750</v>
      </c>
      <c r="P51" s="66" t="str">
        <f>IFERROR(__xludf.DUMMYFUNCTION("""COMPUTED_VALUE"""),"Short")</f>
        <v>Short</v>
      </c>
      <c r="Q51" s="66" t="str">
        <f>IFERROR(__xludf.DUMMYFUNCTION("""COMPUTED_VALUE"""),"Krug")</f>
        <v>Krug</v>
      </c>
      <c r="R51" s="66"/>
      <c r="S51" s="66" t="b">
        <f>IFERROR(__xludf.DUMMYFUNCTION("""COMPUTED_VALUE"""),TRUE)</f>
        <v>1</v>
      </c>
      <c r="T51" s="66" t="b">
        <f>IFERROR(__xludf.DUMMYFUNCTION("""COMPUTED_VALUE"""),TRUE)</f>
        <v>1</v>
      </c>
      <c r="U51" s="66" t="b">
        <f>IFERROR(__xludf.DUMMYFUNCTION("""COMPUTED_VALUE"""),FALSE)</f>
        <v>0</v>
      </c>
      <c r="V51" s="66" t="b">
        <f>IFERROR(__xludf.DUMMYFUNCTION("""COMPUTED_VALUE"""),FALSE)</f>
        <v>0</v>
      </c>
      <c r="W51" s="66" t="b">
        <f>IFERROR(__xludf.DUMMYFUNCTION("""COMPUTED_VALUE"""),FALSE)</f>
        <v>0</v>
      </c>
    </row>
    <row r="52">
      <c r="A52" s="66" t="str">
        <f>IFERROR(__xludf.DUMMYFUNCTION("""COMPUTED_VALUE"""),"R")</f>
        <v>R</v>
      </c>
      <c r="B52" s="66" t="str">
        <f>IFERROR(__xludf.DUMMYFUNCTION("""COMPUTED_VALUE"""),"White")</f>
        <v>White</v>
      </c>
      <c r="C52" s="66">
        <f>IFERROR(__xludf.DUMMYFUNCTION("""COMPUTED_VALUE"""),3.0)</f>
        <v>3</v>
      </c>
      <c r="D52" s="66">
        <f>IFERROR(__xludf.DUMMYFUNCTION("""COMPUTED_VALUE"""),2019.0)</f>
        <v>2019</v>
      </c>
      <c r="E52" s="66" t="str">
        <f>IFERROR(__xludf.DUMMYFUNCTION("""COMPUTED_VALUE"""),"Arenae Colares")</f>
        <v>Arenae Colares</v>
      </c>
      <c r="F52" s="66" t="str">
        <f>IFERROR(__xludf.DUMMYFUNCTION("""COMPUTED_VALUE"""),"Malvasia Colares Vinho Branco")</f>
        <v>Malvasia Colares Vinho Branco</v>
      </c>
      <c r="G52" s="66" t="str">
        <f>IFERROR(__xludf.DUMMYFUNCTION("""COMPUTED_VALUE"""),"Other")</f>
        <v>Other</v>
      </c>
      <c r="H52" s="66" t="str">
        <f>IFERROR(__xludf.DUMMYFUNCTION("""COMPUTED_VALUE"""),"Portugal")</f>
        <v>Portugal</v>
      </c>
      <c r="I52" s="66"/>
      <c r="J52" s="66"/>
      <c r="K52" s="66"/>
      <c r="L52" s="66" t="str">
        <f>IFERROR(__xludf.DUMMYFUNCTION("""COMPUTED_VALUE"""),"Colares")</f>
        <v>Colares</v>
      </c>
      <c r="M52" s="66"/>
      <c r="N52" s="70">
        <f>IFERROR(__xludf.DUMMYFUNCTION("""COMPUTED_VALUE"""),30.0)</f>
        <v>30</v>
      </c>
      <c r="O52" s="66">
        <f>IFERROR(__xludf.DUMMYFUNCTION("""COMPUTED_VALUE"""),500.0)</f>
        <v>500</v>
      </c>
      <c r="P52" s="66" t="str">
        <f>IFERROR(__xludf.DUMMYFUNCTION("""COMPUTED_VALUE"""),"Short")</f>
        <v>Short</v>
      </c>
      <c r="Q52" s="66" t="str">
        <f>IFERROR(__xludf.DUMMYFUNCTION("""COMPUTED_VALUE"""),"Own Colares Box")</f>
        <v>Own Colares Box</v>
      </c>
      <c r="R52" s="66"/>
      <c r="S52" s="66" t="b">
        <f>IFERROR(__xludf.DUMMYFUNCTION("""COMPUTED_VALUE"""),FALSE)</f>
        <v>0</v>
      </c>
      <c r="T52" s="66" t="b">
        <f>IFERROR(__xludf.DUMMYFUNCTION("""COMPUTED_VALUE"""),FALSE)</f>
        <v>0</v>
      </c>
      <c r="U52" s="66" t="b">
        <f>IFERROR(__xludf.DUMMYFUNCTION("""COMPUTED_VALUE"""),FALSE)</f>
        <v>0</v>
      </c>
      <c r="V52" s="66" t="b">
        <f>IFERROR(__xludf.DUMMYFUNCTION("""COMPUTED_VALUE"""),FALSE)</f>
        <v>0</v>
      </c>
      <c r="W52" s="66" t="b">
        <f>IFERROR(__xludf.DUMMYFUNCTION("""COMPUTED_VALUE"""),FALSE)</f>
        <v>0</v>
      </c>
    </row>
    <row r="53">
      <c r="A53" s="66" t="str">
        <f>IFERROR(__xludf.DUMMYFUNCTION("""COMPUTED_VALUE"""),"R+M")</f>
        <v>R+M</v>
      </c>
      <c r="B53" s="66" t="str">
        <f>IFERROR(__xludf.DUMMYFUNCTION("""COMPUTED_VALUE"""),"Red")</f>
        <v>Red</v>
      </c>
      <c r="C53" s="66">
        <f>IFERROR(__xludf.DUMMYFUNCTION("""COMPUTED_VALUE"""),2.0)</f>
        <v>2</v>
      </c>
      <c r="D53" s="66">
        <f>IFERROR(__xludf.DUMMYFUNCTION("""COMPUTED_VALUE"""),2020.0)</f>
        <v>2020</v>
      </c>
      <c r="E53" s="66" t="str">
        <f>IFERROR(__xludf.DUMMYFUNCTION("""COMPUTED_VALUE"""),"Di Costanzo")</f>
        <v>Di Costanzo</v>
      </c>
      <c r="F53" s="66" t="str">
        <f>IFERROR(__xludf.DUMMYFUNCTION("""COMPUTED_VALUE"""),"DI CO")</f>
        <v>DI CO</v>
      </c>
      <c r="G53" s="66" t="str">
        <f>IFERROR(__xludf.DUMMYFUNCTION("""COMPUTED_VALUE"""),"Cabernet Sauvignon")</f>
        <v>Cabernet Sauvignon</v>
      </c>
      <c r="H53" s="66" t="str">
        <f>IFERROR(__xludf.DUMMYFUNCTION("""COMPUTED_VALUE"""),"USA")</f>
        <v>USA</v>
      </c>
      <c r="I53" s="66" t="str">
        <f>IFERROR(__xludf.DUMMYFUNCTION("""COMPUTED_VALUE"""),"CA")</f>
        <v>CA</v>
      </c>
      <c r="J53" s="66" t="str">
        <f>IFERROR(__xludf.DUMMYFUNCTION("""COMPUTED_VALUE"""),"Northern CA")</f>
        <v>Northern CA</v>
      </c>
      <c r="K53" s="66" t="str">
        <f>IFERROR(__xludf.DUMMYFUNCTION("""COMPUTED_VALUE"""),"Napa Valley")</f>
        <v>Napa Valley</v>
      </c>
      <c r="L53" s="66"/>
      <c r="M53" s="66"/>
      <c r="N53" s="70">
        <f>IFERROR(__xludf.DUMMYFUNCTION("""COMPUTED_VALUE"""),65.0)</f>
        <v>65</v>
      </c>
      <c r="O53" s="66">
        <f>IFERROR(__xludf.DUMMYFUNCTION("""COMPUTED_VALUE"""),750.0)</f>
        <v>750</v>
      </c>
      <c r="P53" s="66" t="str">
        <f>IFERROR(__xludf.DUMMYFUNCTION("""COMPUTED_VALUE"""),"Short")</f>
        <v>Short</v>
      </c>
      <c r="Q53" s="66" t="str">
        <f>IFERROR(__xludf.DUMMYFUNCTION("""COMPUTED_VALUE"""),"R/M1")</f>
        <v>R/M1</v>
      </c>
      <c r="R53" s="66"/>
      <c r="S53" s="66" t="b">
        <f>IFERROR(__xludf.DUMMYFUNCTION("""COMPUTED_VALUE"""),FALSE)</f>
        <v>0</v>
      </c>
      <c r="T53" s="66" t="b">
        <f>IFERROR(__xludf.DUMMYFUNCTION("""COMPUTED_VALUE"""),FALSE)</f>
        <v>0</v>
      </c>
      <c r="U53" s="66" t="b">
        <f>IFERROR(__xludf.DUMMYFUNCTION("""COMPUTED_VALUE"""),FALSE)</f>
        <v>0</v>
      </c>
      <c r="V53" s="66" t="b">
        <f>IFERROR(__xludf.DUMMYFUNCTION("""COMPUTED_VALUE"""),FALSE)</f>
        <v>0</v>
      </c>
      <c r="W53" s="66" t="b">
        <f>IFERROR(__xludf.DUMMYFUNCTION("""COMPUTED_VALUE"""),FALSE)</f>
        <v>0</v>
      </c>
    </row>
    <row r="54">
      <c r="A54" s="66" t="str">
        <f>IFERROR(__xludf.DUMMYFUNCTION("""COMPUTED_VALUE"""),"R")</f>
        <v>R</v>
      </c>
      <c r="B54" s="66" t="str">
        <f>IFERROR(__xludf.DUMMYFUNCTION("""COMPUTED_VALUE"""),"White")</f>
        <v>White</v>
      </c>
      <c r="C54" s="66">
        <f>IFERROR(__xludf.DUMMYFUNCTION("""COMPUTED_VALUE"""),1.0)</f>
        <v>1</v>
      </c>
      <c r="D54" s="66">
        <f>IFERROR(__xludf.DUMMYFUNCTION("""COMPUTED_VALUE"""),2020.0)</f>
        <v>2020</v>
      </c>
      <c r="E54" s="66" t="str">
        <f>IFERROR(__xludf.DUMMYFUNCTION("""COMPUTED_VALUE"""),"Saison Winery")</f>
        <v>Saison Winery</v>
      </c>
      <c r="F54" s="66" t="str">
        <f>IFERROR(__xludf.DUMMYFUNCTION("""COMPUTED_VALUE"""),"Regan Vineyard Chardonnay")</f>
        <v>Regan Vineyard Chardonnay</v>
      </c>
      <c r="G54" s="66" t="str">
        <f>IFERROR(__xludf.DUMMYFUNCTION("""COMPUTED_VALUE"""),"Chardonnay")</f>
        <v>Chardonnay</v>
      </c>
      <c r="H54" s="66" t="str">
        <f>IFERROR(__xludf.DUMMYFUNCTION("""COMPUTED_VALUE"""),"USA")</f>
        <v>USA</v>
      </c>
      <c r="I54" s="66" t="str">
        <f>IFERROR(__xludf.DUMMYFUNCTION("""COMPUTED_VALUE"""),"CA")</f>
        <v>CA</v>
      </c>
      <c r="J54" s="66" t="str">
        <f>IFERROR(__xludf.DUMMYFUNCTION("""COMPUTED_VALUE"""),"Northern CA")</f>
        <v>Northern CA</v>
      </c>
      <c r="K54" s="66" t="str">
        <f>IFERROR(__xludf.DUMMYFUNCTION("""COMPUTED_VALUE"""),"Santa Cruz Mountains")</f>
        <v>Santa Cruz Mountains</v>
      </c>
      <c r="L54" s="66"/>
      <c r="M54" s="66" t="str">
        <f>IFERROR(__xludf.DUMMYFUNCTION("""COMPUTED_VALUE"""),"Regan Vineyards")</f>
        <v>Regan Vineyards</v>
      </c>
      <c r="N54" s="70">
        <f>IFERROR(__xludf.DUMMYFUNCTION("""COMPUTED_VALUE"""),35.0)</f>
        <v>35</v>
      </c>
      <c r="O54" s="66">
        <f>IFERROR(__xludf.DUMMYFUNCTION("""COMPUTED_VALUE"""),750.0)</f>
        <v>750</v>
      </c>
      <c r="P54" s="66" t="str">
        <f>IFERROR(__xludf.DUMMYFUNCTION("""COMPUTED_VALUE"""),"Short")</f>
        <v>Short</v>
      </c>
      <c r="Q54" s="66" t="str">
        <f>IFERROR(__xludf.DUMMYFUNCTION("""COMPUTED_VALUE"""),"M/S1")</f>
        <v>M/S1</v>
      </c>
      <c r="R54" s="66"/>
      <c r="S54" s="66" t="b">
        <f>IFERROR(__xludf.DUMMYFUNCTION("""COMPUTED_VALUE"""),TRUE)</f>
        <v>1</v>
      </c>
      <c r="T54" s="66" t="b">
        <f>IFERROR(__xludf.DUMMYFUNCTION("""COMPUTED_VALUE"""),FALSE)</f>
        <v>0</v>
      </c>
      <c r="U54" s="66" t="b">
        <f>IFERROR(__xludf.DUMMYFUNCTION("""COMPUTED_VALUE"""),TRUE)</f>
        <v>1</v>
      </c>
      <c r="V54" s="66" t="b">
        <f>IFERROR(__xludf.DUMMYFUNCTION("""COMPUTED_VALUE"""),TRUE)</f>
        <v>1</v>
      </c>
      <c r="W54" s="66" t="b">
        <f>IFERROR(__xludf.DUMMYFUNCTION("""COMPUTED_VALUE"""),TRUE)</f>
        <v>1</v>
      </c>
    </row>
    <row r="55">
      <c r="A55" s="66" t="str">
        <f>IFERROR(__xludf.DUMMYFUNCTION("""COMPUTED_VALUE"""),"R")</f>
        <v>R</v>
      </c>
      <c r="B55" s="66" t="str">
        <f>IFERROR(__xludf.DUMMYFUNCTION("""COMPUTED_VALUE"""),"White")</f>
        <v>White</v>
      </c>
      <c r="C55" s="66">
        <f>IFERROR(__xludf.DUMMYFUNCTION("""COMPUTED_VALUE"""),2.0)</f>
        <v>2</v>
      </c>
      <c r="D55" s="66">
        <f>IFERROR(__xludf.DUMMYFUNCTION("""COMPUTED_VALUE"""),2022.0)</f>
        <v>2022</v>
      </c>
      <c r="E55" s="66" t="str">
        <f>IFERROR(__xludf.DUMMYFUNCTION("""COMPUTED_VALUE"""),"Clos Cibonne")</f>
        <v>Clos Cibonne</v>
      </c>
      <c r="F55" s="66" t="str">
        <f>IFERROR(__xludf.DUMMYFUNCTION("""COMPUTED_VALUE"""),"Tibouren")</f>
        <v>Tibouren</v>
      </c>
      <c r="G55" s="66" t="str">
        <f>IFERROR(__xludf.DUMMYFUNCTION("""COMPUTED_VALUE"""),"Other")</f>
        <v>Other</v>
      </c>
      <c r="H55" s="66" t="str">
        <f>IFERROR(__xludf.DUMMYFUNCTION("""COMPUTED_VALUE"""),"France")</f>
        <v>France</v>
      </c>
      <c r="I55" s="66" t="str">
        <f>IFERROR(__xludf.DUMMYFUNCTION("""COMPUTED_VALUE"""),"Southern France")</f>
        <v>Southern France</v>
      </c>
      <c r="J55" s="66" t="str">
        <f>IFERROR(__xludf.DUMMYFUNCTION("""COMPUTED_VALUE"""),"Cotes de Provence")</f>
        <v>Cotes de Provence</v>
      </c>
      <c r="K55" s="66"/>
      <c r="L55" s="66"/>
      <c r="M55" s="66"/>
      <c r="N55" s="70">
        <f>IFERROR(__xludf.DUMMYFUNCTION("""COMPUTED_VALUE"""),30.0)</f>
        <v>30</v>
      </c>
      <c r="O55" s="66"/>
      <c r="P55" s="66" t="str">
        <f>IFERROR(__xludf.DUMMYFUNCTION("""COMPUTED_VALUE"""),"Short")</f>
        <v>Short</v>
      </c>
      <c r="Q55" s="66" t="str">
        <f>IFERROR(__xludf.DUMMYFUNCTION("""COMPUTED_VALUE"""),"M/S1")</f>
        <v>M/S1</v>
      </c>
      <c r="R55" s="66"/>
      <c r="S55" s="66" t="b">
        <f>IFERROR(__xludf.DUMMYFUNCTION("""COMPUTED_VALUE"""),FALSE)</f>
        <v>0</v>
      </c>
      <c r="T55" s="66" t="b">
        <f>IFERROR(__xludf.DUMMYFUNCTION("""COMPUTED_VALUE"""),FALSE)</f>
        <v>0</v>
      </c>
      <c r="U55" s="66" t="b">
        <f>IFERROR(__xludf.DUMMYFUNCTION("""COMPUTED_VALUE"""),FALSE)</f>
        <v>0</v>
      </c>
      <c r="V55" s="66" t="b">
        <f>IFERROR(__xludf.DUMMYFUNCTION("""COMPUTED_VALUE"""),FALSE)</f>
        <v>0</v>
      </c>
      <c r="W55" s="66" t="b">
        <f>IFERROR(__xludf.DUMMYFUNCTION("""COMPUTED_VALUE"""),FALSE)</f>
        <v>0</v>
      </c>
    </row>
    <row r="56">
      <c r="A56" s="66" t="str">
        <f>IFERROR(__xludf.DUMMYFUNCTION("""COMPUTED_VALUE"""),"R+M")</f>
        <v>R+M</v>
      </c>
      <c r="B56" s="66" t="str">
        <f>IFERROR(__xludf.DUMMYFUNCTION("""COMPUTED_VALUE"""),"Red")</f>
        <v>Red</v>
      </c>
      <c r="C56" s="66">
        <f>IFERROR(__xludf.DUMMYFUNCTION("""COMPUTED_VALUE"""),1.0)</f>
        <v>1</v>
      </c>
      <c r="D56" s="66">
        <f>IFERROR(__xludf.DUMMYFUNCTION("""COMPUTED_VALUE"""),2020.0)</f>
        <v>2020</v>
      </c>
      <c r="E56" s="66" t="str">
        <f>IFERROR(__xludf.DUMMYFUNCTION("""COMPUTED_VALUE"""),"Gallica Wine")</f>
        <v>Gallica Wine</v>
      </c>
      <c r="F56" s="66" t="str">
        <f>IFERROR(__xludf.DUMMYFUNCTION("""COMPUTED_VALUE"""),"Heritage Vineyard Albarino")</f>
        <v>Heritage Vineyard Albarino</v>
      </c>
      <c r="G56" s="66" t="str">
        <f>IFERROR(__xludf.DUMMYFUNCTION("""COMPUTED_VALUE"""),"Other")</f>
        <v>Other</v>
      </c>
      <c r="H56" s="66" t="str">
        <f>IFERROR(__xludf.DUMMYFUNCTION("""COMPUTED_VALUE"""),"USA")</f>
        <v>USA</v>
      </c>
      <c r="I56" s="66" t="str">
        <f>IFERROR(__xludf.DUMMYFUNCTION("""COMPUTED_VALUE"""),"CA")</f>
        <v>CA</v>
      </c>
      <c r="J56" s="66" t="str">
        <f>IFERROR(__xludf.DUMMYFUNCTION("""COMPUTED_VALUE"""),"Northern CA")</f>
        <v>Northern CA</v>
      </c>
      <c r="K56" s="66" t="str">
        <f>IFERROR(__xludf.DUMMYFUNCTION("""COMPUTED_VALUE"""),"Sierra Foothills")</f>
        <v>Sierra Foothills</v>
      </c>
      <c r="L56" s="66" t="str">
        <f>IFERROR(__xludf.DUMMYFUNCTION("""COMPUTED_VALUE"""),"Calaveras County")</f>
        <v>Calaveras County</v>
      </c>
      <c r="M56" s="66" t="str">
        <f>IFERROR(__xludf.DUMMYFUNCTION("""COMPUTED_VALUE"""),"Rorick Heritage Vineyard")</f>
        <v>Rorick Heritage Vineyard</v>
      </c>
      <c r="N56" s="70">
        <f>IFERROR(__xludf.DUMMYFUNCTION("""COMPUTED_VALUE"""),30.0)</f>
        <v>30</v>
      </c>
      <c r="O56" s="66">
        <f>IFERROR(__xludf.DUMMYFUNCTION("""COMPUTED_VALUE"""),750.0)</f>
        <v>750</v>
      </c>
      <c r="P56" s="66" t="str">
        <f>IFERROR(__xludf.DUMMYFUNCTION("""COMPUTED_VALUE"""),"Now")</f>
        <v>Now</v>
      </c>
      <c r="Q56" s="66" t="str">
        <f>IFERROR(__xludf.DUMMYFUNCTION("""COMPUTED_VALUE"""),"Domaine Wine Storage ")</f>
        <v>Domaine Wine Storage </v>
      </c>
      <c r="R56" s="66"/>
      <c r="S56" s="66" t="b">
        <f>IFERROR(__xludf.DUMMYFUNCTION("""COMPUTED_VALUE"""),FALSE)</f>
        <v>0</v>
      </c>
      <c r="T56" s="66" t="b">
        <f>IFERROR(__xludf.DUMMYFUNCTION("""COMPUTED_VALUE"""),FALSE)</f>
        <v>0</v>
      </c>
      <c r="U56" s="66" t="b">
        <f>IFERROR(__xludf.DUMMYFUNCTION("""COMPUTED_VALUE"""),FALSE)</f>
        <v>0</v>
      </c>
      <c r="V56" s="66" t="b">
        <f>IFERROR(__xludf.DUMMYFUNCTION("""COMPUTED_VALUE"""),FALSE)</f>
        <v>0</v>
      </c>
      <c r="W56" s="66" t="b">
        <f>IFERROR(__xludf.DUMMYFUNCTION("""COMPUTED_VALUE"""),TRUE)</f>
        <v>1</v>
      </c>
    </row>
    <row r="57">
      <c r="A57" s="66" t="str">
        <f>IFERROR(__xludf.DUMMYFUNCTION("""COMPUTED_VALUE"""),"R")</f>
        <v>R</v>
      </c>
      <c r="B57" s="66" t="str">
        <f>IFERROR(__xludf.DUMMYFUNCTION("""COMPUTED_VALUE"""),"Red")</f>
        <v>Red</v>
      </c>
      <c r="C57" s="66">
        <f>IFERROR(__xludf.DUMMYFUNCTION("""COMPUTED_VALUE"""),1.0)</f>
        <v>1</v>
      </c>
      <c r="D57" s="66">
        <f>IFERROR(__xludf.DUMMYFUNCTION("""COMPUTED_VALUE"""),2019.0)</f>
        <v>2019</v>
      </c>
      <c r="E57" s="66" t="str">
        <f>IFERROR(__xludf.DUMMYFUNCTION("""COMPUTED_VALUE"""),"Corazon Del Sol")</f>
        <v>Corazon Del Sol</v>
      </c>
      <c r="F57" s="66" t="str">
        <f>IFERROR(__xludf.DUMMYFUNCTION("""COMPUTED_VALUE"""),"Malbec")</f>
        <v>Malbec</v>
      </c>
      <c r="G57" s="66" t="str">
        <f>IFERROR(__xludf.DUMMYFUNCTION("""COMPUTED_VALUE"""),"Other")</f>
        <v>Other</v>
      </c>
      <c r="H57" s="66" t="str">
        <f>IFERROR(__xludf.DUMMYFUNCTION("""COMPUTED_VALUE"""),"Chile")</f>
        <v>Chile</v>
      </c>
      <c r="I57" s="66"/>
      <c r="J57" s="66" t="str">
        <f>IFERROR(__xludf.DUMMYFUNCTION("""COMPUTED_VALUE"""),"Uco Valley")</f>
        <v>Uco Valley</v>
      </c>
      <c r="K57" s="66" t="str">
        <f>IFERROR(__xludf.DUMMYFUNCTION("""COMPUTED_VALUE"""),"Los Chacayes")</f>
        <v>Los Chacayes</v>
      </c>
      <c r="L57" s="66"/>
      <c r="M57" s="66"/>
      <c r="N57" s="70">
        <f>IFERROR(__xludf.DUMMYFUNCTION("""COMPUTED_VALUE"""),40.0)</f>
        <v>40</v>
      </c>
      <c r="O57" s="66">
        <f>IFERROR(__xludf.DUMMYFUNCTION("""COMPUTED_VALUE"""),750.0)</f>
        <v>750</v>
      </c>
      <c r="P57" s="66" t="str">
        <f>IFERROR(__xludf.DUMMYFUNCTION("""COMPUTED_VALUE"""),"Short")</f>
        <v>Short</v>
      </c>
      <c r="Q57" s="66" t="str">
        <f>IFERROR(__xludf.DUMMYFUNCTION("""COMPUTED_VALUE"""),"M/S1")</f>
        <v>M/S1</v>
      </c>
      <c r="R57" s="66"/>
      <c r="S57" s="66" t="b">
        <f>IFERROR(__xludf.DUMMYFUNCTION("""COMPUTED_VALUE"""),FALSE)</f>
        <v>0</v>
      </c>
      <c r="T57" s="66" t="b">
        <f>IFERROR(__xludf.DUMMYFUNCTION("""COMPUTED_VALUE"""),FALSE)</f>
        <v>0</v>
      </c>
      <c r="U57" s="66" t="b">
        <f>IFERROR(__xludf.DUMMYFUNCTION("""COMPUTED_VALUE"""),FALSE)</f>
        <v>0</v>
      </c>
      <c r="V57" s="66" t="b">
        <f>IFERROR(__xludf.DUMMYFUNCTION("""COMPUTED_VALUE"""),TRUE)</f>
        <v>1</v>
      </c>
      <c r="W57" s="66" t="b">
        <f>IFERROR(__xludf.DUMMYFUNCTION("""COMPUTED_VALUE"""),FALSE)</f>
        <v>0</v>
      </c>
    </row>
    <row r="58">
      <c r="A58" s="66" t="str">
        <f>IFERROR(__xludf.DUMMYFUNCTION("""COMPUTED_VALUE"""),"R")</f>
        <v>R</v>
      </c>
      <c r="B58" s="66" t="str">
        <f>IFERROR(__xludf.DUMMYFUNCTION("""COMPUTED_VALUE"""),"Red")</f>
        <v>Red</v>
      </c>
      <c r="C58" s="66">
        <f>IFERROR(__xludf.DUMMYFUNCTION("""COMPUTED_VALUE"""),1.0)</f>
        <v>1</v>
      </c>
      <c r="D58" s="66">
        <f>IFERROR(__xludf.DUMMYFUNCTION("""COMPUTED_VALUE"""),2022.0)</f>
        <v>2022</v>
      </c>
      <c r="E58" s="66" t="str">
        <f>IFERROR(__xludf.DUMMYFUNCTION("""COMPUTED_VALUE"""),"Birichino Vineyard")</f>
        <v>Birichino Vineyard</v>
      </c>
      <c r="F58" s="66" t="str">
        <f>IFERROR(__xludf.DUMMYFUNCTION("""COMPUTED_VALUE"""),"Old Vine Grenache")</f>
        <v>Old Vine Grenache</v>
      </c>
      <c r="G58" s="66" t="str">
        <f>IFERROR(__xludf.DUMMYFUNCTION("""COMPUTED_VALUE"""),"Other")</f>
        <v>Other</v>
      </c>
      <c r="H58" s="66" t="str">
        <f>IFERROR(__xludf.DUMMYFUNCTION("""COMPUTED_VALUE"""),"USA")</f>
        <v>USA</v>
      </c>
      <c r="I58" s="66" t="str">
        <f>IFERROR(__xludf.DUMMYFUNCTION("""COMPUTED_VALUE"""),"CA")</f>
        <v>CA</v>
      </c>
      <c r="J58" s="66" t="str">
        <f>IFERROR(__xludf.DUMMYFUNCTION("""COMPUTED_VALUE"""),"Santa Cruz Mountains")</f>
        <v>Santa Cruz Mountains</v>
      </c>
      <c r="K58" s="66"/>
      <c r="L58" s="66"/>
      <c r="M58" s="66" t="str">
        <f>IFERROR(__xludf.DUMMYFUNCTION("""COMPUTED_VALUE"""),"Besson Vineyard")</f>
        <v>Besson Vineyard</v>
      </c>
      <c r="N58" s="70">
        <f>IFERROR(__xludf.DUMMYFUNCTION("""COMPUTED_VALUE"""),30.0)</f>
        <v>30</v>
      </c>
      <c r="O58" s="66">
        <f>IFERROR(__xludf.DUMMYFUNCTION("""COMPUTED_VALUE"""),750.0)</f>
        <v>750</v>
      </c>
      <c r="P58" s="66" t="str">
        <f>IFERROR(__xludf.DUMMYFUNCTION("""COMPUTED_VALUE"""),"Short")</f>
        <v>Short</v>
      </c>
      <c r="Q58" s="66" t="str">
        <f>IFERROR(__xludf.DUMMYFUNCTION("""COMPUTED_VALUE"""),"M/S1")</f>
        <v>M/S1</v>
      </c>
      <c r="R58" s="66"/>
      <c r="S58" s="66" t="b">
        <f>IFERROR(__xludf.DUMMYFUNCTION("""COMPUTED_VALUE"""),FALSE)</f>
        <v>0</v>
      </c>
      <c r="T58" s="66" t="b">
        <f>IFERROR(__xludf.DUMMYFUNCTION("""COMPUTED_VALUE"""),FALSE)</f>
        <v>0</v>
      </c>
      <c r="U58" s="66" t="b">
        <f>IFERROR(__xludf.DUMMYFUNCTION("""COMPUTED_VALUE"""),FALSE)</f>
        <v>0</v>
      </c>
      <c r="V58" s="66" t="b">
        <f>IFERROR(__xludf.DUMMYFUNCTION("""COMPUTED_VALUE"""),FALSE)</f>
        <v>0</v>
      </c>
      <c r="W58" s="66" t="b">
        <f>IFERROR(__xludf.DUMMYFUNCTION("""COMPUTED_VALUE"""),FALSE)</f>
        <v>0</v>
      </c>
    </row>
    <row r="59">
      <c r="A59" s="66" t="str">
        <f>IFERROR(__xludf.DUMMYFUNCTION("""COMPUTED_VALUE"""),"R")</f>
        <v>R</v>
      </c>
      <c r="B59" s="66" t="str">
        <f>IFERROR(__xludf.DUMMYFUNCTION("""COMPUTED_VALUE"""),"Red")</f>
        <v>Red</v>
      </c>
      <c r="C59" s="66">
        <f>IFERROR(__xludf.DUMMYFUNCTION("""COMPUTED_VALUE"""),1.0)</f>
        <v>1</v>
      </c>
      <c r="D59" s="66">
        <f>IFERROR(__xludf.DUMMYFUNCTION("""COMPUTED_VALUE"""),2022.0)</f>
        <v>2022</v>
      </c>
      <c r="E59" s="66" t="str">
        <f>IFERROR(__xludf.DUMMYFUNCTION("""COMPUTED_VALUE"""),"Birichino Vineyard")</f>
        <v>Birichino Vineyard</v>
      </c>
      <c r="F59" s="66" t="str">
        <f>IFERROR(__xludf.DUMMYFUNCTION("""COMPUTED_VALUE"""),"Old Vine Grenache")</f>
        <v>Old Vine Grenache</v>
      </c>
      <c r="G59" s="66" t="str">
        <f>IFERROR(__xludf.DUMMYFUNCTION("""COMPUTED_VALUE"""),"Other")</f>
        <v>Other</v>
      </c>
      <c r="H59" s="66" t="str">
        <f>IFERROR(__xludf.DUMMYFUNCTION("""COMPUTED_VALUE"""),"USA")</f>
        <v>USA</v>
      </c>
      <c r="I59" s="66" t="str">
        <f>IFERROR(__xludf.DUMMYFUNCTION("""COMPUTED_VALUE"""),"CA")</f>
        <v>CA</v>
      </c>
      <c r="J59" s="66" t="str">
        <f>IFERROR(__xludf.DUMMYFUNCTION("""COMPUTED_VALUE"""),"Santa Cruz Mountains")</f>
        <v>Santa Cruz Mountains</v>
      </c>
      <c r="K59" s="66"/>
      <c r="L59" s="66"/>
      <c r="M59" s="66" t="str">
        <f>IFERROR(__xludf.DUMMYFUNCTION("""COMPUTED_VALUE"""),"Besson Vineyard")</f>
        <v>Besson Vineyard</v>
      </c>
      <c r="N59" s="70">
        <f>IFERROR(__xludf.DUMMYFUNCTION("""COMPUTED_VALUE"""),30.0)</f>
        <v>30</v>
      </c>
      <c r="O59" s="66">
        <f>IFERROR(__xludf.DUMMYFUNCTION("""COMPUTED_VALUE"""),750.0)</f>
        <v>750</v>
      </c>
      <c r="P59" s="66" t="str">
        <f>IFERROR(__xludf.DUMMYFUNCTION("""COMPUTED_VALUE"""),"Short")</f>
        <v>Short</v>
      </c>
      <c r="Q59" s="66" t="str">
        <f>IFERROR(__xludf.DUMMYFUNCTION("""COMPUTED_VALUE"""),"M3")</f>
        <v>M3</v>
      </c>
      <c r="R59" s="66"/>
      <c r="S59" s="66" t="b">
        <f>IFERROR(__xludf.DUMMYFUNCTION("""COMPUTED_VALUE"""),FALSE)</f>
        <v>0</v>
      </c>
      <c r="T59" s="66" t="b">
        <f>IFERROR(__xludf.DUMMYFUNCTION("""COMPUTED_VALUE"""),FALSE)</f>
        <v>0</v>
      </c>
      <c r="U59" s="66" t="b">
        <f>IFERROR(__xludf.DUMMYFUNCTION("""COMPUTED_VALUE"""),FALSE)</f>
        <v>0</v>
      </c>
      <c r="V59" s="66" t="b">
        <f>IFERROR(__xludf.DUMMYFUNCTION("""COMPUTED_VALUE"""),FALSE)</f>
        <v>0</v>
      </c>
      <c r="W59" s="66" t="b">
        <f>IFERROR(__xludf.DUMMYFUNCTION("""COMPUTED_VALUE"""),FALSE)</f>
        <v>0</v>
      </c>
    </row>
    <row r="60">
      <c r="A60" s="66" t="str">
        <f>IFERROR(__xludf.DUMMYFUNCTION("""COMPUTED_VALUE"""),"R")</f>
        <v>R</v>
      </c>
      <c r="B60" s="66" t="str">
        <f>IFERROR(__xludf.DUMMYFUNCTION("""COMPUTED_VALUE"""),"Sparkling")</f>
        <v>Sparkling</v>
      </c>
      <c r="C60" s="66">
        <f>IFERROR(__xludf.DUMMYFUNCTION("""COMPUTED_VALUE"""),1.0)</f>
        <v>1</v>
      </c>
      <c r="D60" s="66">
        <f>IFERROR(__xludf.DUMMYFUNCTION("""COMPUTED_VALUE"""),2018.0)</f>
        <v>2018</v>
      </c>
      <c r="E60" s="66" t="str">
        <f>IFERROR(__xludf.DUMMYFUNCTION("""COMPUTED_VALUE"""),"Schramsberg")</f>
        <v>Schramsberg</v>
      </c>
      <c r="F60" s="66" t="str">
        <f>IFERROR(__xludf.DUMMYFUNCTION("""COMPUTED_VALUE"""),"Caminante Del Cielo Vineyard")</f>
        <v>Caminante Del Cielo Vineyard</v>
      </c>
      <c r="G60" s="66" t="str">
        <f>IFERROR(__xludf.DUMMYFUNCTION("""COMPUTED_VALUE"""),"Other")</f>
        <v>Other</v>
      </c>
      <c r="H60" s="66" t="str">
        <f>IFERROR(__xludf.DUMMYFUNCTION("""COMPUTED_VALUE"""),"USA")</f>
        <v>USA</v>
      </c>
      <c r="I60" s="66" t="str">
        <f>IFERROR(__xludf.DUMMYFUNCTION("""COMPUTED_VALUE"""),"CA")</f>
        <v>CA</v>
      </c>
      <c r="J60" s="66" t="str">
        <f>IFERROR(__xludf.DUMMYFUNCTION("""COMPUTED_VALUE"""),"Marin County")</f>
        <v>Marin County</v>
      </c>
      <c r="K60" s="66"/>
      <c r="L60" s="66"/>
      <c r="M60" s="66" t="str">
        <f>IFERROR(__xludf.DUMMYFUNCTION("""COMPUTED_VALUE"""),"Caminante Del Cielo Vineyard")</f>
        <v>Caminante Del Cielo Vineyard</v>
      </c>
      <c r="N60" s="70">
        <f>IFERROR(__xludf.DUMMYFUNCTION("""COMPUTED_VALUE"""),60.0)</f>
        <v>60</v>
      </c>
      <c r="O60" s="66">
        <f>IFERROR(__xludf.DUMMYFUNCTION("""COMPUTED_VALUE"""),750.0)</f>
        <v>750</v>
      </c>
      <c r="P60" s="66" t="str">
        <f>IFERROR(__xludf.DUMMYFUNCTION("""COMPUTED_VALUE"""),"Short")</f>
        <v>Short</v>
      </c>
      <c r="Q60" s="66" t="str">
        <f>IFERROR(__xludf.DUMMYFUNCTION("""COMPUTED_VALUE"""),"M3")</f>
        <v>M3</v>
      </c>
      <c r="R60" s="66"/>
      <c r="S60" s="66" t="b">
        <f>IFERROR(__xludf.DUMMYFUNCTION("""COMPUTED_VALUE"""),FALSE)</f>
        <v>0</v>
      </c>
      <c r="T60" s="66" t="b">
        <f>IFERROR(__xludf.DUMMYFUNCTION("""COMPUTED_VALUE"""),FALSE)</f>
        <v>0</v>
      </c>
      <c r="U60" s="66" t="b">
        <f>IFERROR(__xludf.DUMMYFUNCTION("""COMPUTED_VALUE"""),FALSE)</f>
        <v>0</v>
      </c>
      <c r="V60" s="66" t="b">
        <f>IFERROR(__xludf.DUMMYFUNCTION("""COMPUTED_VALUE"""),FALSE)</f>
        <v>0</v>
      </c>
      <c r="W60" s="66" t="b">
        <f>IFERROR(__xludf.DUMMYFUNCTION("""COMPUTED_VALUE"""),FALSE)</f>
        <v>0</v>
      </c>
    </row>
    <row r="61">
      <c r="A61" s="66" t="str">
        <f>IFERROR(__xludf.DUMMYFUNCTION("""COMPUTED_VALUE"""),"R")</f>
        <v>R</v>
      </c>
      <c r="B61" s="66" t="str">
        <f>IFERROR(__xludf.DUMMYFUNCTION("""COMPUTED_VALUE"""),"White")</f>
        <v>White</v>
      </c>
      <c r="C61" s="66">
        <f>IFERROR(__xludf.DUMMYFUNCTION("""COMPUTED_VALUE"""),1.0)</f>
        <v>1</v>
      </c>
      <c r="D61" s="66">
        <f>IFERROR(__xludf.DUMMYFUNCTION("""COMPUTED_VALUE"""),2022.0)</f>
        <v>2022</v>
      </c>
      <c r="E61" s="66" t="str">
        <f>IFERROR(__xludf.DUMMYFUNCTION("""COMPUTED_VALUE"""),"Patrick Piuze")</f>
        <v>Patrick Piuze</v>
      </c>
      <c r="F61" s="66" t="str">
        <f>IFERROR(__xludf.DUMMYFUNCTION("""COMPUTED_VALUE"""),"La Grande Vallee")</f>
        <v>La Grande Vallee</v>
      </c>
      <c r="G61" s="66" t="str">
        <f>IFERROR(__xludf.DUMMYFUNCTION("""COMPUTED_VALUE"""),"Chardonnay")</f>
        <v>Chardonnay</v>
      </c>
      <c r="H61" s="66" t="str">
        <f>IFERROR(__xludf.DUMMYFUNCTION("""COMPUTED_VALUE"""),"France")</f>
        <v>France</v>
      </c>
      <c r="I61" s="66"/>
      <c r="J61" s="66" t="str">
        <f>IFERROR(__xludf.DUMMYFUNCTION("""COMPUTED_VALUE"""),"Burgundy")</f>
        <v>Burgundy</v>
      </c>
      <c r="K61" s="66" t="str">
        <f>IFERROR(__xludf.DUMMYFUNCTION("""COMPUTED_VALUE"""),"Chablis")</f>
        <v>Chablis</v>
      </c>
      <c r="L61" s="66" t="str">
        <f>IFERROR(__xludf.DUMMYFUNCTION("""COMPUTED_VALUE"""),"La Grane Valle")</f>
        <v>La Grane Valle</v>
      </c>
      <c r="M61" s="66"/>
      <c r="N61" s="70">
        <f>IFERROR(__xludf.DUMMYFUNCTION("""COMPUTED_VALUE"""),40.0)</f>
        <v>40</v>
      </c>
      <c r="O61" s="66">
        <f>IFERROR(__xludf.DUMMYFUNCTION("""COMPUTED_VALUE"""),750.0)</f>
        <v>750</v>
      </c>
      <c r="P61" s="66" t="str">
        <f>IFERROR(__xludf.DUMMYFUNCTION("""COMPUTED_VALUE"""),"Short")</f>
        <v>Short</v>
      </c>
      <c r="Q61" s="66" t="str">
        <f>IFERROR(__xludf.DUMMYFUNCTION("""COMPUTED_VALUE"""),"M3")</f>
        <v>M3</v>
      </c>
      <c r="R61" s="66"/>
      <c r="S61" s="66" t="b">
        <f>IFERROR(__xludf.DUMMYFUNCTION("""COMPUTED_VALUE"""),FALSE)</f>
        <v>0</v>
      </c>
      <c r="T61" s="66" t="b">
        <f>IFERROR(__xludf.DUMMYFUNCTION("""COMPUTED_VALUE"""),FALSE)</f>
        <v>0</v>
      </c>
      <c r="U61" s="66" t="b">
        <f>IFERROR(__xludf.DUMMYFUNCTION("""COMPUTED_VALUE"""),FALSE)</f>
        <v>0</v>
      </c>
      <c r="V61" s="66" t="b">
        <f>IFERROR(__xludf.DUMMYFUNCTION("""COMPUTED_VALUE"""),FALSE)</f>
        <v>0</v>
      </c>
      <c r="W61" s="66" t="b">
        <f>IFERROR(__xludf.DUMMYFUNCTION("""COMPUTED_VALUE"""),FALSE)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1.57"/>
    <col customWidth="1" min="2" max="2" width="5.43"/>
    <col customWidth="1" min="4" max="4" width="20.86"/>
    <col customWidth="1" min="5" max="5" width="27.57"/>
    <col customWidth="1" min="6" max="6" width="27.29"/>
    <col customWidth="1" min="7" max="7" width="10.43"/>
    <col customWidth="1" min="8" max="8" width="7.71"/>
    <col customWidth="1" min="12" max="12" width="15.29"/>
    <col customWidth="1" min="16" max="16" width="8.43"/>
  </cols>
  <sheetData>
    <row r="1">
      <c r="A1" s="71" t="s">
        <v>1</v>
      </c>
      <c r="B1" s="71" t="s">
        <v>2</v>
      </c>
      <c r="C1" s="71" t="s">
        <v>3</v>
      </c>
      <c r="D1" s="71" t="s">
        <v>4</v>
      </c>
      <c r="E1" s="72" t="s">
        <v>5</v>
      </c>
      <c r="F1" s="71" t="s">
        <v>6</v>
      </c>
      <c r="G1" s="71" t="s">
        <v>7</v>
      </c>
      <c r="H1" s="71" t="s">
        <v>8</v>
      </c>
      <c r="I1" s="71" t="s">
        <v>9</v>
      </c>
      <c r="J1" s="71" t="s">
        <v>10</v>
      </c>
      <c r="K1" s="71" t="s">
        <v>519</v>
      </c>
      <c r="L1" s="72" t="s">
        <v>12</v>
      </c>
      <c r="M1" s="73" t="s">
        <v>13</v>
      </c>
      <c r="N1" s="71" t="s">
        <v>14</v>
      </c>
      <c r="O1" s="72" t="s">
        <v>15</v>
      </c>
      <c r="P1" s="72" t="s">
        <v>16</v>
      </c>
      <c r="Q1" s="74" t="s">
        <v>17</v>
      </c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>
      <c r="A2" s="69" t="s">
        <v>44</v>
      </c>
      <c r="B2" s="76">
        <v>1.0</v>
      </c>
      <c r="C2" s="77">
        <v>2008.0</v>
      </c>
      <c r="D2" s="76" t="s">
        <v>149</v>
      </c>
      <c r="E2" s="78" t="s">
        <v>150</v>
      </c>
      <c r="F2" s="69" t="s">
        <v>40</v>
      </c>
      <c r="G2" s="69" t="s">
        <v>28</v>
      </c>
      <c r="H2" s="69" t="s">
        <v>29</v>
      </c>
      <c r="I2" s="69" t="s">
        <v>30</v>
      </c>
      <c r="J2" s="76"/>
      <c r="K2" s="79"/>
      <c r="L2" s="80"/>
      <c r="M2" s="76">
        <v>80.0</v>
      </c>
      <c r="N2" s="76">
        <v>750.0</v>
      </c>
      <c r="O2" s="77" t="s">
        <v>105</v>
      </c>
      <c r="P2" s="76" t="s">
        <v>75</v>
      </c>
      <c r="Q2" s="80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</row>
    <row r="3">
      <c r="A3" s="69" t="s">
        <v>44</v>
      </c>
      <c r="B3" s="76">
        <v>1.0</v>
      </c>
      <c r="C3" s="77">
        <v>2009.0</v>
      </c>
      <c r="D3" s="76" t="s">
        <v>103</v>
      </c>
      <c r="E3" s="78" t="s">
        <v>520</v>
      </c>
      <c r="F3" s="69" t="s">
        <v>40</v>
      </c>
      <c r="G3" s="69" t="s">
        <v>28</v>
      </c>
      <c r="H3" s="69" t="s">
        <v>29</v>
      </c>
      <c r="I3" s="69" t="s">
        <v>30</v>
      </c>
      <c r="J3" s="76" t="s">
        <v>31</v>
      </c>
      <c r="K3" s="69" t="s">
        <v>75</v>
      </c>
      <c r="M3" s="76">
        <v>120.0</v>
      </c>
      <c r="N3" s="76">
        <v>750.0</v>
      </c>
      <c r="O3" s="77" t="s">
        <v>53</v>
      </c>
      <c r="P3" s="76">
        <v>4.0</v>
      </c>
      <c r="Q3" s="81"/>
    </row>
    <row r="4">
      <c r="A4" s="69" t="s">
        <v>24</v>
      </c>
      <c r="B4" s="76">
        <v>3.0</v>
      </c>
      <c r="C4" s="77">
        <v>2010.0</v>
      </c>
      <c r="D4" s="76" t="s">
        <v>521</v>
      </c>
      <c r="E4" s="78" t="s">
        <v>73</v>
      </c>
      <c r="F4" s="69" t="s">
        <v>27</v>
      </c>
      <c r="G4" s="69" t="s">
        <v>41</v>
      </c>
      <c r="I4" s="69" t="s">
        <v>76</v>
      </c>
      <c r="J4" s="69" t="s">
        <v>77</v>
      </c>
      <c r="M4" s="76">
        <v>30.0</v>
      </c>
      <c r="N4" s="76">
        <v>750.0</v>
      </c>
      <c r="O4" s="77" t="s">
        <v>53</v>
      </c>
      <c r="P4" s="76">
        <v>7.0</v>
      </c>
      <c r="Q4" s="81"/>
    </row>
    <row r="5">
      <c r="A5" s="69" t="s">
        <v>24</v>
      </c>
      <c r="B5" s="76">
        <v>1.0</v>
      </c>
      <c r="C5" s="77">
        <v>2013.0</v>
      </c>
      <c r="D5" s="76" t="s">
        <v>99</v>
      </c>
      <c r="E5" s="78" t="s">
        <v>120</v>
      </c>
      <c r="F5" s="69" t="s">
        <v>27</v>
      </c>
      <c r="G5" s="69" t="s">
        <v>28</v>
      </c>
      <c r="H5" s="69" t="s">
        <v>29</v>
      </c>
      <c r="I5" s="69" t="s">
        <v>30</v>
      </c>
      <c r="J5" s="76" t="s">
        <v>31</v>
      </c>
      <c r="K5" s="69" t="s">
        <v>121</v>
      </c>
      <c r="M5" s="76">
        <v>120.0</v>
      </c>
      <c r="N5" s="76">
        <v>750.0</v>
      </c>
      <c r="O5" s="77" t="s">
        <v>53</v>
      </c>
      <c r="P5" s="69">
        <v>1.0</v>
      </c>
      <c r="Q5" s="81"/>
    </row>
    <row r="6">
      <c r="A6" s="69" t="s">
        <v>24</v>
      </c>
      <c r="B6" s="76">
        <v>1.0</v>
      </c>
      <c r="C6" s="77">
        <v>2013.0</v>
      </c>
      <c r="D6" s="76" t="s">
        <v>84</v>
      </c>
      <c r="E6" s="78" t="s">
        <v>85</v>
      </c>
      <c r="F6" s="69" t="s">
        <v>27</v>
      </c>
      <c r="G6" s="69" t="s">
        <v>28</v>
      </c>
      <c r="H6" s="69" t="s">
        <v>29</v>
      </c>
      <c r="I6" s="69" t="s">
        <v>30</v>
      </c>
      <c r="J6" s="76" t="s">
        <v>31</v>
      </c>
      <c r="M6" s="76">
        <v>180.0</v>
      </c>
      <c r="N6" s="76">
        <v>750.0</v>
      </c>
      <c r="O6" s="77" t="s">
        <v>53</v>
      </c>
      <c r="P6" s="76">
        <v>8.0</v>
      </c>
      <c r="Q6" s="81"/>
    </row>
    <row r="7">
      <c r="A7" s="69" t="s">
        <v>24</v>
      </c>
      <c r="B7" s="69">
        <v>1.0</v>
      </c>
      <c r="C7" s="77">
        <v>2013.0</v>
      </c>
      <c r="D7" s="76" t="s">
        <v>99</v>
      </c>
      <c r="E7" s="78" t="s">
        <v>111</v>
      </c>
      <c r="F7" s="69" t="s">
        <v>27</v>
      </c>
      <c r="G7" s="69" t="s">
        <v>28</v>
      </c>
      <c r="H7" s="69" t="s">
        <v>29</v>
      </c>
      <c r="I7" s="69" t="s">
        <v>30</v>
      </c>
      <c r="J7" s="76" t="s">
        <v>31</v>
      </c>
      <c r="K7" s="76" t="s">
        <v>112</v>
      </c>
      <c r="L7" s="78" t="s">
        <v>113</v>
      </c>
      <c r="M7" s="76">
        <v>140.0</v>
      </c>
      <c r="N7" s="76">
        <v>750.0</v>
      </c>
      <c r="O7" s="77" t="s">
        <v>53</v>
      </c>
      <c r="P7" s="76">
        <v>19.0</v>
      </c>
      <c r="Q7" s="80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</row>
    <row r="8">
      <c r="A8" s="69" t="s">
        <v>24</v>
      </c>
      <c r="B8" s="76">
        <v>1.0</v>
      </c>
      <c r="C8" s="77">
        <v>2014.0</v>
      </c>
      <c r="D8" s="76" t="s">
        <v>301</v>
      </c>
      <c r="E8" s="78" t="s">
        <v>522</v>
      </c>
      <c r="F8" s="69" t="s">
        <v>191</v>
      </c>
      <c r="G8" s="69" t="s">
        <v>28</v>
      </c>
      <c r="H8" s="69" t="s">
        <v>29</v>
      </c>
      <c r="I8" s="69" t="s">
        <v>30</v>
      </c>
      <c r="J8" s="76" t="s">
        <v>97</v>
      </c>
      <c r="K8" s="79"/>
      <c r="L8" s="80"/>
      <c r="M8" s="76">
        <v>329.0</v>
      </c>
      <c r="N8" s="76">
        <v>3000.0</v>
      </c>
      <c r="O8" s="77" t="s">
        <v>53</v>
      </c>
      <c r="P8" s="76" t="s">
        <v>523</v>
      </c>
      <c r="Q8" s="80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</row>
    <row r="9">
      <c r="A9" s="69" t="s">
        <v>24</v>
      </c>
      <c r="B9" s="76">
        <v>1.0</v>
      </c>
      <c r="C9" s="77">
        <v>2015.0</v>
      </c>
      <c r="D9" s="76" t="s">
        <v>205</v>
      </c>
      <c r="E9" s="78" t="s">
        <v>181</v>
      </c>
      <c r="F9" s="69" t="s">
        <v>27</v>
      </c>
      <c r="G9" s="69" t="s">
        <v>28</v>
      </c>
      <c r="H9" s="69" t="s">
        <v>29</v>
      </c>
      <c r="I9" s="69" t="s">
        <v>30</v>
      </c>
      <c r="J9" s="76" t="s">
        <v>31</v>
      </c>
      <c r="K9" s="69" t="s">
        <v>182</v>
      </c>
      <c r="M9" s="76">
        <v>125.0</v>
      </c>
      <c r="N9" s="76">
        <v>750.0</v>
      </c>
      <c r="O9" s="77" t="s">
        <v>53</v>
      </c>
      <c r="P9" s="76">
        <v>3.0</v>
      </c>
      <c r="Q9" s="81"/>
    </row>
    <row r="10">
      <c r="A10" s="69" t="s">
        <v>24</v>
      </c>
      <c r="B10" s="76">
        <v>1.0</v>
      </c>
      <c r="C10" s="77">
        <v>2015.0</v>
      </c>
      <c r="D10" s="76" t="s">
        <v>103</v>
      </c>
      <c r="E10" s="76" t="s">
        <v>233</v>
      </c>
      <c r="F10" s="69" t="s">
        <v>191</v>
      </c>
      <c r="G10" s="69" t="s">
        <v>28</v>
      </c>
      <c r="H10" s="69" t="s">
        <v>29</v>
      </c>
      <c r="I10" s="69" t="s">
        <v>30</v>
      </c>
      <c r="M10" s="76">
        <v>85.0</v>
      </c>
      <c r="N10" s="76">
        <v>750.0</v>
      </c>
      <c r="O10" s="77" t="s">
        <v>53</v>
      </c>
      <c r="P10" s="76">
        <v>9.0</v>
      </c>
      <c r="Q10" s="81"/>
    </row>
    <row r="11">
      <c r="A11" s="69" t="s">
        <v>24</v>
      </c>
      <c r="B11" s="76">
        <v>1.0</v>
      </c>
      <c r="C11" s="77">
        <v>2015.0</v>
      </c>
      <c r="D11" s="76" t="s">
        <v>172</v>
      </c>
      <c r="E11" s="78" t="s">
        <v>524</v>
      </c>
      <c r="F11" s="69" t="s">
        <v>235</v>
      </c>
      <c r="G11" s="69" t="s">
        <v>28</v>
      </c>
      <c r="H11" s="69" t="s">
        <v>29</v>
      </c>
      <c r="I11" s="69" t="s">
        <v>30</v>
      </c>
      <c r="J11" s="76"/>
      <c r="K11" s="79"/>
      <c r="L11" s="80"/>
      <c r="M11" s="76">
        <v>160.0</v>
      </c>
      <c r="N11" s="76">
        <v>3000.0</v>
      </c>
      <c r="O11" s="77" t="s">
        <v>53</v>
      </c>
      <c r="P11" s="76" t="s">
        <v>523</v>
      </c>
      <c r="Q11" s="80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</row>
    <row r="12">
      <c r="A12" s="69" t="s">
        <v>24</v>
      </c>
      <c r="B12" s="76">
        <v>1.0</v>
      </c>
      <c r="C12" s="77">
        <v>2015.0</v>
      </c>
      <c r="D12" s="76" t="s">
        <v>172</v>
      </c>
      <c r="E12" s="78" t="s">
        <v>525</v>
      </c>
      <c r="F12" s="69" t="s">
        <v>74</v>
      </c>
      <c r="G12" s="69" t="s">
        <v>28</v>
      </c>
      <c r="H12" s="69" t="s">
        <v>29</v>
      </c>
      <c r="I12" s="69" t="s">
        <v>30</v>
      </c>
      <c r="J12" s="76"/>
      <c r="K12" s="79"/>
      <c r="L12" s="80"/>
      <c r="M12" s="76">
        <v>330.0</v>
      </c>
      <c r="N12" s="76">
        <v>1500.0</v>
      </c>
      <c r="O12" s="77" t="s">
        <v>53</v>
      </c>
      <c r="P12" s="76" t="s">
        <v>523</v>
      </c>
      <c r="Q12" s="80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</row>
    <row r="13">
      <c r="A13" s="69" t="s">
        <v>24</v>
      </c>
      <c r="B13" s="76">
        <v>1.0</v>
      </c>
      <c r="C13" s="77">
        <v>2016.0</v>
      </c>
      <c r="D13" s="76" t="s">
        <v>84</v>
      </c>
      <c r="E13" s="78" t="s">
        <v>152</v>
      </c>
      <c r="F13" s="69" t="s">
        <v>27</v>
      </c>
      <c r="G13" s="69" t="s">
        <v>28</v>
      </c>
      <c r="H13" s="69" t="s">
        <v>29</v>
      </c>
      <c r="I13" s="69" t="s">
        <v>30</v>
      </c>
      <c r="J13" s="76" t="s">
        <v>31</v>
      </c>
      <c r="K13" s="69" t="s">
        <v>221</v>
      </c>
      <c r="M13" s="76">
        <v>185.0</v>
      </c>
      <c r="N13" s="76">
        <v>750.0</v>
      </c>
      <c r="O13" s="77" t="s">
        <v>53</v>
      </c>
      <c r="P13" s="69">
        <v>1.0</v>
      </c>
      <c r="Q13" s="81"/>
    </row>
    <row r="14">
      <c r="A14" s="69" t="s">
        <v>24</v>
      </c>
      <c r="B14" s="76">
        <v>1.0</v>
      </c>
      <c r="C14" s="77">
        <v>2016.0</v>
      </c>
      <c r="D14" s="76" t="s">
        <v>84</v>
      </c>
      <c r="E14" s="78" t="s">
        <v>120</v>
      </c>
      <c r="F14" s="69" t="s">
        <v>27</v>
      </c>
      <c r="G14" s="69" t="s">
        <v>28</v>
      </c>
      <c r="H14" s="69" t="s">
        <v>29</v>
      </c>
      <c r="I14" s="69" t="s">
        <v>30</v>
      </c>
      <c r="J14" s="76" t="s">
        <v>31</v>
      </c>
      <c r="K14" s="69" t="s">
        <v>121</v>
      </c>
      <c r="M14" s="76">
        <v>185.0</v>
      </c>
      <c r="N14" s="76">
        <v>750.0</v>
      </c>
      <c r="O14" s="77" t="s">
        <v>53</v>
      </c>
      <c r="P14" s="69">
        <v>1.0</v>
      </c>
      <c r="Q14" s="81"/>
    </row>
    <row r="15">
      <c r="A15" s="69" t="s">
        <v>24</v>
      </c>
      <c r="B15" s="76">
        <v>1.0</v>
      </c>
      <c r="C15" s="77">
        <v>2016.0</v>
      </c>
      <c r="D15" s="76" t="s">
        <v>205</v>
      </c>
      <c r="E15" s="76" t="s">
        <v>181</v>
      </c>
      <c r="F15" s="69" t="s">
        <v>27</v>
      </c>
      <c r="G15" s="69" t="s">
        <v>28</v>
      </c>
      <c r="H15" s="69" t="s">
        <v>29</v>
      </c>
      <c r="I15" s="69" t="s">
        <v>30</v>
      </c>
      <c r="J15" s="69" t="s">
        <v>31</v>
      </c>
      <c r="K15" s="69" t="s">
        <v>182</v>
      </c>
      <c r="M15" s="76">
        <v>125.0</v>
      </c>
      <c r="N15" s="76">
        <v>750.0</v>
      </c>
      <c r="O15" s="77" t="s">
        <v>53</v>
      </c>
      <c r="P15" s="79"/>
      <c r="Q15" s="81"/>
    </row>
    <row r="16">
      <c r="A16" s="69" t="s">
        <v>24</v>
      </c>
      <c r="B16" s="76">
        <v>1.0</v>
      </c>
      <c r="C16" s="77">
        <v>2016.0</v>
      </c>
      <c r="D16" s="76" t="s">
        <v>158</v>
      </c>
      <c r="E16" s="78" t="s">
        <v>220</v>
      </c>
      <c r="F16" s="69" t="s">
        <v>74</v>
      </c>
      <c r="G16" s="69" t="s">
        <v>41</v>
      </c>
      <c r="H16" s="69" t="s">
        <v>75</v>
      </c>
      <c r="I16" s="69" t="s">
        <v>76</v>
      </c>
      <c r="J16" s="69" t="s">
        <v>160</v>
      </c>
      <c r="M16" s="76">
        <v>350.0</v>
      </c>
      <c r="N16" s="76">
        <v>750.0</v>
      </c>
      <c r="O16" s="77" t="s">
        <v>53</v>
      </c>
      <c r="P16" s="76" t="s">
        <v>526</v>
      </c>
      <c r="Q16" s="81"/>
    </row>
    <row r="17">
      <c r="A17" s="69" t="s">
        <v>24</v>
      </c>
      <c r="B17" s="76">
        <v>1.0</v>
      </c>
      <c r="C17" s="77">
        <v>2016.0</v>
      </c>
      <c r="D17" s="76" t="s">
        <v>103</v>
      </c>
      <c r="E17" s="78" t="s">
        <v>233</v>
      </c>
      <c r="F17" s="69" t="s">
        <v>191</v>
      </c>
      <c r="G17" s="69" t="s">
        <v>28</v>
      </c>
      <c r="H17" s="69" t="s">
        <v>29</v>
      </c>
      <c r="I17" s="69" t="s">
        <v>30</v>
      </c>
      <c r="M17" s="76">
        <v>85.0</v>
      </c>
      <c r="N17" s="76">
        <v>750.0</v>
      </c>
      <c r="O17" s="77" t="s">
        <v>53</v>
      </c>
      <c r="P17" s="76">
        <v>9.0</v>
      </c>
      <c r="Q17" s="81"/>
    </row>
    <row r="18">
      <c r="A18" s="69" t="s">
        <v>24</v>
      </c>
      <c r="B18" s="76">
        <v>3.0</v>
      </c>
      <c r="C18" s="77">
        <v>2017.0</v>
      </c>
      <c r="D18" s="76" t="s">
        <v>527</v>
      </c>
      <c r="E18" s="78" t="s">
        <v>528</v>
      </c>
      <c r="F18" s="69" t="s">
        <v>74</v>
      </c>
      <c r="G18" s="69" t="s">
        <v>108</v>
      </c>
      <c r="I18" s="76" t="s">
        <v>299</v>
      </c>
      <c r="J18" s="76"/>
      <c r="K18" s="79"/>
      <c r="L18" s="80"/>
      <c r="M18" s="76">
        <v>116.0</v>
      </c>
      <c r="N18" s="76">
        <v>750.0</v>
      </c>
      <c r="O18" s="77" t="s">
        <v>53</v>
      </c>
      <c r="P18" s="76" t="s">
        <v>529</v>
      </c>
      <c r="Q18" s="80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</row>
    <row r="19">
      <c r="A19" s="69" t="s">
        <v>24</v>
      </c>
      <c r="B19" s="76">
        <v>1.0</v>
      </c>
      <c r="C19" s="77">
        <v>2018.0</v>
      </c>
      <c r="D19" s="76" t="s">
        <v>313</v>
      </c>
      <c r="E19" s="78" t="s">
        <v>530</v>
      </c>
      <c r="F19" s="69" t="s">
        <v>156</v>
      </c>
      <c r="G19" s="69" t="s">
        <v>28</v>
      </c>
      <c r="H19" s="69" t="s">
        <v>29</v>
      </c>
      <c r="I19" s="69" t="s">
        <v>30</v>
      </c>
      <c r="J19" s="69" t="s">
        <v>31</v>
      </c>
      <c r="L19" s="69" t="s">
        <v>115</v>
      </c>
      <c r="M19" s="76">
        <v>235.0</v>
      </c>
      <c r="N19" s="76">
        <v>750.0</v>
      </c>
      <c r="O19" s="77" t="s">
        <v>53</v>
      </c>
      <c r="P19" s="76" t="s">
        <v>523</v>
      </c>
      <c r="Q19" s="81"/>
    </row>
    <row r="20">
      <c r="A20" s="69" t="s">
        <v>24</v>
      </c>
      <c r="B20" s="76">
        <v>2.0</v>
      </c>
      <c r="C20" s="77">
        <v>2005.0</v>
      </c>
      <c r="D20" s="76" t="s">
        <v>521</v>
      </c>
      <c r="E20" s="78" t="s">
        <v>73</v>
      </c>
      <c r="F20" s="69" t="s">
        <v>27</v>
      </c>
      <c r="G20" s="69" t="s">
        <v>41</v>
      </c>
      <c r="I20" s="69" t="s">
        <v>76</v>
      </c>
      <c r="J20" s="69" t="s">
        <v>77</v>
      </c>
      <c r="M20" s="76">
        <v>55.0</v>
      </c>
      <c r="N20" s="76">
        <v>750.0</v>
      </c>
      <c r="O20" s="77" t="s">
        <v>34</v>
      </c>
      <c r="P20" s="76">
        <v>7.0</v>
      </c>
      <c r="Q20" s="81"/>
    </row>
    <row r="21">
      <c r="A21" s="69" t="s">
        <v>24</v>
      </c>
      <c r="B21" s="76">
        <v>3.0</v>
      </c>
      <c r="C21" s="77">
        <v>2009.0</v>
      </c>
      <c r="D21" s="76" t="s">
        <v>521</v>
      </c>
      <c r="E21" s="78" t="s">
        <v>73</v>
      </c>
      <c r="F21" s="69" t="s">
        <v>27</v>
      </c>
      <c r="G21" s="69" t="s">
        <v>41</v>
      </c>
      <c r="I21" s="69" t="s">
        <v>76</v>
      </c>
      <c r="J21" s="69" t="s">
        <v>77</v>
      </c>
      <c r="M21" s="76">
        <v>60.0</v>
      </c>
      <c r="N21" s="76">
        <v>750.0</v>
      </c>
      <c r="O21" s="77" t="s">
        <v>34</v>
      </c>
      <c r="P21" s="76">
        <v>7.0</v>
      </c>
      <c r="Q21" s="81"/>
    </row>
    <row r="22">
      <c r="A22" s="69" t="s">
        <v>24</v>
      </c>
      <c r="B22" s="76">
        <v>1.0</v>
      </c>
      <c r="C22" s="77">
        <v>2009.0</v>
      </c>
      <c r="D22" s="76" t="s">
        <v>531</v>
      </c>
      <c r="E22" s="78" t="s">
        <v>532</v>
      </c>
      <c r="F22" s="69" t="s">
        <v>74</v>
      </c>
      <c r="G22" s="69" t="s">
        <v>41</v>
      </c>
      <c r="H22" s="69" t="s">
        <v>75</v>
      </c>
      <c r="I22" s="69" t="s">
        <v>76</v>
      </c>
      <c r="J22" s="69" t="s">
        <v>224</v>
      </c>
      <c r="M22" s="76">
        <v>40.0</v>
      </c>
      <c r="N22" s="76">
        <v>750.0</v>
      </c>
      <c r="O22" s="77" t="s">
        <v>34</v>
      </c>
      <c r="P22" s="76">
        <v>28.0</v>
      </c>
      <c r="Q22" s="81"/>
    </row>
    <row r="23">
      <c r="A23" s="69" t="s">
        <v>24</v>
      </c>
      <c r="B23" s="76">
        <v>8.0</v>
      </c>
      <c r="C23" s="77">
        <v>2010.0</v>
      </c>
      <c r="D23" s="76" t="s">
        <v>72</v>
      </c>
      <c r="E23" s="78" t="s">
        <v>73</v>
      </c>
      <c r="F23" s="69" t="s">
        <v>74</v>
      </c>
      <c r="G23" s="69" t="s">
        <v>41</v>
      </c>
      <c r="H23" s="69" t="s">
        <v>75</v>
      </c>
      <c r="I23" s="69" t="s">
        <v>76</v>
      </c>
      <c r="J23" s="69" t="s">
        <v>77</v>
      </c>
      <c r="M23" s="76">
        <v>55.0</v>
      </c>
      <c r="N23" s="76">
        <v>750.0</v>
      </c>
      <c r="O23" s="77" t="s">
        <v>34</v>
      </c>
      <c r="P23" s="76">
        <v>28.0</v>
      </c>
      <c r="Q23" s="81"/>
    </row>
    <row r="24">
      <c r="A24" s="69" t="s">
        <v>24</v>
      </c>
      <c r="B24" s="76">
        <v>1.0</v>
      </c>
      <c r="C24" s="77">
        <v>2010.0</v>
      </c>
      <c r="D24" s="76" t="s">
        <v>158</v>
      </c>
      <c r="E24" s="78" t="s">
        <v>159</v>
      </c>
      <c r="F24" s="69" t="s">
        <v>74</v>
      </c>
      <c r="G24" s="69" t="s">
        <v>41</v>
      </c>
      <c r="H24" s="69" t="s">
        <v>75</v>
      </c>
      <c r="I24" s="69" t="s">
        <v>146</v>
      </c>
      <c r="J24" s="69" t="s">
        <v>160</v>
      </c>
      <c r="M24" s="76">
        <v>90.0</v>
      </c>
      <c r="N24" s="76">
        <v>750.0</v>
      </c>
      <c r="O24" s="77" t="s">
        <v>34</v>
      </c>
      <c r="P24" s="76" t="s">
        <v>151</v>
      </c>
      <c r="Q24" s="81"/>
    </row>
    <row r="25">
      <c r="A25" s="69" t="s">
        <v>44</v>
      </c>
      <c r="B25" s="76">
        <v>2.0</v>
      </c>
      <c r="C25" s="77">
        <v>2012.0</v>
      </c>
      <c r="D25" s="76" t="s">
        <v>103</v>
      </c>
      <c r="E25" s="78" t="s">
        <v>162</v>
      </c>
      <c r="F25" s="69" t="s">
        <v>40</v>
      </c>
      <c r="G25" s="69" t="s">
        <v>28</v>
      </c>
      <c r="H25" s="69" t="s">
        <v>29</v>
      </c>
      <c r="I25" s="69" t="s">
        <v>30</v>
      </c>
      <c r="M25" s="76">
        <v>57.0</v>
      </c>
      <c r="N25" s="76">
        <v>750.0</v>
      </c>
      <c r="O25" s="77" t="s">
        <v>34</v>
      </c>
      <c r="P25" s="76">
        <v>5.0</v>
      </c>
      <c r="Q25" s="81"/>
    </row>
    <row r="26">
      <c r="A26" s="69" t="s">
        <v>24</v>
      </c>
      <c r="B26" s="76">
        <v>1.0</v>
      </c>
      <c r="C26" s="77">
        <v>2013.0</v>
      </c>
      <c r="D26" s="76" t="s">
        <v>99</v>
      </c>
      <c r="E26" s="78" t="s">
        <v>533</v>
      </c>
      <c r="F26" s="69" t="s">
        <v>27</v>
      </c>
      <c r="G26" s="69" t="s">
        <v>28</v>
      </c>
      <c r="H26" s="69" t="s">
        <v>29</v>
      </c>
      <c r="I26" s="69" t="s">
        <v>30</v>
      </c>
      <c r="J26" s="76" t="s">
        <v>31</v>
      </c>
      <c r="K26" s="69" t="s">
        <v>75</v>
      </c>
      <c r="M26" s="76">
        <v>85.0</v>
      </c>
      <c r="N26" s="76">
        <v>750.0</v>
      </c>
      <c r="O26" s="77" t="s">
        <v>34</v>
      </c>
      <c r="P26" s="76">
        <v>1.0</v>
      </c>
      <c r="Q26" s="81"/>
    </row>
    <row r="27">
      <c r="A27" s="69" t="s">
        <v>24</v>
      </c>
      <c r="B27" s="76">
        <v>1.0</v>
      </c>
      <c r="C27" s="77">
        <v>2013.0</v>
      </c>
      <c r="D27" s="76" t="s">
        <v>95</v>
      </c>
      <c r="E27" s="78" t="s">
        <v>96</v>
      </c>
      <c r="F27" s="69" t="s">
        <v>74</v>
      </c>
      <c r="G27" s="69" t="s">
        <v>28</v>
      </c>
      <c r="H27" s="69" t="s">
        <v>29</v>
      </c>
      <c r="I27" s="69" t="s">
        <v>30</v>
      </c>
      <c r="J27" s="76" t="s">
        <v>31</v>
      </c>
      <c r="M27" s="76">
        <v>75.0</v>
      </c>
      <c r="N27" s="76">
        <v>750.0</v>
      </c>
      <c r="O27" s="77" t="s">
        <v>34</v>
      </c>
      <c r="P27" s="76">
        <v>7.0</v>
      </c>
      <c r="Q27" s="81"/>
    </row>
    <row r="28">
      <c r="A28" s="69" t="s">
        <v>24</v>
      </c>
      <c r="B28" s="76">
        <v>1.0</v>
      </c>
      <c r="C28" s="77">
        <v>2013.0</v>
      </c>
      <c r="D28" s="76" t="s">
        <v>84</v>
      </c>
      <c r="E28" s="78">
        <v>1873.0</v>
      </c>
      <c r="F28" s="69" t="s">
        <v>27</v>
      </c>
      <c r="G28" s="69" t="s">
        <v>28</v>
      </c>
      <c r="H28" s="69" t="s">
        <v>29</v>
      </c>
      <c r="I28" s="69" t="s">
        <v>30</v>
      </c>
      <c r="J28" s="76" t="s">
        <v>31</v>
      </c>
      <c r="M28" s="76">
        <v>85.0</v>
      </c>
      <c r="N28" s="76">
        <v>750.0</v>
      </c>
      <c r="O28" s="77" t="s">
        <v>34</v>
      </c>
      <c r="P28" s="76">
        <v>8.0</v>
      </c>
      <c r="Q28" s="81"/>
    </row>
    <row r="29">
      <c r="A29" s="69" t="s">
        <v>24</v>
      </c>
      <c r="B29" s="76">
        <v>1.0</v>
      </c>
      <c r="C29" s="77">
        <v>2013.0</v>
      </c>
      <c r="D29" s="76" t="s">
        <v>118</v>
      </c>
      <c r="E29" s="78" t="s">
        <v>534</v>
      </c>
      <c r="F29" s="69" t="s">
        <v>89</v>
      </c>
      <c r="G29" s="69" t="s">
        <v>82</v>
      </c>
      <c r="H29" s="69" t="s">
        <v>90</v>
      </c>
      <c r="I29" s="69" t="s">
        <v>92</v>
      </c>
      <c r="J29" s="69" t="s">
        <v>91</v>
      </c>
      <c r="L29" s="78" t="s">
        <v>534</v>
      </c>
      <c r="M29" s="76">
        <v>99.0</v>
      </c>
      <c r="N29" s="76">
        <v>750.0</v>
      </c>
      <c r="O29" s="77" t="s">
        <v>34</v>
      </c>
      <c r="P29" s="76" t="s">
        <v>529</v>
      </c>
      <c r="Q29" s="80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</row>
    <row r="30">
      <c r="A30" s="69" t="s">
        <v>24</v>
      </c>
      <c r="B30" s="76">
        <v>1.0</v>
      </c>
      <c r="C30" s="77">
        <v>2014.0</v>
      </c>
      <c r="D30" s="76" t="s">
        <v>99</v>
      </c>
      <c r="E30" s="78" t="s">
        <v>120</v>
      </c>
      <c r="F30" s="69" t="s">
        <v>27</v>
      </c>
      <c r="G30" s="69" t="s">
        <v>28</v>
      </c>
      <c r="H30" s="69" t="s">
        <v>29</v>
      </c>
      <c r="I30" s="69" t="s">
        <v>30</v>
      </c>
      <c r="J30" s="76" t="s">
        <v>31</v>
      </c>
      <c r="K30" s="69" t="s">
        <v>121</v>
      </c>
      <c r="M30" s="76">
        <v>120.0</v>
      </c>
      <c r="N30" s="76">
        <v>750.0</v>
      </c>
      <c r="O30" s="77" t="s">
        <v>34</v>
      </c>
      <c r="P30" s="69">
        <v>1.0</v>
      </c>
      <c r="Q30" s="81"/>
    </row>
    <row r="31">
      <c r="A31" s="69" t="s">
        <v>24</v>
      </c>
      <c r="B31" s="76">
        <v>1.0</v>
      </c>
      <c r="C31" s="77">
        <v>2014.0</v>
      </c>
      <c r="D31" s="76" t="s">
        <v>99</v>
      </c>
      <c r="E31" s="78" t="s">
        <v>535</v>
      </c>
      <c r="F31" s="69" t="s">
        <v>27</v>
      </c>
      <c r="G31" s="69" t="s">
        <v>28</v>
      </c>
      <c r="H31" s="69" t="s">
        <v>29</v>
      </c>
      <c r="I31" s="69" t="s">
        <v>30</v>
      </c>
      <c r="J31" s="76" t="s">
        <v>31</v>
      </c>
      <c r="K31" s="69" t="s">
        <v>75</v>
      </c>
      <c r="M31" s="76">
        <v>85.0</v>
      </c>
      <c r="N31" s="76">
        <v>750.0</v>
      </c>
      <c r="O31" s="77" t="s">
        <v>34</v>
      </c>
      <c r="P31" s="69">
        <v>1.0</v>
      </c>
      <c r="Q31" s="81"/>
    </row>
    <row r="32">
      <c r="A32" s="69" t="s">
        <v>24</v>
      </c>
      <c r="B32" s="76">
        <v>1.0</v>
      </c>
      <c r="C32" s="77">
        <v>2014.0</v>
      </c>
      <c r="D32" s="76" t="s">
        <v>154</v>
      </c>
      <c r="E32" s="78" t="s">
        <v>536</v>
      </c>
      <c r="F32" s="69" t="s">
        <v>156</v>
      </c>
      <c r="G32" s="69" t="s">
        <v>28</v>
      </c>
      <c r="H32" s="69" t="s">
        <v>29</v>
      </c>
      <c r="I32" s="69" t="s">
        <v>30</v>
      </c>
      <c r="J32" s="69" t="s">
        <v>31</v>
      </c>
      <c r="L32" s="69" t="s">
        <v>157</v>
      </c>
      <c r="M32" s="76">
        <v>300.0</v>
      </c>
      <c r="N32" s="76">
        <v>1500.0</v>
      </c>
      <c r="O32" s="77" t="s">
        <v>34</v>
      </c>
      <c r="P32" s="76" t="s">
        <v>537</v>
      </c>
      <c r="Q32" s="81"/>
    </row>
    <row r="33">
      <c r="A33" s="69" t="s">
        <v>24</v>
      </c>
      <c r="B33" s="76">
        <v>1.0</v>
      </c>
      <c r="C33" s="77">
        <v>2014.0</v>
      </c>
      <c r="D33" s="76" t="s">
        <v>170</v>
      </c>
      <c r="E33" s="78" t="s">
        <v>171</v>
      </c>
      <c r="F33" s="69" t="s">
        <v>27</v>
      </c>
      <c r="G33" s="69" t="s">
        <v>28</v>
      </c>
      <c r="H33" s="69" t="s">
        <v>29</v>
      </c>
      <c r="I33" s="69" t="s">
        <v>30</v>
      </c>
      <c r="J33" s="69" t="s">
        <v>31</v>
      </c>
      <c r="K33" s="79"/>
      <c r="L33" s="80"/>
      <c r="M33" s="76">
        <v>150.0</v>
      </c>
      <c r="N33" s="79"/>
      <c r="O33" s="77" t="s">
        <v>34</v>
      </c>
      <c r="P33" s="76">
        <v>23.0</v>
      </c>
      <c r="Q33" s="80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</row>
    <row r="34">
      <c r="A34" s="69" t="s">
        <v>24</v>
      </c>
      <c r="B34" s="76">
        <v>1.0</v>
      </c>
      <c r="C34" s="77">
        <v>2015.0</v>
      </c>
      <c r="D34" s="76" t="s">
        <v>205</v>
      </c>
      <c r="E34" s="78" t="s">
        <v>214</v>
      </c>
      <c r="F34" s="69" t="s">
        <v>27</v>
      </c>
      <c r="G34" s="69" t="s">
        <v>28</v>
      </c>
      <c r="H34" s="69" t="s">
        <v>29</v>
      </c>
      <c r="I34" s="69" t="s">
        <v>30</v>
      </c>
      <c r="J34" s="76" t="s">
        <v>31</v>
      </c>
      <c r="K34" s="69" t="s">
        <v>75</v>
      </c>
      <c r="M34" s="76">
        <v>55.0</v>
      </c>
      <c r="N34" s="76">
        <v>750.0</v>
      </c>
      <c r="O34" s="77" t="s">
        <v>34</v>
      </c>
      <c r="P34" s="76">
        <v>2.0</v>
      </c>
      <c r="Q34" s="81"/>
    </row>
    <row r="35">
      <c r="A35" s="69" t="s">
        <v>24</v>
      </c>
      <c r="B35" s="76">
        <v>1.0</v>
      </c>
      <c r="C35" s="77">
        <v>2015.0</v>
      </c>
      <c r="D35" s="76" t="s">
        <v>170</v>
      </c>
      <c r="E35" s="78" t="s">
        <v>389</v>
      </c>
      <c r="F35" s="69" t="s">
        <v>390</v>
      </c>
      <c r="G35" s="69" t="s">
        <v>28</v>
      </c>
      <c r="H35" s="69" t="s">
        <v>29</v>
      </c>
      <c r="I35" s="69" t="s">
        <v>30</v>
      </c>
      <c r="J35" s="76" t="s">
        <v>31</v>
      </c>
      <c r="K35" s="69" t="s">
        <v>126</v>
      </c>
      <c r="M35" s="76">
        <v>125.0</v>
      </c>
      <c r="N35" s="76">
        <v>750.0</v>
      </c>
      <c r="O35" s="77" t="s">
        <v>34</v>
      </c>
      <c r="P35" s="76">
        <v>3.0</v>
      </c>
      <c r="Q35" s="81"/>
    </row>
    <row r="36">
      <c r="A36" s="69" t="s">
        <v>44</v>
      </c>
      <c r="B36" s="76">
        <v>1.0</v>
      </c>
      <c r="C36" s="77">
        <v>2015.0</v>
      </c>
      <c r="D36" s="76" t="s">
        <v>103</v>
      </c>
      <c r="E36" s="78" t="s">
        <v>538</v>
      </c>
      <c r="F36" s="69" t="s">
        <v>40</v>
      </c>
      <c r="G36" s="69" t="s">
        <v>28</v>
      </c>
      <c r="H36" s="69" t="s">
        <v>29</v>
      </c>
      <c r="I36" s="69" t="s">
        <v>30</v>
      </c>
      <c r="J36" s="76" t="s">
        <v>31</v>
      </c>
      <c r="K36" s="69" t="s">
        <v>75</v>
      </c>
      <c r="M36" s="76">
        <v>45.0</v>
      </c>
      <c r="N36" s="76">
        <v>750.0</v>
      </c>
      <c r="O36" s="77" t="s">
        <v>34</v>
      </c>
      <c r="P36" s="76">
        <v>4.0</v>
      </c>
      <c r="Q36" s="81"/>
    </row>
    <row r="37">
      <c r="A37" s="69" t="s">
        <v>24</v>
      </c>
      <c r="B37" s="76">
        <v>1.0</v>
      </c>
      <c r="C37" s="77">
        <v>2015.0</v>
      </c>
      <c r="D37" s="76" t="s">
        <v>276</v>
      </c>
      <c r="E37" s="78" t="s">
        <v>539</v>
      </c>
      <c r="F37" s="69" t="s">
        <v>74</v>
      </c>
      <c r="G37" s="69" t="s">
        <v>28</v>
      </c>
      <c r="H37" s="69" t="s">
        <v>29</v>
      </c>
      <c r="I37" s="69" t="s">
        <v>30</v>
      </c>
      <c r="J37" s="76" t="s">
        <v>31</v>
      </c>
      <c r="M37" s="76">
        <v>34.0</v>
      </c>
      <c r="N37" s="76">
        <v>750.0</v>
      </c>
      <c r="O37" s="77" t="s">
        <v>34</v>
      </c>
      <c r="P37" s="76">
        <v>8.0</v>
      </c>
      <c r="Q37" s="81"/>
    </row>
    <row r="38">
      <c r="A38" s="69" t="s">
        <v>24</v>
      </c>
      <c r="B38" s="76">
        <v>1.0</v>
      </c>
      <c r="C38" s="77">
        <v>2015.0</v>
      </c>
      <c r="D38" s="76" t="s">
        <v>540</v>
      </c>
      <c r="E38" s="78" t="s">
        <v>541</v>
      </c>
      <c r="F38" s="69" t="s">
        <v>40</v>
      </c>
      <c r="G38" s="69" t="s">
        <v>28</v>
      </c>
      <c r="H38" s="69" t="s">
        <v>29</v>
      </c>
      <c r="I38" s="69" t="s">
        <v>30</v>
      </c>
      <c r="J38" s="69" t="s">
        <v>31</v>
      </c>
      <c r="K38" s="69" t="s">
        <v>182</v>
      </c>
      <c r="M38" s="76">
        <v>55.0</v>
      </c>
      <c r="N38" s="76">
        <v>750.0</v>
      </c>
      <c r="O38" s="77" t="s">
        <v>34</v>
      </c>
      <c r="P38" s="76" t="s">
        <v>151</v>
      </c>
      <c r="Q38" s="81"/>
    </row>
    <row r="39">
      <c r="A39" s="69" t="s">
        <v>24</v>
      </c>
      <c r="B39" s="76">
        <v>1.0</v>
      </c>
      <c r="C39" s="77">
        <v>2015.0</v>
      </c>
      <c r="D39" s="76" t="s">
        <v>542</v>
      </c>
      <c r="E39" s="78" t="s">
        <v>543</v>
      </c>
      <c r="F39" s="69" t="s">
        <v>89</v>
      </c>
      <c r="G39" s="69" t="s">
        <v>82</v>
      </c>
      <c r="H39" s="69" t="s">
        <v>90</v>
      </c>
      <c r="I39" s="69" t="s">
        <v>92</v>
      </c>
      <c r="J39" s="69" t="s">
        <v>91</v>
      </c>
      <c r="K39" s="79"/>
      <c r="L39" s="78" t="s">
        <v>543</v>
      </c>
      <c r="M39" s="76">
        <v>56.0</v>
      </c>
      <c r="N39" s="76">
        <v>750.0</v>
      </c>
      <c r="O39" s="77" t="s">
        <v>34</v>
      </c>
      <c r="P39" s="76" t="s">
        <v>529</v>
      </c>
      <c r="Q39" s="80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</row>
    <row r="40">
      <c r="A40" s="69" t="s">
        <v>24</v>
      </c>
      <c r="B40" s="76">
        <v>1.0</v>
      </c>
      <c r="C40" s="77">
        <v>2015.0</v>
      </c>
      <c r="D40" s="76" t="s">
        <v>56</v>
      </c>
      <c r="E40" s="78" t="s">
        <v>544</v>
      </c>
      <c r="F40" s="69" t="s">
        <v>191</v>
      </c>
      <c r="G40" s="69" t="s">
        <v>28</v>
      </c>
      <c r="H40" s="69" t="s">
        <v>237</v>
      </c>
      <c r="J40" s="69" t="s">
        <v>545</v>
      </c>
      <c r="K40" s="79"/>
      <c r="L40" s="82" t="s">
        <v>239</v>
      </c>
      <c r="M40" s="76">
        <v>37.0</v>
      </c>
      <c r="N40" s="76">
        <v>750.0</v>
      </c>
      <c r="O40" s="77" t="s">
        <v>34</v>
      </c>
      <c r="P40" s="76">
        <v>24.0</v>
      </c>
      <c r="Q40" s="80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</row>
    <row r="41">
      <c r="A41" s="69" t="s">
        <v>24</v>
      </c>
      <c r="B41" s="76">
        <v>6.0</v>
      </c>
      <c r="C41" s="77">
        <v>2016.0</v>
      </c>
      <c r="D41" s="76" t="s">
        <v>56</v>
      </c>
      <c r="E41" s="78" t="s">
        <v>546</v>
      </c>
      <c r="F41" s="69" t="s">
        <v>40</v>
      </c>
      <c r="G41" s="69" t="s">
        <v>28</v>
      </c>
      <c r="H41" s="69" t="s">
        <v>58</v>
      </c>
      <c r="I41" s="76"/>
      <c r="J41" s="76" t="s">
        <v>547</v>
      </c>
      <c r="K41" s="79"/>
      <c r="L41" s="82" t="s">
        <v>548</v>
      </c>
      <c r="M41" s="76">
        <v>27.0</v>
      </c>
      <c r="N41" s="76">
        <v>750.0</v>
      </c>
      <c r="O41" s="77" t="s">
        <v>34</v>
      </c>
      <c r="P41" s="76" t="s">
        <v>529</v>
      </c>
      <c r="Q41" s="80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</row>
    <row r="42">
      <c r="A42" s="69" t="s">
        <v>24</v>
      </c>
      <c r="B42" s="76">
        <v>3.0</v>
      </c>
      <c r="C42" s="77">
        <v>2016.0</v>
      </c>
      <c r="D42" s="76" t="s">
        <v>163</v>
      </c>
      <c r="E42" s="78" t="s">
        <v>164</v>
      </c>
      <c r="F42" s="69" t="s">
        <v>74</v>
      </c>
      <c r="G42" s="69" t="s">
        <v>28</v>
      </c>
      <c r="H42" s="69" t="s">
        <v>58</v>
      </c>
      <c r="I42" s="69" t="s">
        <v>59</v>
      </c>
      <c r="J42" s="69" t="s">
        <v>165</v>
      </c>
      <c r="K42" s="69" t="s">
        <v>165</v>
      </c>
      <c r="L42" s="69" t="s">
        <v>166</v>
      </c>
      <c r="M42" s="76">
        <v>110.0</v>
      </c>
      <c r="N42" s="76">
        <v>750.0</v>
      </c>
      <c r="O42" s="77" t="s">
        <v>34</v>
      </c>
      <c r="P42" s="76" t="s">
        <v>549</v>
      </c>
      <c r="Q42" s="81"/>
    </row>
    <row r="43">
      <c r="A43" s="69" t="s">
        <v>24</v>
      </c>
      <c r="B43" s="76">
        <v>1.0</v>
      </c>
      <c r="C43" s="77">
        <v>2016.0</v>
      </c>
      <c r="D43" s="76" t="s">
        <v>205</v>
      </c>
      <c r="E43" s="78" t="s">
        <v>214</v>
      </c>
      <c r="F43" s="69" t="s">
        <v>27</v>
      </c>
      <c r="G43" s="69" t="s">
        <v>28</v>
      </c>
      <c r="H43" s="69" t="s">
        <v>29</v>
      </c>
      <c r="I43" s="69" t="s">
        <v>30</v>
      </c>
      <c r="J43" s="76" t="s">
        <v>31</v>
      </c>
      <c r="K43" s="69" t="s">
        <v>75</v>
      </c>
      <c r="M43" s="76">
        <v>55.0</v>
      </c>
      <c r="N43" s="76">
        <v>750.0</v>
      </c>
      <c r="O43" s="77" t="s">
        <v>34</v>
      </c>
      <c r="P43" s="76">
        <v>2.0</v>
      </c>
      <c r="Q43" s="81"/>
    </row>
    <row r="44">
      <c r="A44" s="69" t="s">
        <v>24</v>
      </c>
      <c r="B44" s="76">
        <v>1.0</v>
      </c>
      <c r="C44" s="77">
        <v>2016.0</v>
      </c>
      <c r="D44" s="76" t="s">
        <v>205</v>
      </c>
      <c r="E44" s="78" t="s">
        <v>206</v>
      </c>
      <c r="F44" s="69" t="s">
        <v>27</v>
      </c>
      <c r="G44" s="69" t="s">
        <v>28</v>
      </c>
      <c r="H44" s="69" t="s">
        <v>29</v>
      </c>
      <c r="I44" s="69" t="s">
        <v>30</v>
      </c>
      <c r="J44" s="76" t="s">
        <v>31</v>
      </c>
      <c r="K44" s="69" t="s">
        <v>550</v>
      </c>
      <c r="M44" s="76">
        <v>100.0</v>
      </c>
      <c r="N44" s="76">
        <v>750.0</v>
      </c>
      <c r="O44" s="77" t="s">
        <v>34</v>
      </c>
      <c r="P44" s="76">
        <v>2.0</v>
      </c>
      <c r="Q44" s="81"/>
    </row>
    <row r="45">
      <c r="A45" s="69" t="s">
        <v>24</v>
      </c>
      <c r="B45" s="76">
        <v>3.0</v>
      </c>
      <c r="C45" s="77">
        <v>2016.0</v>
      </c>
      <c r="D45" s="76" t="s">
        <v>197</v>
      </c>
      <c r="E45" s="76" t="s">
        <v>551</v>
      </c>
      <c r="F45" s="69" t="s">
        <v>27</v>
      </c>
      <c r="G45" s="69" t="s">
        <v>28</v>
      </c>
      <c r="H45" s="69" t="s">
        <v>29</v>
      </c>
      <c r="I45" s="69" t="s">
        <v>30</v>
      </c>
      <c r="J45" s="69" t="s">
        <v>31</v>
      </c>
      <c r="K45" s="69" t="s">
        <v>126</v>
      </c>
      <c r="M45" s="76">
        <v>75.0</v>
      </c>
      <c r="N45" s="76">
        <v>750.0</v>
      </c>
      <c r="O45" s="77" t="s">
        <v>34</v>
      </c>
      <c r="Q45" s="81"/>
    </row>
    <row r="46">
      <c r="A46" s="69" t="s">
        <v>24</v>
      </c>
      <c r="B46" s="76">
        <v>1.0</v>
      </c>
      <c r="C46" s="77">
        <v>2016.0</v>
      </c>
      <c r="D46" s="76" t="s">
        <v>205</v>
      </c>
      <c r="E46" s="76" t="s">
        <v>552</v>
      </c>
      <c r="F46" s="69" t="s">
        <v>235</v>
      </c>
      <c r="G46" s="69" t="s">
        <v>28</v>
      </c>
      <c r="H46" s="69" t="s">
        <v>29</v>
      </c>
      <c r="I46" s="69" t="s">
        <v>30</v>
      </c>
      <c r="J46" s="69" t="s">
        <v>31</v>
      </c>
      <c r="K46" s="69" t="s">
        <v>281</v>
      </c>
      <c r="M46" s="76">
        <v>45.0</v>
      </c>
      <c r="N46" s="76">
        <v>750.0</v>
      </c>
      <c r="O46" s="77" t="s">
        <v>34</v>
      </c>
      <c r="P46" s="79"/>
      <c r="Q46" s="81"/>
    </row>
    <row r="47">
      <c r="A47" s="69" t="s">
        <v>24</v>
      </c>
      <c r="B47" s="76">
        <v>1.0</v>
      </c>
      <c r="C47" s="77">
        <v>2016.0</v>
      </c>
      <c r="D47" s="76" t="s">
        <v>205</v>
      </c>
      <c r="E47" s="78" t="s">
        <v>206</v>
      </c>
      <c r="F47" s="69" t="s">
        <v>74</v>
      </c>
      <c r="G47" s="69" t="s">
        <v>28</v>
      </c>
      <c r="H47" s="69" t="s">
        <v>29</v>
      </c>
      <c r="I47" s="69" t="s">
        <v>30</v>
      </c>
      <c r="J47" s="76" t="s">
        <v>31</v>
      </c>
      <c r="K47" s="76" t="s">
        <v>207</v>
      </c>
      <c r="L47" s="82" t="s">
        <v>251</v>
      </c>
      <c r="M47" s="76">
        <v>100.0</v>
      </c>
      <c r="N47" s="76">
        <v>750.0</v>
      </c>
      <c r="O47" s="77" t="s">
        <v>34</v>
      </c>
      <c r="P47" s="76" t="s">
        <v>110</v>
      </c>
      <c r="Q47" s="80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</row>
    <row r="48">
      <c r="A48" s="69" t="s">
        <v>24</v>
      </c>
      <c r="B48" s="83">
        <v>1.0</v>
      </c>
      <c r="C48" s="77">
        <v>2016.0</v>
      </c>
      <c r="D48" s="76" t="s">
        <v>246</v>
      </c>
      <c r="E48" s="78" t="s">
        <v>247</v>
      </c>
      <c r="F48" s="69" t="s">
        <v>129</v>
      </c>
      <c r="G48" s="69" t="s">
        <v>28</v>
      </c>
      <c r="H48" s="69" t="s">
        <v>29</v>
      </c>
      <c r="I48" s="69" t="s">
        <v>212</v>
      </c>
      <c r="J48" s="69" t="s">
        <v>248</v>
      </c>
      <c r="L48" s="69" t="s">
        <v>249</v>
      </c>
      <c r="M48" s="76">
        <v>110.0</v>
      </c>
      <c r="N48" s="76">
        <v>750.0</v>
      </c>
      <c r="O48" s="77" t="s">
        <v>34</v>
      </c>
      <c r="P48" s="76" t="s">
        <v>549</v>
      </c>
      <c r="Q48" s="81"/>
    </row>
    <row r="49">
      <c r="A49" s="69" t="s">
        <v>24</v>
      </c>
      <c r="B49" s="76">
        <v>1.0</v>
      </c>
      <c r="C49" s="77">
        <v>2016.0</v>
      </c>
      <c r="D49" s="76" t="s">
        <v>262</v>
      </c>
      <c r="E49" s="78" t="s">
        <v>553</v>
      </c>
      <c r="F49" s="69" t="s">
        <v>139</v>
      </c>
      <c r="G49" s="69" t="s">
        <v>41</v>
      </c>
      <c r="H49" s="69" t="s">
        <v>75</v>
      </c>
      <c r="I49" s="69" t="s">
        <v>227</v>
      </c>
      <c r="J49" s="69" t="s">
        <v>227</v>
      </c>
      <c r="M49" s="76">
        <v>80.0</v>
      </c>
      <c r="N49" s="76">
        <v>750.0</v>
      </c>
      <c r="O49" s="77" t="s">
        <v>34</v>
      </c>
      <c r="P49" s="76" t="s">
        <v>526</v>
      </c>
      <c r="Q49" s="81"/>
    </row>
    <row r="50">
      <c r="A50" s="69" t="s">
        <v>24</v>
      </c>
      <c r="B50" s="76">
        <v>1.0</v>
      </c>
      <c r="C50" s="77">
        <v>2016.0</v>
      </c>
      <c r="D50" s="76" t="s">
        <v>118</v>
      </c>
      <c r="E50" s="78" t="s">
        <v>119</v>
      </c>
      <c r="F50" s="69" t="s">
        <v>89</v>
      </c>
      <c r="G50" s="69" t="s">
        <v>82</v>
      </c>
      <c r="H50" s="69" t="s">
        <v>75</v>
      </c>
      <c r="I50" s="69" t="s">
        <v>90</v>
      </c>
      <c r="J50" s="69" t="s">
        <v>91</v>
      </c>
      <c r="K50" s="69" t="s">
        <v>92</v>
      </c>
      <c r="L50" s="69" t="s">
        <v>93</v>
      </c>
      <c r="M50" s="76">
        <v>99.0</v>
      </c>
      <c r="N50" s="76">
        <v>750.0</v>
      </c>
      <c r="O50" s="77" t="s">
        <v>34</v>
      </c>
      <c r="P50" s="76" t="s">
        <v>526</v>
      </c>
      <c r="Q50" s="81"/>
    </row>
    <row r="51">
      <c r="A51" s="69" t="s">
        <v>24</v>
      </c>
      <c r="B51" s="76">
        <v>1.0</v>
      </c>
      <c r="C51" s="77">
        <v>2016.0</v>
      </c>
      <c r="D51" s="76" t="s">
        <v>264</v>
      </c>
      <c r="E51" s="78" t="s">
        <v>119</v>
      </c>
      <c r="F51" s="69" t="s">
        <v>89</v>
      </c>
      <c r="G51" s="69" t="s">
        <v>82</v>
      </c>
      <c r="H51" s="69" t="s">
        <v>75</v>
      </c>
      <c r="I51" s="69" t="s">
        <v>90</v>
      </c>
      <c r="J51" s="69" t="s">
        <v>91</v>
      </c>
      <c r="K51" s="69" t="s">
        <v>92</v>
      </c>
      <c r="L51" s="69" t="s">
        <v>93</v>
      </c>
      <c r="M51" s="76">
        <v>80.0</v>
      </c>
      <c r="N51" s="76">
        <v>750.0</v>
      </c>
      <c r="O51" s="77" t="s">
        <v>34</v>
      </c>
      <c r="P51" s="76" t="s">
        <v>526</v>
      </c>
      <c r="Q51" s="81"/>
    </row>
    <row r="52">
      <c r="A52" s="69" t="s">
        <v>24</v>
      </c>
      <c r="B52" s="76">
        <v>1.0</v>
      </c>
      <c r="C52" s="77">
        <v>2016.0</v>
      </c>
      <c r="D52" s="76" t="s">
        <v>225</v>
      </c>
      <c r="E52" s="78" t="s">
        <v>226</v>
      </c>
      <c r="F52" s="69" t="s">
        <v>139</v>
      </c>
      <c r="G52" s="69" t="s">
        <v>41</v>
      </c>
      <c r="H52" s="69" t="s">
        <v>75</v>
      </c>
      <c r="I52" s="69" t="s">
        <v>227</v>
      </c>
      <c r="J52" s="69" t="s">
        <v>140</v>
      </c>
      <c r="K52" s="69" t="s">
        <v>228</v>
      </c>
      <c r="M52" s="76">
        <v>120.0</v>
      </c>
      <c r="N52" s="76">
        <v>750.0</v>
      </c>
      <c r="O52" s="77" t="s">
        <v>34</v>
      </c>
      <c r="P52" s="76" t="s">
        <v>554</v>
      </c>
      <c r="Q52" s="81"/>
    </row>
    <row r="53">
      <c r="A53" s="69" t="s">
        <v>24</v>
      </c>
      <c r="B53" s="83">
        <v>1.0</v>
      </c>
      <c r="C53" s="77">
        <v>2016.0</v>
      </c>
      <c r="D53" s="76" t="s">
        <v>254</v>
      </c>
      <c r="E53" s="78" t="s">
        <v>255</v>
      </c>
      <c r="F53" s="69" t="s">
        <v>129</v>
      </c>
      <c r="G53" s="69" t="s">
        <v>28</v>
      </c>
      <c r="H53" s="69" t="s">
        <v>237</v>
      </c>
      <c r="I53" s="69" t="s">
        <v>59</v>
      </c>
      <c r="J53" s="69" t="s">
        <v>256</v>
      </c>
      <c r="K53" s="69" t="s">
        <v>257</v>
      </c>
      <c r="L53" s="69" t="s">
        <v>255</v>
      </c>
      <c r="M53" s="76">
        <v>97.0</v>
      </c>
      <c r="N53" s="76">
        <v>750.0</v>
      </c>
      <c r="O53" s="77" t="s">
        <v>34</v>
      </c>
      <c r="P53" s="76" t="s">
        <v>549</v>
      </c>
      <c r="Q53" s="81"/>
    </row>
    <row r="54">
      <c r="A54" s="69" t="s">
        <v>24</v>
      </c>
      <c r="B54" s="76">
        <v>1.0</v>
      </c>
      <c r="C54" s="77">
        <v>2016.0</v>
      </c>
      <c r="D54" s="76" t="s">
        <v>301</v>
      </c>
      <c r="E54" s="78" t="s">
        <v>302</v>
      </c>
      <c r="F54" s="69" t="s">
        <v>191</v>
      </c>
      <c r="G54" s="69" t="s">
        <v>28</v>
      </c>
      <c r="H54" s="69" t="s">
        <v>29</v>
      </c>
      <c r="I54" s="69" t="s">
        <v>30</v>
      </c>
      <c r="J54" s="69" t="s">
        <v>212</v>
      </c>
      <c r="K54" s="69" t="s">
        <v>303</v>
      </c>
      <c r="L54" s="69" t="s">
        <v>304</v>
      </c>
      <c r="M54" s="76">
        <v>75.0</v>
      </c>
      <c r="N54" s="76">
        <v>750.0</v>
      </c>
      <c r="O54" s="77" t="s">
        <v>34</v>
      </c>
      <c r="P54" s="76">
        <v>6.0</v>
      </c>
      <c r="Q54" s="81"/>
    </row>
    <row r="55">
      <c r="A55" s="69" t="s">
        <v>24</v>
      </c>
      <c r="B55" s="76">
        <v>1.0</v>
      </c>
      <c r="C55" s="77">
        <v>2016.0</v>
      </c>
      <c r="D55" s="76" t="s">
        <v>301</v>
      </c>
      <c r="E55" s="78" t="s">
        <v>302</v>
      </c>
      <c r="F55" s="69" t="s">
        <v>191</v>
      </c>
      <c r="G55" s="69" t="s">
        <v>28</v>
      </c>
      <c r="H55" s="69" t="s">
        <v>29</v>
      </c>
      <c r="I55" s="69" t="s">
        <v>30</v>
      </c>
      <c r="J55" s="69" t="s">
        <v>212</v>
      </c>
      <c r="K55" s="69" t="s">
        <v>555</v>
      </c>
      <c r="L55" s="69" t="s">
        <v>304</v>
      </c>
      <c r="M55" s="76">
        <v>75.0</v>
      </c>
      <c r="N55" s="76">
        <v>750.0</v>
      </c>
      <c r="O55" s="77" t="s">
        <v>34</v>
      </c>
      <c r="P55" s="76">
        <v>9.0</v>
      </c>
      <c r="Q55" s="81"/>
    </row>
    <row r="56">
      <c r="A56" s="69" t="s">
        <v>24</v>
      </c>
      <c r="B56" s="76">
        <v>2.0</v>
      </c>
      <c r="C56" s="77">
        <v>2016.0</v>
      </c>
      <c r="D56" s="76" t="s">
        <v>229</v>
      </c>
      <c r="E56" s="78" t="s">
        <v>245</v>
      </c>
      <c r="F56" s="69" t="s">
        <v>27</v>
      </c>
      <c r="G56" s="69" t="s">
        <v>28</v>
      </c>
      <c r="H56" s="69" t="s">
        <v>29</v>
      </c>
      <c r="I56" s="69" t="s">
        <v>30</v>
      </c>
      <c r="J56" s="76" t="s">
        <v>31</v>
      </c>
      <c r="K56" s="76" t="s">
        <v>221</v>
      </c>
      <c r="L56" s="80"/>
      <c r="M56" s="76">
        <v>150.0</v>
      </c>
      <c r="N56" s="76">
        <v>750.0</v>
      </c>
      <c r="O56" s="77" t="s">
        <v>34</v>
      </c>
      <c r="P56" s="76">
        <v>23.0</v>
      </c>
      <c r="Q56" s="80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</row>
    <row r="57">
      <c r="A57" s="69" t="s">
        <v>24</v>
      </c>
      <c r="B57" s="76">
        <v>1.0</v>
      </c>
      <c r="C57" s="77">
        <v>2016.0</v>
      </c>
      <c r="D57" s="76" t="s">
        <v>229</v>
      </c>
      <c r="E57" s="78" t="s">
        <v>230</v>
      </c>
      <c r="F57" s="69" t="s">
        <v>156</v>
      </c>
      <c r="G57" s="69" t="s">
        <v>28</v>
      </c>
      <c r="H57" s="69" t="s">
        <v>29</v>
      </c>
      <c r="I57" s="69" t="s">
        <v>30</v>
      </c>
      <c r="J57" s="76" t="s">
        <v>97</v>
      </c>
      <c r="K57" s="76" t="s">
        <v>130</v>
      </c>
      <c r="L57" s="82" t="s">
        <v>231</v>
      </c>
      <c r="M57" s="76">
        <v>125.0</v>
      </c>
      <c r="N57" s="76">
        <v>750.0</v>
      </c>
      <c r="O57" s="77" t="s">
        <v>34</v>
      </c>
      <c r="P57" s="76">
        <v>23.0</v>
      </c>
      <c r="Q57" s="80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</row>
    <row r="58">
      <c r="A58" s="69" t="s">
        <v>24</v>
      </c>
      <c r="B58" s="76">
        <v>1.0</v>
      </c>
      <c r="C58" s="77">
        <v>2016.0</v>
      </c>
      <c r="D58" s="76" t="s">
        <v>170</v>
      </c>
      <c r="E58" s="78" t="s">
        <v>556</v>
      </c>
      <c r="F58" s="69" t="s">
        <v>27</v>
      </c>
      <c r="G58" s="69" t="s">
        <v>28</v>
      </c>
      <c r="H58" s="69" t="s">
        <v>29</v>
      </c>
      <c r="I58" s="69" t="s">
        <v>30</v>
      </c>
      <c r="J58" s="76" t="s">
        <v>31</v>
      </c>
      <c r="K58" s="79"/>
      <c r="L58" s="80"/>
      <c r="M58" s="76">
        <v>125.0</v>
      </c>
      <c r="N58" s="76">
        <v>750.0</v>
      </c>
      <c r="O58" s="77" t="s">
        <v>34</v>
      </c>
      <c r="P58" s="76">
        <v>23.0</v>
      </c>
      <c r="Q58" s="80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</row>
    <row r="59">
      <c r="A59" s="69" t="s">
        <v>24</v>
      </c>
      <c r="B59" s="76">
        <v>1.0</v>
      </c>
      <c r="C59" s="77">
        <v>2016.0</v>
      </c>
      <c r="D59" s="76" t="s">
        <v>557</v>
      </c>
      <c r="E59" s="78" t="s">
        <v>558</v>
      </c>
      <c r="F59" s="69" t="s">
        <v>191</v>
      </c>
      <c r="G59" s="69" t="s">
        <v>28</v>
      </c>
      <c r="H59" s="69" t="s">
        <v>29</v>
      </c>
      <c r="I59" s="69" t="s">
        <v>30</v>
      </c>
      <c r="J59" s="76" t="s">
        <v>97</v>
      </c>
      <c r="K59" s="76" t="s">
        <v>559</v>
      </c>
      <c r="L59" s="80"/>
      <c r="M59" s="76">
        <v>66.0</v>
      </c>
      <c r="N59" s="76">
        <v>750.0</v>
      </c>
      <c r="O59" s="77" t="s">
        <v>34</v>
      </c>
      <c r="P59" s="76" t="s">
        <v>529</v>
      </c>
      <c r="Q59" s="80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</row>
    <row r="60">
      <c r="A60" s="69" t="s">
        <v>24</v>
      </c>
      <c r="B60" s="76">
        <v>1.0</v>
      </c>
      <c r="C60" s="77">
        <v>2017.0</v>
      </c>
      <c r="D60" s="76" t="s">
        <v>240</v>
      </c>
      <c r="E60" s="78" t="s">
        <v>26</v>
      </c>
      <c r="F60" s="69" t="s">
        <v>27</v>
      </c>
      <c r="G60" s="69" t="s">
        <v>28</v>
      </c>
      <c r="H60" s="69" t="s">
        <v>29</v>
      </c>
      <c r="I60" s="69" t="s">
        <v>30</v>
      </c>
      <c r="J60" s="69" t="s">
        <v>31</v>
      </c>
      <c r="K60" s="69" t="s">
        <v>241</v>
      </c>
      <c r="M60" s="76">
        <v>120.0</v>
      </c>
      <c r="N60" s="76">
        <v>750.0</v>
      </c>
      <c r="O60" s="77" t="s">
        <v>34</v>
      </c>
      <c r="P60" s="76" t="s">
        <v>560</v>
      </c>
      <c r="Q60" s="81"/>
    </row>
    <row r="61">
      <c r="A61" s="69" t="s">
        <v>24</v>
      </c>
      <c r="B61" s="76">
        <v>1.0</v>
      </c>
      <c r="C61" s="77">
        <v>2017.0</v>
      </c>
      <c r="D61" s="76" t="s">
        <v>154</v>
      </c>
      <c r="E61" s="78" t="s">
        <v>327</v>
      </c>
      <c r="F61" s="69" t="s">
        <v>27</v>
      </c>
      <c r="G61" s="69" t="s">
        <v>28</v>
      </c>
      <c r="H61" s="69" t="s">
        <v>29</v>
      </c>
      <c r="I61" s="69" t="s">
        <v>30</v>
      </c>
      <c r="J61" s="69" t="s">
        <v>31</v>
      </c>
      <c r="K61" s="69" t="s">
        <v>221</v>
      </c>
      <c r="M61" s="76">
        <v>110.0</v>
      </c>
      <c r="N61" s="76">
        <v>750.0</v>
      </c>
      <c r="O61" s="77" t="s">
        <v>34</v>
      </c>
      <c r="P61" s="76" t="s">
        <v>537</v>
      </c>
      <c r="Q61" s="81"/>
    </row>
    <row r="62">
      <c r="A62" s="69" t="s">
        <v>24</v>
      </c>
      <c r="B62" s="76">
        <v>1.0</v>
      </c>
      <c r="C62" s="77">
        <v>2017.0</v>
      </c>
      <c r="D62" s="76" t="s">
        <v>64</v>
      </c>
      <c r="E62" s="76" t="s">
        <v>561</v>
      </c>
      <c r="F62" s="69" t="s">
        <v>191</v>
      </c>
      <c r="G62" s="69" t="s">
        <v>28</v>
      </c>
      <c r="H62" s="69" t="s">
        <v>29</v>
      </c>
      <c r="I62" s="69" t="s">
        <v>65</v>
      </c>
      <c r="J62" s="76" t="s">
        <v>562</v>
      </c>
      <c r="L62" s="69" t="s">
        <v>563</v>
      </c>
      <c r="M62" s="76">
        <v>35.0</v>
      </c>
      <c r="N62" s="76">
        <v>750.0</v>
      </c>
      <c r="O62" s="77" t="s">
        <v>34</v>
      </c>
      <c r="Q62" s="81"/>
    </row>
    <row r="63">
      <c r="A63" s="69" t="s">
        <v>24</v>
      </c>
      <c r="B63" s="76">
        <v>1.0</v>
      </c>
      <c r="C63" s="77">
        <v>2017.0</v>
      </c>
      <c r="D63" s="76" t="s">
        <v>103</v>
      </c>
      <c r="E63" s="76" t="s">
        <v>564</v>
      </c>
      <c r="F63" s="69" t="s">
        <v>191</v>
      </c>
      <c r="G63" s="69" t="s">
        <v>28</v>
      </c>
      <c r="H63" s="69" t="s">
        <v>29</v>
      </c>
      <c r="I63" s="69" t="s">
        <v>30</v>
      </c>
      <c r="J63" s="69" t="s">
        <v>31</v>
      </c>
      <c r="K63" s="69" t="s">
        <v>268</v>
      </c>
      <c r="M63" s="76">
        <v>59.0</v>
      </c>
      <c r="N63" s="76">
        <v>750.0</v>
      </c>
      <c r="O63" s="77" t="s">
        <v>34</v>
      </c>
      <c r="P63" s="76">
        <v>9.0</v>
      </c>
      <c r="Q63" s="81"/>
    </row>
    <row r="64">
      <c r="A64" s="69" t="s">
        <v>24</v>
      </c>
      <c r="B64" s="76">
        <v>1.0</v>
      </c>
      <c r="C64" s="77">
        <v>2017.0</v>
      </c>
      <c r="D64" s="76" t="s">
        <v>229</v>
      </c>
      <c r="E64" s="78" t="s">
        <v>252</v>
      </c>
      <c r="F64" s="69" t="s">
        <v>139</v>
      </c>
      <c r="G64" s="69" t="s">
        <v>28</v>
      </c>
      <c r="H64" s="69" t="s">
        <v>29</v>
      </c>
      <c r="I64" s="69" t="s">
        <v>30</v>
      </c>
      <c r="J64" s="69" t="s">
        <v>31</v>
      </c>
      <c r="K64" s="79"/>
      <c r="L64" s="80"/>
      <c r="M64" s="76">
        <v>95.0</v>
      </c>
      <c r="N64" s="76">
        <v>750.0</v>
      </c>
      <c r="O64" s="77" t="s">
        <v>34</v>
      </c>
      <c r="P64" s="76">
        <v>23.0</v>
      </c>
      <c r="Q64" s="80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</row>
    <row r="65">
      <c r="A65" s="69" t="s">
        <v>24</v>
      </c>
      <c r="B65" s="76">
        <v>2.0</v>
      </c>
      <c r="C65" s="77">
        <v>2018.0</v>
      </c>
      <c r="D65" s="76" t="s">
        <v>345</v>
      </c>
      <c r="E65" s="78" t="s">
        <v>346</v>
      </c>
      <c r="F65" s="69" t="s">
        <v>27</v>
      </c>
      <c r="G65" s="69" t="s">
        <v>28</v>
      </c>
      <c r="H65" s="69" t="s">
        <v>29</v>
      </c>
      <c r="I65" s="69" t="s">
        <v>30</v>
      </c>
      <c r="J65" s="69" t="s">
        <v>31</v>
      </c>
      <c r="L65" s="78" t="s">
        <v>346</v>
      </c>
      <c r="M65" s="76">
        <v>125.0</v>
      </c>
      <c r="N65" s="76">
        <v>750.0</v>
      </c>
      <c r="O65" s="77" t="s">
        <v>34</v>
      </c>
      <c r="P65" s="76" t="s">
        <v>565</v>
      </c>
      <c r="Q65" s="81"/>
    </row>
    <row r="66">
      <c r="A66" s="69" t="s">
        <v>24</v>
      </c>
      <c r="B66" s="76">
        <v>1.0</v>
      </c>
      <c r="C66" s="77">
        <v>2018.0</v>
      </c>
      <c r="D66" s="76" t="s">
        <v>368</v>
      </c>
      <c r="E66" s="78" t="s">
        <v>369</v>
      </c>
      <c r="F66" s="69" t="s">
        <v>27</v>
      </c>
      <c r="G66" s="69" t="s">
        <v>28</v>
      </c>
      <c r="H66" s="69" t="s">
        <v>29</v>
      </c>
      <c r="I66" s="69" t="s">
        <v>30</v>
      </c>
      <c r="J66" s="69" t="s">
        <v>31</v>
      </c>
      <c r="L66" s="69" t="s">
        <v>370</v>
      </c>
      <c r="M66" s="76">
        <v>75.0</v>
      </c>
      <c r="N66" s="76">
        <v>750.0</v>
      </c>
      <c r="O66" s="77" t="s">
        <v>34</v>
      </c>
      <c r="P66" s="76" t="s">
        <v>526</v>
      </c>
      <c r="Q66" s="81"/>
    </row>
    <row r="67">
      <c r="A67" s="69" t="s">
        <v>24</v>
      </c>
      <c r="B67" s="76">
        <v>2.0</v>
      </c>
      <c r="C67" s="77">
        <v>2018.0</v>
      </c>
      <c r="D67" s="76" t="s">
        <v>329</v>
      </c>
      <c r="E67" s="78" t="s">
        <v>332</v>
      </c>
      <c r="F67" s="69" t="s">
        <v>27</v>
      </c>
      <c r="G67" s="69" t="s">
        <v>28</v>
      </c>
      <c r="H67" s="69" t="s">
        <v>29</v>
      </c>
      <c r="I67" s="69" t="s">
        <v>30</v>
      </c>
      <c r="J67" s="69" t="s">
        <v>31</v>
      </c>
      <c r="K67" s="69" t="s">
        <v>333</v>
      </c>
      <c r="L67" s="69" t="s">
        <v>332</v>
      </c>
      <c r="M67" s="76">
        <v>110.0</v>
      </c>
      <c r="N67" s="76">
        <v>750.0</v>
      </c>
      <c r="O67" s="77" t="s">
        <v>34</v>
      </c>
      <c r="P67" s="76" t="s">
        <v>560</v>
      </c>
      <c r="Q67" s="81"/>
    </row>
    <row r="68">
      <c r="A68" s="69" t="s">
        <v>24</v>
      </c>
      <c r="B68" s="76">
        <v>1.0</v>
      </c>
      <c r="C68" s="77">
        <v>2018.0</v>
      </c>
      <c r="D68" s="76" t="s">
        <v>329</v>
      </c>
      <c r="E68" s="78" t="s">
        <v>330</v>
      </c>
      <c r="F68" s="69" t="s">
        <v>27</v>
      </c>
      <c r="G68" s="69" t="s">
        <v>28</v>
      </c>
      <c r="H68" s="69" t="s">
        <v>29</v>
      </c>
      <c r="I68" s="69" t="s">
        <v>30</v>
      </c>
      <c r="J68" s="69" t="s">
        <v>31</v>
      </c>
      <c r="K68" s="69" t="s">
        <v>331</v>
      </c>
      <c r="L68" s="69" t="s">
        <v>330</v>
      </c>
      <c r="M68" s="76">
        <v>100.0</v>
      </c>
      <c r="N68" s="76">
        <v>750.0</v>
      </c>
      <c r="O68" s="77" t="s">
        <v>34</v>
      </c>
      <c r="P68" s="76" t="s">
        <v>560</v>
      </c>
      <c r="Q68" s="81"/>
    </row>
    <row r="69">
      <c r="A69" s="69" t="s">
        <v>24</v>
      </c>
      <c r="B69" s="76">
        <v>1.0</v>
      </c>
      <c r="C69" s="77">
        <v>2018.0</v>
      </c>
      <c r="D69" s="76" t="s">
        <v>154</v>
      </c>
      <c r="E69" s="78" t="s">
        <v>155</v>
      </c>
      <c r="F69" s="69" t="s">
        <v>156</v>
      </c>
      <c r="G69" s="69" t="s">
        <v>28</v>
      </c>
      <c r="H69" s="69" t="s">
        <v>29</v>
      </c>
      <c r="I69" s="69" t="s">
        <v>30</v>
      </c>
      <c r="J69" s="69" t="s">
        <v>31</v>
      </c>
      <c r="K69" s="69" t="s">
        <v>221</v>
      </c>
      <c r="L69" s="69" t="s">
        <v>157</v>
      </c>
      <c r="M69" s="76">
        <v>100.0</v>
      </c>
      <c r="N69" s="76">
        <v>750.0</v>
      </c>
      <c r="O69" s="77" t="s">
        <v>34</v>
      </c>
      <c r="P69" s="76" t="s">
        <v>537</v>
      </c>
      <c r="Q69" s="81"/>
    </row>
    <row r="70">
      <c r="A70" s="69" t="s">
        <v>24</v>
      </c>
      <c r="B70" s="76">
        <v>1.0</v>
      </c>
      <c r="C70" s="77">
        <v>2018.0</v>
      </c>
      <c r="D70" s="76" t="s">
        <v>355</v>
      </c>
      <c r="E70" s="78" t="s">
        <v>356</v>
      </c>
      <c r="F70" s="69" t="s">
        <v>27</v>
      </c>
      <c r="G70" s="69" t="s">
        <v>28</v>
      </c>
      <c r="H70" s="69" t="s">
        <v>29</v>
      </c>
      <c r="I70" s="69" t="s">
        <v>30</v>
      </c>
      <c r="J70" s="69" t="s">
        <v>31</v>
      </c>
      <c r="L70" s="78" t="s">
        <v>356</v>
      </c>
      <c r="M70" s="76">
        <v>210.0</v>
      </c>
      <c r="N70" s="76">
        <v>750.0</v>
      </c>
      <c r="O70" s="77" t="s">
        <v>34</v>
      </c>
      <c r="P70" s="76" t="s">
        <v>537</v>
      </c>
      <c r="Q70" s="81"/>
    </row>
    <row r="71">
      <c r="A71" s="69" t="s">
        <v>24</v>
      </c>
      <c r="B71" s="76">
        <v>4.0</v>
      </c>
      <c r="C71" s="77">
        <v>2018.0</v>
      </c>
      <c r="D71" s="76" t="s">
        <v>154</v>
      </c>
      <c r="E71" s="78" t="s">
        <v>327</v>
      </c>
      <c r="F71" s="69" t="s">
        <v>27</v>
      </c>
      <c r="G71" s="69" t="s">
        <v>28</v>
      </c>
      <c r="H71" s="69" t="s">
        <v>29</v>
      </c>
      <c r="I71" s="69" t="s">
        <v>30</v>
      </c>
      <c r="J71" s="69" t="s">
        <v>31</v>
      </c>
      <c r="K71" s="69" t="s">
        <v>186</v>
      </c>
      <c r="M71" s="76">
        <v>100.0</v>
      </c>
      <c r="N71" s="76">
        <v>750.0</v>
      </c>
      <c r="O71" s="77" t="s">
        <v>34</v>
      </c>
      <c r="P71" s="76" t="s">
        <v>441</v>
      </c>
      <c r="Q71" s="81"/>
    </row>
    <row r="72">
      <c r="A72" s="69" t="s">
        <v>24</v>
      </c>
      <c r="B72" s="76">
        <v>1.0</v>
      </c>
      <c r="C72" s="77">
        <v>2018.0</v>
      </c>
      <c r="D72" s="76" t="s">
        <v>329</v>
      </c>
      <c r="E72" s="78" t="s">
        <v>330</v>
      </c>
      <c r="F72" s="69" t="s">
        <v>27</v>
      </c>
      <c r="G72" s="69" t="s">
        <v>28</v>
      </c>
      <c r="H72" s="69" t="s">
        <v>29</v>
      </c>
      <c r="I72" s="69" t="s">
        <v>30</v>
      </c>
      <c r="J72" s="69" t="s">
        <v>31</v>
      </c>
      <c r="K72" s="69" t="s">
        <v>331</v>
      </c>
      <c r="L72" s="69" t="s">
        <v>330</v>
      </c>
      <c r="M72" s="76">
        <v>100.0</v>
      </c>
      <c r="N72" s="76">
        <v>750.0</v>
      </c>
      <c r="O72" s="77" t="s">
        <v>34</v>
      </c>
      <c r="P72" s="76" t="s">
        <v>441</v>
      </c>
      <c r="Q72" s="81"/>
    </row>
    <row r="73">
      <c r="A73" s="69" t="s">
        <v>24</v>
      </c>
      <c r="B73" s="76">
        <v>1.0</v>
      </c>
      <c r="C73" s="77">
        <v>2018.0</v>
      </c>
      <c r="D73" s="78" t="s">
        <v>352</v>
      </c>
      <c r="E73" s="69" t="s">
        <v>353</v>
      </c>
      <c r="F73" s="69" t="s">
        <v>74</v>
      </c>
      <c r="G73" s="69" t="s">
        <v>41</v>
      </c>
      <c r="H73" s="69" t="s">
        <v>75</v>
      </c>
      <c r="I73" s="69" t="s">
        <v>76</v>
      </c>
      <c r="J73" s="69" t="s">
        <v>354</v>
      </c>
      <c r="M73" s="76">
        <v>110.0</v>
      </c>
      <c r="N73" s="76">
        <v>750.0</v>
      </c>
      <c r="O73" s="77" t="s">
        <v>34</v>
      </c>
      <c r="P73" s="76" t="s">
        <v>526</v>
      </c>
      <c r="Q73" s="81"/>
    </row>
    <row r="74">
      <c r="A74" s="69" t="s">
        <v>24</v>
      </c>
      <c r="B74" s="76">
        <v>2.0</v>
      </c>
      <c r="C74" s="77">
        <v>2018.0</v>
      </c>
      <c r="D74" s="76" t="s">
        <v>254</v>
      </c>
      <c r="E74" s="78" t="s">
        <v>374</v>
      </c>
      <c r="F74" s="69" t="s">
        <v>139</v>
      </c>
      <c r="G74" s="69" t="s">
        <v>28</v>
      </c>
      <c r="H74" s="69" t="s">
        <v>58</v>
      </c>
      <c r="M74" s="76">
        <v>57.0</v>
      </c>
      <c r="N74" s="76">
        <v>750.0</v>
      </c>
      <c r="O74" s="77" t="s">
        <v>34</v>
      </c>
      <c r="P74" s="76" t="s">
        <v>566</v>
      </c>
      <c r="Q74" s="81"/>
    </row>
    <row r="75">
      <c r="A75" s="69" t="s">
        <v>24</v>
      </c>
      <c r="B75" s="76">
        <v>3.0</v>
      </c>
      <c r="C75" s="77">
        <v>2019.0</v>
      </c>
      <c r="D75" s="76" t="s">
        <v>313</v>
      </c>
      <c r="E75" s="78" t="s">
        <v>530</v>
      </c>
      <c r="F75" s="69" t="s">
        <v>27</v>
      </c>
      <c r="G75" s="69" t="s">
        <v>28</v>
      </c>
      <c r="H75" s="69" t="s">
        <v>29</v>
      </c>
      <c r="I75" s="69" t="s">
        <v>30</v>
      </c>
      <c r="J75" s="69" t="s">
        <v>31</v>
      </c>
      <c r="K75" s="69" t="s">
        <v>32</v>
      </c>
      <c r="L75" s="69" t="s">
        <v>567</v>
      </c>
      <c r="M75" s="76">
        <v>250.0</v>
      </c>
      <c r="N75" s="76">
        <v>750.0</v>
      </c>
      <c r="O75" s="77" t="s">
        <v>34</v>
      </c>
      <c r="P75" s="76" t="s">
        <v>441</v>
      </c>
      <c r="Q75" s="81"/>
    </row>
    <row r="76">
      <c r="A76" s="69" t="s">
        <v>24</v>
      </c>
      <c r="B76" s="76">
        <v>5.0</v>
      </c>
      <c r="C76" s="77">
        <v>2019.0</v>
      </c>
      <c r="D76" s="76" t="s">
        <v>386</v>
      </c>
      <c r="E76" s="78" t="s">
        <v>387</v>
      </c>
      <c r="F76" s="69" t="s">
        <v>191</v>
      </c>
      <c r="G76" s="69" t="s">
        <v>28</v>
      </c>
      <c r="H76" s="69" t="s">
        <v>29</v>
      </c>
      <c r="I76" s="69" t="s">
        <v>30</v>
      </c>
      <c r="J76" s="69" t="s">
        <v>130</v>
      </c>
      <c r="M76" s="76">
        <v>60.0</v>
      </c>
      <c r="N76" s="76">
        <v>750.0</v>
      </c>
      <c r="O76" s="77" t="s">
        <v>34</v>
      </c>
      <c r="P76" s="76" t="s">
        <v>568</v>
      </c>
      <c r="Q76" s="81"/>
    </row>
    <row r="77">
      <c r="A77" s="69" t="s">
        <v>44</v>
      </c>
      <c r="B77" s="76">
        <v>1.0</v>
      </c>
      <c r="C77" s="77" t="s">
        <v>75</v>
      </c>
      <c r="D77" s="76" t="s">
        <v>103</v>
      </c>
      <c r="E77" s="78" t="s">
        <v>569</v>
      </c>
      <c r="F77" s="69" t="s">
        <v>27</v>
      </c>
      <c r="G77" s="69" t="s">
        <v>28</v>
      </c>
      <c r="H77" s="69" t="s">
        <v>29</v>
      </c>
      <c r="I77" s="69" t="s">
        <v>30</v>
      </c>
      <c r="J77" s="76"/>
      <c r="K77" s="79"/>
      <c r="L77" s="80"/>
      <c r="M77" s="76">
        <v>90.0</v>
      </c>
      <c r="N77" s="76">
        <v>1500.0</v>
      </c>
      <c r="O77" s="77" t="s">
        <v>34</v>
      </c>
      <c r="P77" s="76" t="s">
        <v>523</v>
      </c>
      <c r="Q77" s="80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</row>
    <row r="78">
      <c r="A78" s="69" t="s">
        <v>44</v>
      </c>
      <c r="B78" s="76">
        <v>1.0</v>
      </c>
      <c r="C78" s="77" t="s">
        <v>75</v>
      </c>
      <c r="D78" s="76" t="s">
        <v>557</v>
      </c>
      <c r="E78" s="78" t="s">
        <v>570</v>
      </c>
      <c r="F78" s="69" t="s">
        <v>40</v>
      </c>
      <c r="G78" s="69" t="s">
        <v>28</v>
      </c>
      <c r="H78" s="69" t="s">
        <v>29</v>
      </c>
      <c r="I78" s="69" t="s">
        <v>30</v>
      </c>
      <c r="J78" s="76"/>
      <c r="K78" s="79"/>
      <c r="L78" s="80"/>
      <c r="M78" s="76">
        <v>120.0</v>
      </c>
      <c r="N78" s="76">
        <v>750.0</v>
      </c>
      <c r="O78" s="77" t="s">
        <v>34</v>
      </c>
      <c r="P78" s="76" t="s">
        <v>529</v>
      </c>
      <c r="Q78" s="80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</row>
    <row r="79">
      <c r="A79" s="69" t="s">
        <v>24</v>
      </c>
      <c r="B79" s="76">
        <v>1.0</v>
      </c>
      <c r="C79" s="77"/>
      <c r="D79" s="76" t="s">
        <v>229</v>
      </c>
      <c r="E79" s="78" t="s">
        <v>571</v>
      </c>
      <c r="F79" s="69" t="s">
        <v>40</v>
      </c>
      <c r="G79" s="69" t="s">
        <v>28</v>
      </c>
      <c r="H79" s="69" t="s">
        <v>29</v>
      </c>
      <c r="I79" s="69" t="s">
        <v>30</v>
      </c>
      <c r="J79" s="76" t="s">
        <v>31</v>
      </c>
      <c r="M79" s="76">
        <v>70.0</v>
      </c>
      <c r="N79" s="76">
        <v>750.0</v>
      </c>
      <c r="O79" s="77" t="s">
        <v>34</v>
      </c>
      <c r="P79" s="76">
        <v>8.0</v>
      </c>
      <c r="Q79" s="81"/>
    </row>
    <row r="80">
      <c r="A80" s="69" t="s">
        <v>24</v>
      </c>
      <c r="B80" s="76">
        <v>1.0</v>
      </c>
      <c r="C80" s="77">
        <v>1995.0</v>
      </c>
      <c r="D80" s="76" t="s">
        <v>25</v>
      </c>
      <c r="E80" s="78" t="s">
        <v>114</v>
      </c>
      <c r="F80" s="69" t="s">
        <v>27</v>
      </c>
      <c r="G80" s="69" t="s">
        <v>28</v>
      </c>
      <c r="H80" s="69" t="s">
        <v>29</v>
      </c>
      <c r="I80" s="69" t="s">
        <v>30</v>
      </c>
      <c r="J80" s="69" t="s">
        <v>31</v>
      </c>
      <c r="K80" s="69" t="s">
        <v>32</v>
      </c>
      <c r="L80" s="69" t="s">
        <v>115</v>
      </c>
      <c r="M80" s="76">
        <v>120.0</v>
      </c>
      <c r="N80" s="76">
        <v>750.0</v>
      </c>
      <c r="O80" s="77" t="s">
        <v>47</v>
      </c>
      <c r="P80" s="76" t="s">
        <v>526</v>
      </c>
      <c r="Q80" s="81"/>
    </row>
    <row r="81">
      <c r="A81" s="69" t="s">
        <v>24</v>
      </c>
      <c r="B81" s="76">
        <v>1.0</v>
      </c>
      <c r="C81" s="77">
        <v>2006.0</v>
      </c>
      <c r="D81" s="76" t="s">
        <v>471</v>
      </c>
      <c r="E81" s="78" t="s">
        <v>144</v>
      </c>
      <c r="F81" s="69" t="s">
        <v>74</v>
      </c>
      <c r="G81" s="69" t="s">
        <v>41</v>
      </c>
      <c r="H81" s="69" t="s">
        <v>75</v>
      </c>
      <c r="I81" s="69" t="s">
        <v>76</v>
      </c>
      <c r="J81" s="69" t="s">
        <v>224</v>
      </c>
      <c r="M81" s="76">
        <v>150.0</v>
      </c>
      <c r="N81" s="76">
        <v>750.0</v>
      </c>
      <c r="O81" s="77" t="s">
        <v>47</v>
      </c>
      <c r="P81" s="76" t="s">
        <v>526</v>
      </c>
      <c r="Q81" s="81"/>
    </row>
    <row r="82">
      <c r="A82" s="69" t="s">
        <v>24</v>
      </c>
      <c r="B82" s="76">
        <v>0.0</v>
      </c>
      <c r="C82" s="77">
        <v>2007.0</v>
      </c>
      <c r="D82" s="76" t="s">
        <v>572</v>
      </c>
      <c r="E82" s="78" t="s">
        <v>573</v>
      </c>
      <c r="F82" s="69" t="s">
        <v>27</v>
      </c>
      <c r="G82" s="69" t="s">
        <v>28</v>
      </c>
      <c r="H82" s="69" t="s">
        <v>58</v>
      </c>
      <c r="I82" s="69" t="s">
        <v>59</v>
      </c>
      <c r="J82" s="69" t="s">
        <v>256</v>
      </c>
      <c r="K82" s="69" t="s">
        <v>60</v>
      </c>
      <c r="L82" s="69" t="s">
        <v>573</v>
      </c>
      <c r="M82" s="76">
        <v>120.0</v>
      </c>
      <c r="N82" s="76">
        <v>750.0</v>
      </c>
      <c r="O82" s="77" t="s">
        <v>47</v>
      </c>
      <c r="P82" s="76" t="s">
        <v>110</v>
      </c>
      <c r="Q82" s="84" t="s">
        <v>574</v>
      </c>
    </row>
    <row r="83">
      <c r="A83" s="69" t="s">
        <v>24</v>
      </c>
      <c r="B83" s="85">
        <v>0.0</v>
      </c>
      <c r="C83" s="77">
        <v>2008.0</v>
      </c>
      <c r="D83" s="76" t="s">
        <v>575</v>
      </c>
      <c r="E83" s="78" t="s">
        <v>119</v>
      </c>
      <c r="F83" s="69" t="s">
        <v>89</v>
      </c>
      <c r="G83" s="69" t="s">
        <v>82</v>
      </c>
      <c r="H83" s="69" t="s">
        <v>90</v>
      </c>
      <c r="I83" s="69" t="s">
        <v>92</v>
      </c>
      <c r="J83" s="69" t="s">
        <v>91</v>
      </c>
      <c r="L83" s="69" t="s">
        <v>93</v>
      </c>
      <c r="M83" s="76">
        <v>40.0</v>
      </c>
      <c r="N83" s="76">
        <v>750.0</v>
      </c>
      <c r="O83" s="77" t="s">
        <v>47</v>
      </c>
      <c r="P83" s="76" t="s">
        <v>549</v>
      </c>
      <c r="Q83" s="84" t="s">
        <v>576</v>
      </c>
    </row>
    <row r="84">
      <c r="A84" s="69" t="s">
        <v>24</v>
      </c>
      <c r="B84" s="76">
        <v>1.0</v>
      </c>
      <c r="C84" s="77">
        <v>2012.0</v>
      </c>
      <c r="D84" s="76" t="s">
        <v>127</v>
      </c>
      <c r="E84" s="78" t="s">
        <v>285</v>
      </c>
      <c r="F84" s="69" t="s">
        <v>129</v>
      </c>
      <c r="G84" s="69" t="s">
        <v>28</v>
      </c>
      <c r="H84" s="69" t="s">
        <v>29</v>
      </c>
      <c r="I84" s="69" t="s">
        <v>212</v>
      </c>
      <c r="J84" s="69" t="s">
        <v>248</v>
      </c>
      <c r="L84" s="69" t="s">
        <v>286</v>
      </c>
      <c r="M84" s="76">
        <v>40.0</v>
      </c>
      <c r="N84" s="76">
        <v>750.0</v>
      </c>
      <c r="O84" s="77" t="s">
        <v>47</v>
      </c>
      <c r="P84" s="76" t="s">
        <v>151</v>
      </c>
      <c r="Q84" s="81"/>
    </row>
    <row r="85">
      <c r="A85" s="69" t="s">
        <v>44</v>
      </c>
      <c r="B85" s="76">
        <v>0.0</v>
      </c>
      <c r="C85" s="77">
        <v>2012.0</v>
      </c>
      <c r="D85" s="76" t="s">
        <v>103</v>
      </c>
      <c r="E85" s="78" t="s">
        <v>577</v>
      </c>
      <c r="F85" s="69" t="s">
        <v>40</v>
      </c>
      <c r="G85" s="69" t="s">
        <v>28</v>
      </c>
      <c r="H85" s="69" t="s">
        <v>29</v>
      </c>
      <c r="I85" s="69" t="s">
        <v>30</v>
      </c>
      <c r="M85" s="76">
        <v>60.0</v>
      </c>
      <c r="N85" s="76">
        <v>750.0</v>
      </c>
      <c r="O85" s="77" t="s">
        <v>47</v>
      </c>
      <c r="P85" s="76">
        <v>5.0</v>
      </c>
      <c r="Q85" s="81"/>
    </row>
    <row r="86">
      <c r="A86" s="69" t="s">
        <v>44</v>
      </c>
      <c r="B86" s="76">
        <v>1.0</v>
      </c>
      <c r="C86" s="77">
        <v>2013.0</v>
      </c>
      <c r="D86" s="76" t="s">
        <v>103</v>
      </c>
      <c r="E86" s="78" t="s">
        <v>538</v>
      </c>
      <c r="F86" s="69" t="s">
        <v>40</v>
      </c>
      <c r="G86" s="69" t="s">
        <v>28</v>
      </c>
      <c r="H86" s="69" t="s">
        <v>29</v>
      </c>
      <c r="I86" s="69" t="s">
        <v>30</v>
      </c>
      <c r="M86" s="76">
        <v>45.0</v>
      </c>
      <c r="N86" s="76">
        <v>750.0</v>
      </c>
      <c r="O86" s="77" t="s">
        <v>47</v>
      </c>
      <c r="P86" s="76">
        <v>5.0</v>
      </c>
      <c r="Q86" s="81"/>
    </row>
    <row r="87">
      <c r="A87" s="69" t="s">
        <v>24</v>
      </c>
      <c r="B87" s="85">
        <v>2.0</v>
      </c>
      <c r="C87" s="86">
        <v>2014.0</v>
      </c>
      <c r="D87" s="87" t="s">
        <v>163</v>
      </c>
      <c r="E87" s="87" t="s">
        <v>164</v>
      </c>
      <c r="F87" s="69" t="s">
        <v>74</v>
      </c>
      <c r="G87" s="69" t="s">
        <v>28</v>
      </c>
      <c r="H87" s="69" t="s">
        <v>58</v>
      </c>
      <c r="I87" s="69" t="s">
        <v>59</v>
      </c>
      <c r="J87" s="69" t="s">
        <v>165</v>
      </c>
      <c r="K87" s="69" t="s">
        <v>165</v>
      </c>
      <c r="L87" s="69" t="s">
        <v>166</v>
      </c>
      <c r="M87" s="83">
        <v>110.0</v>
      </c>
      <c r="N87" s="76">
        <v>750.0</v>
      </c>
      <c r="O87" s="77" t="s">
        <v>47</v>
      </c>
      <c r="P87" s="88" t="s">
        <v>523</v>
      </c>
      <c r="Q87" s="81"/>
    </row>
    <row r="88">
      <c r="A88" s="69" t="s">
        <v>44</v>
      </c>
      <c r="B88" s="76">
        <v>2.0</v>
      </c>
      <c r="C88" s="77">
        <v>2014.0</v>
      </c>
      <c r="D88" s="76" t="s">
        <v>103</v>
      </c>
      <c r="E88" s="78" t="s">
        <v>578</v>
      </c>
      <c r="F88" s="69" t="s">
        <v>40</v>
      </c>
      <c r="G88" s="69" t="s">
        <v>28</v>
      </c>
      <c r="H88" s="69" t="s">
        <v>29</v>
      </c>
      <c r="I88" s="69" t="s">
        <v>30</v>
      </c>
      <c r="J88" s="76" t="s">
        <v>31</v>
      </c>
      <c r="K88" s="69" t="s">
        <v>75</v>
      </c>
      <c r="M88" s="76">
        <v>42.0</v>
      </c>
      <c r="N88" s="76">
        <v>750.0</v>
      </c>
      <c r="O88" s="77" t="s">
        <v>47</v>
      </c>
      <c r="P88" s="76">
        <v>4.0</v>
      </c>
      <c r="Q88" s="81"/>
    </row>
    <row r="89">
      <c r="A89" s="69" t="s">
        <v>44</v>
      </c>
      <c r="B89" s="76">
        <v>1.0</v>
      </c>
      <c r="C89" s="77">
        <v>2014.0</v>
      </c>
      <c r="D89" s="76" t="s">
        <v>103</v>
      </c>
      <c r="E89" s="78" t="s">
        <v>538</v>
      </c>
      <c r="F89" s="69" t="s">
        <v>40</v>
      </c>
      <c r="G89" s="69" t="s">
        <v>28</v>
      </c>
      <c r="H89" s="69" t="s">
        <v>29</v>
      </c>
      <c r="I89" s="69" t="s">
        <v>30</v>
      </c>
      <c r="J89" s="76" t="s">
        <v>31</v>
      </c>
      <c r="K89" s="69" t="s">
        <v>75</v>
      </c>
      <c r="M89" s="76">
        <v>45.0</v>
      </c>
      <c r="N89" s="76">
        <v>750.0</v>
      </c>
      <c r="O89" s="77" t="s">
        <v>47</v>
      </c>
      <c r="P89" s="76">
        <v>4.0</v>
      </c>
      <c r="Q89" s="81"/>
    </row>
    <row r="90">
      <c r="A90" s="69" t="s">
        <v>24</v>
      </c>
      <c r="B90" s="76">
        <v>0.0</v>
      </c>
      <c r="C90" s="77">
        <v>2014.0</v>
      </c>
      <c r="D90" s="76" t="s">
        <v>579</v>
      </c>
      <c r="E90" s="78" t="s">
        <v>580</v>
      </c>
      <c r="F90" s="69" t="s">
        <v>145</v>
      </c>
      <c r="G90" s="69" t="s">
        <v>41</v>
      </c>
      <c r="H90" s="69" t="s">
        <v>75</v>
      </c>
      <c r="I90" s="69" t="s">
        <v>76</v>
      </c>
      <c r="J90" s="69" t="s">
        <v>147</v>
      </c>
      <c r="M90" s="76">
        <v>75.0</v>
      </c>
      <c r="N90" s="76">
        <v>750.0</v>
      </c>
      <c r="O90" s="77" t="s">
        <v>47</v>
      </c>
      <c r="P90" s="76" t="s">
        <v>110</v>
      </c>
      <c r="Q90" s="84" t="s">
        <v>581</v>
      </c>
    </row>
    <row r="91">
      <c r="A91" s="69" t="s">
        <v>24</v>
      </c>
      <c r="B91" s="76">
        <v>1.0</v>
      </c>
      <c r="C91" s="77">
        <v>2016.0</v>
      </c>
      <c r="D91" s="76" t="s">
        <v>99</v>
      </c>
      <c r="E91" s="78" t="s">
        <v>582</v>
      </c>
      <c r="F91" s="69" t="s">
        <v>156</v>
      </c>
      <c r="G91" s="69" t="s">
        <v>28</v>
      </c>
      <c r="H91" s="69" t="s">
        <v>29</v>
      </c>
      <c r="I91" s="69" t="s">
        <v>30</v>
      </c>
      <c r="J91" s="76" t="s">
        <v>31</v>
      </c>
      <c r="K91" s="69" t="s">
        <v>75</v>
      </c>
      <c r="M91" s="76">
        <v>75.0</v>
      </c>
      <c r="N91" s="76">
        <v>750.0</v>
      </c>
      <c r="O91" s="77" t="s">
        <v>47</v>
      </c>
      <c r="P91" s="69">
        <v>1.0</v>
      </c>
      <c r="Q91" s="81"/>
    </row>
    <row r="92">
      <c r="A92" s="69" t="s">
        <v>24</v>
      </c>
      <c r="B92" s="76">
        <v>1.0</v>
      </c>
      <c r="C92" s="77">
        <v>2016.0</v>
      </c>
      <c r="D92" s="76" t="s">
        <v>197</v>
      </c>
      <c r="E92" s="78" t="s">
        <v>583</v>
      </c>
      <c r="F92" s="69" t="s">
        <v>129</v>
      </c>
      <c r="G92" s="69" t="s">
        <v>28</v>
      </c>
      <c r="H92" s="69" t="s">
        <v>29</v>
      </c>
      <c r="I92" s="69" t="s">
        <v>30</v>
      </c>
      <c r="J92" s="76" t="s">
        <v>31</v>
      </c>
      <c r="K92" s="69" t="s">
        <v>75</v>
      </c>
      <c r="M92" s="76">
        <v>45.0</v>
      </c>
      <c r="N92" s="76">
        <v>750.0</v>
      </c>
      <c r="O92" s="77" t="s">
        <v>47</v>
      </c>
      <c r="P92" s="76">
        <v>3.0</v>
      </c>
      <c r="Q92" s="81"/>
    </row>
    <row r="93">
      <c r="A93" s="69" t="s">
        <v>24</v>
      </c>
      <c r="B93" s="76">
        <v>1.0</v>
      </c>
      <c r="C93" s="77">
        <v>2016.0</v>
      </c>
      <c r="D93" s="76" t="s">
        <v>205</v>
      </c>
      <c r="E93" s="78" t="s">
        <v>280</v>
      </c>
      <c r="F93" s="69" t="s">
        <v>156</v>
      </c>
      <c r="G93" s="69" t="s">
        <v>28</v>
      </c>
      <c r="H93" s="69" t="s">
        <v>29</v>
      </c>
      <c r="I93" s="69" t="s">
        <v>30</v>
      </c>
      <c r="J93" s="76" t="s">
        <v>31</v>
      </c>
      <c r="K93" s="69" t="s">
        <v>281</v>
      </c>
      <c r="M93" s="76">
        <v>50.0</v>
      </c>
      <c r="N93" s="76">
        <v>750.0</v>
      </c>
      <c r="O93" s="77" t="s">
        <v>47</v>
      </c>
      <c r="P93" s="76">
        <v>3.0</v>
      </c>
      <c r="Q93" s="81"/>
    </row>
    <row r="94">
      <c r="A94" s="69" t="s">
        <v>24</v>
      </c>
      <c r="B94" s="76">
        <v>3.0</v>
      </c>
      <c r="C94" s="77">
        <v>2016.0</v>
      </c>
      <c r="D94" s="76" t="s">
        <v>197</v>
      </c>
      <c r="E94" s="76" t="s">
        <v>235</v>
      </c>
      <c r="F94" s="69" t="s">
        <v>235</v>
      </c>
      <c r="G94" s="69" t="s">
        <v>28</v>
      </c>
      <c r="H94" s="69" t="s">
        <v>29</v>
      </c>
      <c r="I94" s="69" t="s">
        <v>30</v>
      </c>
      <c r="J94" s="69" t="s">
        <v>31</v>
      </c>
      <c r="M94" s="76">
        <v>48.0</v>
      </c>
      <c r="N94" s="76">
        <v>750.0</v>
      </c>
      <c r="O94" s="77" t="s">
        <v>47</v>
      </c>
      <c r="Q94" s="81"/>
    </row>
    <row r="95">
      <c r="A95" s="69" t="s">
        <v>24</v>
      </c>
      <c r="B95" s="76">
        <v>1.0</v>
      </c>
      <c r="C95" s="77">
        <v>2016.0</v>
      </c>
      <c r="D95" s="76" t="s">
        <v>170</v>
      </c>
      <c r="E95" s="76" t="s">
        <v>584</v>
      </c>
      <c r="F95" s="69" t="s">
        <v>585</v>
      </c>
      <c r="G95" s="69" t="s">
        <v>28</v>
      </c>
      <c r="H95" s="69" t="s">
        <v>29</v>
      </c>
      <c r="I95" s="69" t="s">
        <v>30</v>
      </c>
      <c r="J95" s="69" t="s">
        <v>31</v>
      </c>
      <c r="M95" s="76">
        <v>65.0</v>
      </c>
      <c r="N95" s="76">
        <v>750.0</v>
      </c>
      <c r="O95" s="77" t="s">
        <v>47</v>
      </c>
      <c r="Q95" s="81"/>
    </row>
    <row r="96">
      <c r="A96" s="69" t="s">
        <v>24</v>
      </c>
      <c r="B96" s="76">
        <v>1.0</v>
      </c>
      <c r="C96" s="77">
        <v>2016.0</v>
      </c>
      <c r="D96" s="76" t="s">
        <v>205</v>
      </c>
      <c r="E96" s="76" t="s">
        <v>415</v>
      </c>
      <c r="F96" s="69" t="s">
        <v>40</v>
      </c>
      <c r="G96" s="69" t="s">
        <v>28</v>
      </c>
      <c r="H96" s="69" t="s">
        <v>29</v>
      </c>
      <c r="I96" s="69" t="s">
        <v>30</v>
      </c>
      <c r="J96" s="69" t="s">
        <v>31</v>
      </c>
      <c r="M96" s="76">
        <v>25.0</v>
      </c>
      <c r="N96" s="76">
        <v>750.0</v>
      </c>
      <c r="O96" s="77" t="s">
        <v>47</v>
      </c>
      <c r="P96" s="79"/>
      <c r="Q96" s="81"/>
    </row>
    <row r="97">
      <c r="A97" s="69" t="s">
        <v>24</v>
      </c>
      <c r="B97" s="76">
        <v>1.0</v>
      </c>
      <c r="C97" s="77">
        <v>2016.0</v>
      </c>
      <c r="D97" s="76" t="s">
        <v>205</v>
      </c>
      <c r="E97" s="76" t="s">
        <v>206</v>
      </c>
      <c r="F97" s="69" t="s">
        <v>40</v>
      </c>
      <c r="G97" s="69" t="s">
        <v>28</v>
      </c>
      <c r="H97" s="69" t="s">
        <v>29</v>
      </c>
      <c r="I97" s="69" t="s">
        <v>30</v>
      </c>
      <c r="J97" s="69" t="s">
        <v>31</v>
      </c>
      <c r="M97" s="76">
        <v>30.0</v>
      </c>
      <c r="N97" s="76">
        <v>750.0</v>
      </c>
      <c r="O97" s="77" t="s">
        <v>47</v>
      </c>
      <c r="P97" s="79"/>
      <c r="Q97" s="81"/>
    </row>
    <row r="98">
      <c r="A98" s="69" t="s">
        <v>24</v>
      </c>
      <c r="B98" s="76">
        <v>1.0</v>
      </c>
      <c r="C98" s="77">
        <v>2016.0</v>
      </c>
      <c r="D98" s="76" t="s">
        <v>56</v>
      </c>
      <c r="E98" s="78" t="s">
        <v>586</v>
      </c>
      <c r="F98" s="69" t="s">
        <v>191</v>
      </c>
      <c r="G98" s="69" t="s">
        <v>28</v>
      </c>
      <c r="H98" s="69" t="s">
        <v>237</v>
      </c>
      <c r="J98" s="69" t="s">
        <v>238</v>
      </c>
      <c r="L98" s="69" t="s">
        <v>239</v>
      </c>
      <c r="M98" s="76">
        <v>33.0</v>
      </c>
      <c r="N98" s="76">
        <v>750.0</v>
      </c>
      <c r="O98" s="77" t="s">
        <v>47</v>
      </c>
      <c r="P98" s="76">
        <v>26.0</v>
      </c>
      <c r="Q98" s="81"/>
    </row>
    <row r="99">
      <c r="A99" s="69" t="s">
        <v>44</v>
      </c>
      <c r="B99" s="76">
        <v>1.0</v>
      </c>
      <c r="C99" s="77">
        <v>2016.0</v>
      </c>
      <c r="D99" s="76" t="s">
        <v>189</v>
      </c>
      <c r="E99" s="78" t="s">
        <v>250</v>
      </c>
      <c r="F99" s="69" t="s">
        <v>40</v>
      </c>
      <c r="G99" s="69" t="s">
        <v>28</v>
      </c>
      <c r="H99" s="69" t="s">
        <v>29</v>
      </c>
      <c r="I99" s="69" t="s">
        <v>30</v>
      </c>
      <c r="M99" s="76">
        <v>65.0</v>
      </c>
      <c r="N99" s="76">
        <v>750.0</v>
      </c>
      <c r="O99" s="77" t="s">
        <v>47</v>
      </c>
      <c r="P99" s="76">
        <v>6.0</v>
      </c>
      <c r="Q99" s="81"/>
    </row>
    <row r="100">
      <c r="A100" s="69" t="s">
        <v>24</v>
      </c>
      <c r="B100" s="76">
        <v>2.0</v>
      </c>
      <c r="C100" s="77">
        <v>2016.0</v>
      </c>
      <c r="D100" s="76" t="s">
        <v>103</v>
      </c>
      <c r="E100" s="78" t="s">
        <v>267</v>
      </c>
      <c r="F100" s="69" t="s">
        <v>191</v>
      </c>
      <c r="G100" s="69" t="s">
        <v>28</v>
      </c>
      <c r="H100" s="69" t="s">
        <v>29</v>
      </c>
      <c r="I100" s="69" t="s">
        <v>30</v>
      </c>
      <c r="M100" s="76">
        <v>60.0</v>
      </c>
      <c r="N100" s="76">
        <v>750.0</v>
      </c>
      <c r="O100" s="77" t="s">
        <v>47</v>
      </c>
      <c r="P100" s="76">
        <v>9.0</v>
      </c>
      <c r="Q100" s="81"/>
    </row>
    <row r="101">
      <c r="A101" s="69" t="s">
        <v>24</v>
      </c>
      <c r="B101" s="76">
        <v>2.0</v>
      </c>
      <c r="C101" s="77">
        <v>2016.0</v>
      </c>
      <c r="D101" s="76" t="s">
        <v>64</v>
      </c>
      <c r="E101" s="78" t="s">
        <v>587</v>
      </c>
      <c r="F101" s="69" t="s">
        <v>27</v>
      </c>
      <c r="G101" s="69" t="s">
        <v>28</v>
      </c>
      <c r="H101" s="69" t="s">
        <v>29</v>
      </c>
      <c r="I101" s="69" t="s">
        <v>30</v>
      </c>
      <c r="J101" s="76"/>
      <c r="K101" s="79"/>
      <c r="L101" s="80"/>
      <c r="M101" s="76">
        <v>60.0</v>
      </c>
      <c r="N101" s="79"/>
      <c r="O101" s="77" t="s">
        <v>47</v>
      </c>
      <c r="P101" s="76">
        <v>23.0</v>
      </c>
      <c r="Q101" s="80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</row>
    <row r="102">
      <c r="A102" s="69" t="s">
        <v>24</v>
      </c>
      <c r="B102" s="83">
        <v>1.0</v>
      </c>
      <c r="C102" s="86">
        <v>2017.0</v>
      </c>
      <c r="D102" s="87" t="s">
        <v>368</v>
      </c>
      <c r="E102" s="87" t="s">
        <v>369</v>
      </c>
      <c r="F102" s="69" t="s">
        <v>27</v>
      </c>
      <c r="G102" s="69" t="s">
        <v>28</v>
      </c>
      <c r="H102" s="69" t="s">
        <v>29</v>
      </c>
      <c r="I102" s="69" t="s">
        <v>30</v>
      </c>
      <c r="J102" s="69" t="s">
        <v>31</v>
      </c>
      <c r="L102" s="69" t="s">
        <v>370</v>
      </c>
      <c r="M102" s="85">
        <v>60.0</v>
      </c>
      <c r="N102" s="76">
        <v>750.0</v>
      </c>
      <c r="O102" s="77" t="s">
        <v>47</v>
      </c>
      <c r="P102" s="88" t="s">
        <v>549</v>
      </c>
      <c r="Q102" s="81"/>
    </row>
    <row r="103">
      <c r="A103" s="69" t="s">
        <v>24</v>
      </c>
      <c r="B103" s="76">
        <v>3.0</v>
      </c>
      <c r="C103" s="77">
        <v>2017.0</v>
      </c>
      <c r="D103" s="76" t="s">
        <v>588</v>
      </c>
      <c r="E103" s="78" t="s">
        <v>589</v>
      </c>
      <c r="F103" s="69" t="s">
        <v>191</v>
      </c>
      <c r="G103" s="69" t="s">
        <v>28</v>
      </c>
      <c r="H103" s="69" t="s">
        <v>29</v>
      </c>
      <c r="I103" s="69" t="s">
        <v>30</v>
      </c>
      <c r="J103" s="76"/>
      <c r="K103" s="79"/>
      <c r="L103" s="80"/>
      <c r="M103" s="76">
        <v>55.0</v>
      </c>
      <c r="N103" s="79"/>
      <c r="O103" s="77" t="s">
        <v>47</v>
      </c>
      <c r="P103" s="76">
        <v>23.0</v>
      </c>
      <c r="Q103" s="80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</row>
    <row r="104">
      <c r="A104" s="69" t="s">
        <v>24</v>
      </c>
      <c r="B104" s="76">
        <v>1.0</v>
      </c>
      <c r="C104" s="77">
        <v>2017.0</v>
      </c>
      <c r="D104" s="76" t="s">
        <v>64</v>
      </c>
      <c r="E104" s="78" t="s">
        <v>590</v>
      </c>
      <c r="F104" s="69" t="s">
        <v>235</v>
      </c>
      <c r="G104" s="69" t="s">
        <v>28</v>
      </c>
      <c r="H104" s="69" t="s">
        <v>29</v>
      </c>
      <c r="I104" s="69" t="s">
        <v>30</v>
      </c>
      <c r="J104" s="76"/>
      <c r="K104" s="79"/>
      <c r="L104" s="80"/>
      <c r="M104" s="76">
        <v>40.0</v>
      </c>
      <c r="N104" s="79"/>
      <c r="O104" s="77" t="s">
        <v>47</v>
      </c>
      <c r="P104" s="76">
        <v>23.0</v>
      </c>
      <c r="Q104" s="80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</row>
    <row r="105">
      <c r="A105" s="69" t="s">
        <v>24</v>
      </c>
      <c r="B105" s="76">
        <v>1.0</v>
      </c>
      <c r="C105" s="77">
        <v>2018.0</v>
      </c>
      <c r="D105" s="76" t="s">
        <v>188</v>
      </c>
      <c r="E105" s="78" t="s">
        <v>334</v>
      </c>
      <c r="F105" s="69" t="s">
        <v>191</v>
      </c>
      <c r="G105" s="69" t="s">
        <v>28</v>
      </c>
      <c r="H105" s="69" t="s">
        <v>29</v>
      </c>
      <c r="I105" s="69" t="s">
        <v>130</v>
      </c>
      <c r="L105" s="69" t="s">
        <v>334</v>
      </c>
      <c r="M105" s="76">
        <v>45.0</v>
      </c>
      <c r="N105" s="76">
        <v>750.0</v>
      </c>
      <c r="O105" s="77" t="s">
        <v>47</v>
      </c>
      <c r="P105" s="76" t="s">
        <v>549</v>
      </c>
      <c r="Q105" s="81"/>
    </row>
    <row r="106">
      <c r="A106" s="69" t="s">
        <v>24</v>
      </c>
      <c r="B106" s="76">
        <v>1.0</v>
      </c>
      <c r="C106" s="77">
        <v>2018.0</v>
      </c>
      <c r="D106" s="76" t="s">
        <v>64</v>
      </c>
      <c r="E106" s="76" t="s">
        <v>591</v>
      </c>
      <c r="F106" s="69" t="s">
        <v>40</v>
      </c>
      <c r="G106" s="69" t="s">
        <v>28</v>
      </c>
      <c r="H106" s="69" t="s">
        <v>29</v>
      </c>
      <c r="J106" s="79"/>
      <c r="L106" s="69" t="s">
        <v>592</v>
      </c>
      <c r="M106" s="76">
        <v>25.0</v>
      </c>
      <c r="N106" s="76">
        <v>750.0</v>
      </c>
      <c r="O106" s="77" t="s">
        <v>47</v>
      </c>
      <c r="Q106" s="81"/>
    </row>
    <row r="107">
      <c r="A107" s="69" t="s">
        <v>24</v>
      </c>
      <c r="B107" s="76">
        <v>1.0</v>
      </c>
      <c r="C107" s="77">
        <v>2018.0</v>
      </c>
      <c r="D107" s="76" t="s">
        <v>170</v>
      </c>
      <c r="E107" s="78" t="s">
        <v>593</v>
      </c>
      <c r="F107" s="69" t="s">
        <v>40</v>
      </c>
      <c r="G107" s="69" t="s">
        <v>28</v>
      </c>
      <c r="H107" s="69" t="s">
        <v>29</v>
      </c>
      <c r="I107" s="69" t="s">
        <v>30</v>
      </c>
      <c r="J107" s="76"/>
      <c r="K107" s="79"/>
      <c r="L107" s="80"/>
      <c r="M107" s="76">
        <v>25.0</v>
      </c>
      <c r="N107" s="79"/>
      <c r="O107" s="77" t="s">
        <v>47</v>
      </c>
      <c r="P107" s="76">
        <v>23.0</v>
      </c>
      <c r="Q107" s="80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</row>
    <row r="108">
      <c r="A108" s="69" t="s">
        <v>24</v>
      </c>
      <c r="B108" s="76">
        <v>1.0</v>
      </c>
      <c r="C108" s="77">
        <v>2006.0</v>
      </c>
      <c r="D108" s="76" t="s">
        <v>531</v>
      </c>
      <c r="E108" s="78" t="s">
        <v>594</v>
      </c>
      <c r="F108" s="69" t="s">
        <v>74</v>
      </c>
      <c r="G108" s="69" t="s">
        <v>41</v>
      </c>
      <c r="H108" s="69" t="s">
        <v>75</v>
      </c>
      <c r="I108" s="69" t="s">
        <v>76</v>
      </c>
      <c r="J108" s="69" t="s">
        <v>224</v>
      </c>
      <c r="M108" s="76">
        <v>60.0</v>
      </c>
      <c r="N108" s="76">
        <v>750.0</v>
      </c>
      <c r="O108" s="77" t="s">
        <v>105</v>
      </c>
      <c r="P108" s="76">
        <v>28.0</v>
      </c>
      <c r="Q108" s="81"/>
    </row>
    <row r="109">
      <c r="A109" s="69" t="s">
        <v>24</v>
      </c>
      <c r="B109" s="76">
        <v>1.0</v>
      </c>
      <c r="C109" s="77">
        <v>2013.0</v>
      </c>
      <c r="D109" s="76" t="s">
        <v>56</v>
      </c>
      <c r="E109" s="78" t="s">
        <v>57</v>
      </c>
      <c r="F109" s="69" t="s">
        <v>40</v>
      </c>
      <c r="G109" s="69" t="s">
        <v>28</v>
      </c>
      <c r="H109" s="69" t="s">
        <v>58</v>
      </c>
      <c r="I109" s="76"/>
      <c r="J109" s="76" t="s">
        <v>59</v>
      </c>
      <c r="K109" s="76" t="s">
        <v>60</v>
      </c>
      <c r="L109" s="82" t="s">
        <v>61</v>
      </c>
      <c r="M109" s="76">
        <v>34.0</v>
      </c>
      <c r="N109" s="79"/>
      <c r="O109" s="77" t="s">
        <v>105</v>
      </c>
      <c r="P109" s="76">
        <v>24.0</v>
      </c>
      <c r="Q109" s="80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</row>
    <row r="110">
      <c r="A110" s="69" t="s">
        <v>24</v>
      </c>
      <c r="B110" s="76">
        <v>1.0</v>
      </c>
      <c r="C110" s="77">
        <v>2013.0</v>
      </c>
      <c r="D110" s="76" t="s">
        <v>99</v>
      </c>
      <c r="E110" s="78" t="s">
        <v>126</v>
      </c>
      <c r="F110" s="69" t="s">
        <v>27</v>
      </c>
      <c r="G110" s="69" t="s">
        <v>28</v>
      </c>
      <c r="H110" s="69" t="s">
        <v>29</v>
      </c>
      <c r="I110" s="69" t="s">
        <v>30</v>
      </c>
      <c r="J110" s="76" t="s">
        <v>31</v>
      </c>
      <c r="K110" s="69" t="s">
        <v>126</v>
      </c>
      <c r="M110" s="76">
        <v>55.0</v>
      </c>
      <c r="N110" s="76">
        <v>750.0</v>
      </c>
      <c r="O110" s="77" t="s">
        <v>105</v>
      </c>
      <c r="P110" s="69">
        <v>1.0</v>
      </c>
      <c r="Q110" s="81"/>
    </row>
    <row r="111">
      <c r="A111" s="69" t="s">
        <v>24</v>
      </c>
      <c r="B111" s="76">
        <v>1.0</v>
      </c>
      <c r="C111" s="77">
        <v>2013.0</v>
      </c>
      <c r="D111" s="76" t="s">
        <v>205</v>
      </c>
      <c r="E111" s="78" t="s">
        <v>123</v>
      </c>
      <c r="F111" s="69" t="s">
        <v>27</v>
      </c>
      <c r="G111" s="69" t="s">
        <v>28</v>
      </c>
      <c r="H111" s="69" t="s">
        <v>29</v>
      </c>
      <c r="I111" s="69" t="s">
        <v>30</v>
      </c>
      <c r="J111" s="76" t="s">
        <v>31</v>
      </c>
      <c r="K111" s="69" t="s">
        <v>32</v>
      </c>
      <c r="L111" s="69" t="s">
        <v>124</v>
      </c>
      <c r="M111" s="76">
        <v>90.0</v>
      </c>
      <c r="N111" s="76">
        <v>750.0</v>
      </c>
      <c r="O111" s="77" t="s">
        <v>105</v>
      </c>
      <c r="P111" s="76">
        <v>2.0</v>
      </c>
      <c r="Q111" s="81"/>
    </row>
    <row r="112">
      <c r="A112" s="69" t="s">
        <v>24</v>
      </c>
      <c r="B112" s="76">
        <v>3.0</v>
      </c>
      <c r="C112" s="77">
        <v>2013.0</v>
      </c>
      <c r="D112" s="76" t="s">
        <v>95</v>
      </c>
      <c r="E112" s="78" t="s">
        <v>168</v>
      </c>
      <c r="F112" s="69" t="s">
        <v>74</v>
      </c>
      <c r="G112" s="69" t="s">
        <v>28</v>
      </c>
      <c r="H112" s="69" t="s">
        <v>29</v>
      </c>
      <c r="I112" s="69" t="s">
        <v>30</v>
      </c>
      <c r="J112" s="76" t="s">
        <v>31</v>
      </c>
      <c r="M112" s="76">
        <v>50.0</v>
      </c>
      <c r="N112" s="76">
        <v>750.0</v>
      </c>
      <c r="O112" s="77" t="s">
        <v>105</v>
      </c>
      <c r="P112" s="76">
        <v>7.0</v>
      </c>
      <c r="Q112" s="81"/>
    </row>
    <row r="113">
      <c r="A113" s="69" t="s">
        <v>24</v>
      </c>
      <c r="B113" s="76">
        <v>1.0</v>
      </c>
      <c r="C113" s="77">
        <v>2013.0</v>
      </c>
      <c r="D113" s="76" t="s">
        <v>595</v>
      </c>
      <c r="E113" s="78" t="s">
        <v>96</v>
      </c>
      <c r="F113" s="69" t="s">
        <v>74</v>
      </c>
      <c r="G113" s="69" t="s">
        <v>28</v>
      </c>
      <c r="H113" s="69" t="s">
        <v>29</v>
      </c>
      <c r="I113" s="69" t="s">
        <v>30</v>
      </c>
      <c r="J113" s="69" t="s">
        <v>31</v>
      </c>
      <c r="M113" s="76">
        <v>75.0</v>
      </c>
      <c r="N113" s="76">
        <v>750.0</v>
      </c>
      <c r="O113" s="77" t="s">
        <v>105</v>
      </c>
      <c r="P113" s="76">
        <v>28.0</v>
      </c>
      <c r="Q113" s="81"/>
    </row>
    <row r="114">
      <c r="A114" s="69" t="s">
        <v>24</v>
      </c>
      <c r="B114" s="76">
        <v>1.0</v>
      </c>
      <c r="C114" s="77">
        <v>2013.0</v>
      </c>
      <c r="D114" s="76" t="s">
        <v>127</v>
      </c>
      <c r="E114" s="78" t="s">
        <v>128</v>
      </c>
      <c r="F114" s="69" t="s">
        <v>129</v>
      </c>
      <c r="G114" s="69" t="s">
        <v>28</v>
      </c>
      <c r="H114" s="69" t="s">
        <v>29</v>
      </c>
      <c r="I114" s="69" t="s">
        <v>30</v>
      </c>
      <c r="J114" s="69" t="s">
        <v>130</v>
      </c>
      <c r="L114" s="69" t="s">
        <v>131</v>
      </c>
      <c r="M114" s="76">
        <v>50.0</v>
      </c>
      <c r="N114" s="76">
        <v>750.0</v>
      </c>
      <c r="O114" s="77" t="s">
        <v>105</v>
      </c>
      <c r="P114" s="76" t="s">
        <v>151</v>
      </c>
      <c r="Q114" s="81"/>
    </row>
    <row r="115">
      <c r="A115" s="69" t="s">
        <v>44</v>
      </c>
      <c r="B115" s="76">
        <v>1.0</v>
      </c>
      <c r="C115" s="77">
        <v>2013.0</v>
      </c>
      <c r="D115" s="76" t="s">
        <v>103</v>
      </c>
      <c r="E115" s="78" t="s">
        <v>104</v>
      </c>
      <c r="F115" s="69" t="s">
        <v>40</v>
      </c>
      <c r="G115" s="69" t="s">
        <v>28</v>
      </c>
      <c r="H115" s="69" t="s">
        <v>29</v>
      </c>
      <c r="I115" s="69" t="s">
        <v>30</v>
      </c>
      <c r="M115" s="76">
        <v>115.0</v>
      </c>
      <c r="N115" s="76">
        <v>750.0</v>
      </c>
      <c r="O115" s="77" t="s">
        <v>105</v>
      </c>
      <c r="P115" s="76">
        <v>5.0</v>
      </c>
      <c r="Q115" s="81"/>
    </row>
    <row r="116">
      <c r="A116" s="69" t="s">
        <v>24</v>
      </c>
      <c r="B116" s="76">
        <v>1.0</v>
      </c>
      <c r="C116" s="77">
        <v>2014.0</v>
      </c>
      <c r="D116" s="76" t="s">
        <v>84</v>
      </c>
      <c r="E116" s="78" t="s">
        <v>201</v>
      </c>
      <c r="F116" s="69" t="s">
        <v>27</v>
      </c>
      <c r="G116" s="69" t="s">
        <v>28</v>
      </c>
      <c r="H116" s="69" t="s">
        <v>29</v>
      </c>
      <c r="I116" s="69" t="s">
        <v>30</v>
      </c>
      <c r="J116" s="76" t="s">
        <v>31</v>
      </c>
      <c r="K116" s="69" t="s">
        <v>75</v>
      </c>
      <c r="M116" s="76">
        <v>80.0</v>
      </c>
      <c r="N116" s="76">
        <v>750.0</v>
      </c>
      <c r="O116" s="77" t="s">
        <v>105</v>
      </c>
      <c r="P116" s="69">
        <v>1.0</v>
      </c>
      <c r="Q116" s="81"/>
    </row>
    <row r="117">
      <c r="A117" s="69" t="s">
        <v>24</v>
      </c>
      <c r="B117" s="76">
        <v>2.0</v>
      </c>
      <c r="C117" s="77">
        <v>2014.0</v>
      </c>
      <c r="D117" s="76" t="s">
        <v>205</v>
      </c>
      <c r="E117" s="78" t="s">
        <v>280</v>
      </c>
      <c r="F117" s="69" t="s">
        <v>156</v>
      </c>
      <c r="G117" s="69" t="s">
        <v>28</v>
      </c>
      <c r="H117" s="69" t="s">
        <v>29</v>
      </c>
      <c r="I117" s="69" t="s">
        <v>30</v>
      </c>
      <c r="J117" s="76" t="s">
        <v>31</v>
      </c>
      <c r="K117" s="69" t="s">
        <v>281</v>
      </c>
      <c r="M117" s="76">
        <v>55.0</v>
      </c>
      <c r="N117" s="76">
        <v>750.0</v>
      </c>
      <c r="O117" s="77" t="s">
        <v>105</v>
      </c>
      <c r="P117" s="76">
        <v>2.0</v>
      </c>
      <c r="Q117" s="81"/>
    </row>
    <row r="118">
      <c r="A118" s="69" t="s">
        <v>24</v>
      </c>
      <c r="B118" s="76">
        <v>1.0</v>
      </c>
      <c r="C118" s="77">
        <v>2014.0</v>
      </c>
      <c r="D118" s="76" t="s">
        <v>205</v>
      </c>
      <c r="E118" s="78" t="s">
        <v>552</v>
      </c>
      <c r="F118" s="69" t="s">
        <v>235</v>
      </c>
      <c r="G118" s="69" t="s">
        <v>28</v>
      </c>
      <c r="H118" s="69" t="s">
        <v>29</v>
      </c>
      <c r="I118" s="69" t="s">
        <v>30</v>
      </c>
      <c r="J118" s="76" t="s">
        <v>31</v>
      </c>
      <c r="K118" s="69" t="s">
        <v>281</v>
      </c>
      <c r="M118" s="76">
        <v>35.0</v>
      </c>
      <c r="N118" s="76">
        <v>750.0</v>
      </c>
      <c r="O118" s="77" t="s">
        <v>105</v>
      </c>
      <c r="P118" s="76">
        <v>3.0</v>
      </c>
      <c r="Q118" s="81"/>
    </row>
    <row r="119">
      <c r="A119" s="69" t="s">
        <v>44</v>
      </c>
      <c r="B119" s="76">
        <v>1.0</v>
      </c>
      <c r="C119" s="77">
        <v>2014.0</v>
      </c>
      <c r="D119" s="76" t="s">
        <v>103</v>
      </c>
      <c r="E119" s="78" t="s">
        <v>578</v>
      </c>
      <c r="F119" s="69" t="s">
        <v>40</v>
      </c>
      <c r="G119" s="69" t="s">
        <v>28</v>
      </c>
      <c r="H119" s="69" t="s">
        <v>29</v>
      </c>
      <c r="I119" s="69" t="s">
        <v>30</v>
      </c>
      <c r="M119" s="76">
        <v>42.0</v>
      </c>
      <c r="N119" s="76">
        <v>750.0</v>
      </c>
      <c r="O119" s="77" t="s">
        <v>105</v>
      </c>
      <c r="P119" s="76">
        <v>5.0</v>
      </c>
      <c r="Q119" s="81"/>
    </row>
    <row r="120">
      <c r="A120" s="69" t="s">
        <v>24</v>
      </c>
      <c r="B120" s="76">
        <v>1.0</v>
      </c>
      <c r="C120" s="77">
        <v>2015.0</v>
      </c>
      <c r="D120" s="76" t="s">
        <v>596</v>
      </c>
      <c r="E120" s="78" t="s">
        <v>597</v>
      </c>
      <c r="F120" s="69" t="s">
        <v>74</v>
      </c>
      <c r="G120" s="69" t="s">
        <v>41</v>
      </c>
      <c r="H120" s="69" t="s">
        <v>75</v>
      </c>
      <c r="I120" s="69" t="s">
        <v>76</v>
      </c>
      <c r="J120" s="69" t="s">
        <v>76</v>
      </c>
      <c r="M120" s="76">
        <v>75.0</v>
      </c>
      <c r="N120" s="76">
        <v>750.0</v>
      </c>
      <c r="O120" s="77" t="s">
        <v>105</v>
      </c>
      <c r="P120" s="76" t="s">
        <v>110</v>
      </c>
      <c r="Q120" s="81"/>
    </row>
    <row r="121">
      <c r="A121" s="69" t="s">
        <v>24</v>
      </c>
      <c r="B121" s="76">
        <v>2.0</v>
      </c>
      <c r="C121" s="77">
        <v>2015.0</v>
      </c>
      <c r="D121" s="76" t="s">
        <v>205</v>
      </c>
      <c r="E121" s="78" t="s">
        <v>280</v>
      </c>
      <c r="F121" s="69" t="s">
        <v>156</v>
      </c>
      <c r="G121" s="69" t="s">
        <v>28</v>
      </c>
      <c r="H121" s="69" t="s">
        <v>29</v>
      </c>
      <c r="I121" s="69" t="s">
        <v>30</v>
      </c>
      <c r="J121" s="76" t="s">
        <v>31</v>
      </c>
      <c r="K121" s="69" t="s">
        <v>281</v>
      </c>
      <c r="M121" s="76">
        <v>50.0</v>
      </c>
      <c r="N121" s="76">
        <v>750.0</v>
      </c>
      <c r="O121" s="77" t="s">
        <v>105</v>
      </c>
      <c r="P121" s="76">
        <v>2.0</v>
      </c>
      <c r="Q121" s="81"/>
    </row>
    <row r="122">
      <c r="A122" s="69" t="s">
        <v>24</v>
      </c>
      <c r="B122" s="76">
        <v>2.0</v>
      </c>
      <c r="C122" s="77">
        <v>2015.0</v>
      </c>
      <c r="D122" s="76" t="s">
        <v>205</v>
      </c>
      <c r="E122" s="78" t="s">
        <v>598</v>
      </c>
      <c r="F122" s="69" t="s">
        <v>27</v>
      </c>
      <c r="G122" s="69" t="s">
        <v>28</v>
      </c>
      <c r="H122" s="69" t="s">
        <v>29</v>
      </c>
      <c r="I122" s="69" t="s">
        <v>30</v>
      </c>
      <c r="J122" s="76" t="s">
        <v>31</v>
      </c>
      <c r="K122" s="69" t="s">
        <v>281</v>
      </c>
      <c r="M122" s="76">
        <v>45.0</v>
      </c>
      <c r="N122" s="76">
        <v>750.0</v>
      </c>
      <c r="O122" s="77" t="s">
        <v>105</v>
      </c>
      <c r="P122" s="76">
        <v>2.0</v>
      </c>
      <c r="Q122" s="81"/>
    </row>
    <row r="123">
      <c r="A123" s="69" t="s">
        <v>24</v>
      </c>
      <c r="B123" s="76">
        <v>1.0</v>
      </c>
      <c r="C123" s="77">
        <v>2015.0</v>
      </c>
      <c r="D123" s="76" t="s">
        <v>170</v>
      </c>
      <c r="E123" s="78" t="s">
        <v>126</v>
      </c>
      <c r="F123" s="69" t="s">
        <v>27</v>
      </c>
      <c r="G123" s="69" t="s">
        <v>28</v>
      </c>
      <c r="H123" s="69" t="s">
        <v>29</v>
      </c>
      <c r="I123" s="69" t="s">
        <v>30</v>
      </c>
      <c r="J123" s="76" t="s">
        <v>31</v>
      </c>
      <c r="K123" s="69" t="s">
        <v>126</v>
      </c>
      <c r="M123" s="76">
        <v>72.0</v>
      </c>
      <c r="N123" s="76">
        <v>750.0</v>
      </c>
      <c r="O123" s="77" t="s">
        <v>105</v>
      </c>
      <c r="P123" s="76">
        <v>3.0</v>
      </c>
      <c r="Q123" s="81"/>
    </row>
    <row r="124">
      <c r="A124" s="69" t="s">
        <v>24</v>
      </c>
      <c r="B124" s="76">
        <v>1.0</v>
      </c>
      <c r="C124" s="77">
        <v>2015.0</v>
      </c>
      <c r="D124" s="76" t="s">
        <v>197</v>
      </c>
      <c r="E124" s="78" t="s">
        <v>599</v>
      </c>
      <c r="F124" s="69" t="s">
        <v>27</v>
      </c>
      <c r="G124" s="69" t="s">
        <v>28</v>
      </c>
      <c r="H124" s="69" t="s">
        <v>29</v>
      </c>
      <c r="I124" s="69" t="s">
        <v>30</v>
      </c>
      <c r="J124" s="76" t="s">
        <v>31</v>
      </c>
      <c r="K124" s="69" t="s">
        <v>126</v>
      </c>
      <c r="M124" s="76">
        <v>75.0</v>
      </c>
      <c r="N124" s="76">
        <v>750.0</v>
      </c>
      <c r="O124" s="77" t="s">
        <v>105</v>
      </c>
      <c r="P124" s="76">
        <v>3.0</v>
      </c>
      <c r="Q124" s="81"/>
    </row>
    <row r="125">
      <c r="A125" s="69" t="s">
        <v>24</v>
      </c>
      <c r="B125" s="76">
        <v>1.0</v>
      </c>
      <c r="C125" s="77">
        <v>2015.0</v>
      </c>
      <c r="D125" s="76" t="s">
        <v>197</v>
      </c>
      <c r="E125" s="78" t="s">
        <v>583</v>
      </c>
      <c r="F125" s="69" t="s">
        <v>129</v>
      </c>
      <c r="G125" s="69" t="s">
        <v>28</v>
      </c>
      <c r="H125" s="69" t="s">
        <v>29</v>
      </c>
      <c r="I125" s="69" t="s">
        <v>30</v>
      </c>
      <c r="J125" s="76" t="s">
        <v>31</v>
      </c>
      <c r="K125" s="69" t="s">
        <v>75</v>
      </c>
      <c r="M125" s="76">
        <v>45.0</v>
      </c>
      <c r="N125" s="76">
        <v>750.0</v>
      </c>
      <c r="O125" s="77" t="s">
        <v>105</v>
      </c>
      <c r="P125" s="76">
        <v>3.0</v>
      </c>
      <c r="Q125" s="81"/>
    </row>
    <row r="126">
      <c r="A126" s="69" t="s">
        <v>24</v>
      </c>
      <c r="B126" s="76">
        <v>1.0</v>
      </c>
      <c r="C126" s="77">
        <v>2015.0</v>
      </c>
      <c r="D126" s="76" t="s">
        <v>205</v>
      </c>
      <c r="E126" s="78" t="s">
        <v>598</v>
      </c>
      <c r="F126" s="69" t="s">
        <v>40</v>
      </c>
      <c r="G126" s="69" t="s">
        <v>28</v>
      </c>
      <c r="H126" s="69" t="s">
        <v>29</v>
      </c>
      <c r="I126" s="69" t="s">
        <v>30</v>
      </c>
      <c r="J126" s="76" t="s">
        <v>31</v>
      </c>
      <c r="K126" s="69" t="s">
        <v>281</v>
      </c>
      <c r="M126" s="76">
        <v>45.0</v>
      </c>
      <c r="N126" s="76">
        <v>750.0</v>
      </c>
      <c r="O126" s="77" t="s">
        <v>105</v>
      </c>
      <c r="P126" s="76">
        <v>3.0</v>
      </c>
      <c r="Q126" s="81"/>
    </row>
    <row r="127">
      <c r="A127" s="69" t="s">
        <v>44</v>
      </c>
      <c r="B127" s="76">
        <v>1.0</v>
      </c>
      <c r="C127" s="77">
        <v>2015.0</v>
      </c>
      <c r="D127" s="76" t="s">
        <v>103</v>
      </c>
      <c r="E127" s="78" t="s">
        <v>578</v>
      </c>
      <c r="F127" s="69" t="s">
        <v>40</v>
      </c>
      <c r="G127" s="69" t="s">
        <v>28</v>
      </c>
      <c r="H127" s="69" t="s">
        <v>29</v>
      </c>
      <c r="I127" s="69" t="s">
        <v>30</v>
      </c>
      <c r="J127" s="76" t="s">
        <v>31</v>
      </c>
      <c r="K127" s="69" t="s">
        <v>75</v>
      </c>
      <c r="M127" s="76">
        <v>42.0</v>
      </c>
      <c r="N127" s="76">
        <v>750.0</v>
      </c>
      <c r="O127" s="77" t="s">
        <v>105</v>
      </c>
      <c r="P127" s="76">
        <v>4.0</v>
      </c>
      <c r="Q127" s="81"/>
    </row>
    <row r="128">
      <c r="A128" s="69" t="s">
        <v>24</v>
      </c>
      <c r="B128" s="76">
        <v>1.0</v>
      </c>
      <c r="C128" s="77">
        <v>2015.0</v>
      </c>
      <c r="D128" s="76" t="s">
        <v>84</v>
      </c>
      <c r="E128" s="78">
        <v>1873.0</v>
      </c>
      <c r="F128" s="69" t="s">
        <v>27</v>
      </c>
      <c r="G128" s="69" t="s">
        <v>28</v>
      </c>
      <c r="H128" s="69" t="s">
        <v>29</v>
      </c>
      <c r="I128" s="69" t="s">
        <v>30</v>
      </c>
      <c r="J128" s="76" t="s">
        <v>31</v>
      </c>
      <c r="M128" s="76">
        <v>85.0</v>
      </c>
      <c r="N128" s="76">
        <v>750.0</v>
      </c>
      <c r="O128" s="77" t="s">
        <v>105</v>
      </c>
      <c r="P128" s="76">
        <v>8.0</v>
      </c>
      <c r="Q128" s="81"/>
    </row>
    <row r="129">
      <c r="A129" s="69" t="s">
        <v>24</v>
      </c>
      <c r="B129" s="76">
        <v>1.0</v>
      </c>
      <c r="C129" s="77">
        <v>2015.0</v>
      </c>
      <c r="D129" s="76" t="s">
        <v>205</v>
      </c>
      <c r="E129" s="78" t="s">
        <v>600</v>
      </c>
      <c r="F129" s="69" t="s">
        <v>40</v>
      </c>
      <c r="G129" s="69" t="s">
        <v>28</v>
      </c>
      <c r="H129" s="69" t="s">
        <v>29</v>
      </c>
      <c r="I129" s="69" t="s">
        <v>30</v>
      </c>
      <c r="J129" s="76" t="s">
        <v>31</v>
      </c>
      <c r="M129" s="76">
        <v>34.0</v>
      </c>
      <c r="N129" s="76">
        <v>750.0</v>
      </c>
      <c r="O129" s="77" t="s">
        <v>105</v>
      </c>
      <c r="P129" s="76">
        <v>8.0</v>
      </c>
      <c r="Q129" s="81"/>
    </row>
    <row r="130">
      <c r="A130" s="69" t="s">
        <v>24</v>
      </c>
      <c r="B130" s="76">
        <v>1.0</v>
      </c>
      <c r="C130" s="77">
        <v>2015.0</v>
      </c>
      <c r="D130" s="76" t="s">
        <v>601</v>
      </c>
      <c r="E130" s="78" t="s">
        <v>602</v>
      </c>
      <c r="F130" s="69" t="s">
        <v>350</v>
      </c>
      <c r="G130" s="69" t="s">
        <v>28</v>
      </c>
      <c r="H130" s="69" t="s">
        <v>29</v>
      </c>
      <c r="I130" s="69" t="s">
        <v>30</v>
      </c>
      <c r="J130" s="69" t="s">
        <v>31</v>
      </c>
      <c r="M130" s="76">
        <v>60.0</v>
      </c>
      <c r="N130" s="76">
        <v>750.0</v>
      </c>
      <c r="O130" s="77" t="s">
        <v>105</v>
      </c>
      <c r="P130" s="76">
        <v>26.0</v>
      </c>
      <c r="Q130" s="81"/>
    </row>
    <row r="131">
      <c r="A131" s="69" t="s">
        <v>24</v>
      </c>
      <c r="B131" s="76">
        <v>1.0</v>
      </c>
      <c r="C131" s="77">
        <v>2016.0</v>
      </c>
      <c r="D131" s="76" t="s">
        <v>205</v>
      </c>
      <c r="E131" s="78" t="s">
        <v>603</v>
      </c>
      <c r="F131" s="69" t="s">
        <v>235</v>
      </c>
      <c r="G131" s="69" t="s">
        <v>28</v>
      </c>
      <c r="H131" s="69" t="s">
        <v>29</v>
      </c>
      <c r="I131" s="69" t="s">
        <v>30</v>
      </c>
      <c r="J131" s="76" t="s">
        <v>31</v>
      </c>
      <c r="K131" s="69" t="s">
        <v>550</v>
      </c>
      <c r="M131" s="76">
        <v>60.0</v>
      </c>
      <c r="N131" s="76">
        <v>750.0</v>
      </c>
      <c r="O131" s="77" t="s">
        <v>105</v>
      </c>
      <c r="P131" s="76">
        <v>2.0</v>
      </c>
      <c r="Q131" s="81"/>
    </row>
    <row r="132">
      <c r="A132" s="69" t="s">
        <v>24</v>
      </c>
      <c r="B132" s="76">
        <v>2.0</v>
      </c>
      <c r="C132" s="77">
        <v>2016.0</v>
      </c>
      <c r="D132" s="76" t="s">
        <v>205</v>
      </c>
      <c r="E132" s="78" t="s">
        <v>604</v>
      </c>
      <c r="F132" s="69" t="s">
        <v>390</v>
      </c>
      <c r="G132" s="69" t="s">
        <v>28</v>
      </c>
      <c r="H132" s="69" t="s">
        <v>29</v>
      </c>
      <c r="I132" s="69" t="s">
        <v>30</v>
      </c>
      <c r="J132" s="76" t="s">
        <v>31</v>
      </c>
      <c r="K132" s="69" t="s">
        <v>605</v>
      </c>
      <c r="M132" s="76">
        <v>45.0</v>
      </c>
      <c r="N132" s="76">
        <v>750.0</v>
      </c>
      <c r="O132" s="77" t="s">
        <v>105</v>
      </c>
      <c r="P132" s="76">
        <v>3.0</v>
      </c>
      <c r="Q132" s="81"/>
    </row>
    <row r="133">
      <c r="A133" s="69" t="s">
        <v>24</v>
      </c>
      <c r="B133" s="76">
        <v>1.0</v>
      </c>
      <c r="C133" s="77">
        <v>2016.0</v>
      </c>
      <c r="D133" s="76" t="s">
        <v>229</v>
      </c>
      <c r="E133" s="78" t="s">
        <v>606</v>
      </c>
      <c r="F133" s="69" t="s">
        <v>350</v>
      </c>
      <c r="G133" s="69" t="s">
        <v>28</v>
      </c>
      <c r="H133" s="69" t="s">
        <v>29</v>
      </c>
      <c r="I133" s="69" t="s">
        <v>30</v>
      </c>
      <c r="J133" s="76" t="s">
        <v>31</v>
      </c>
      <c r="M133" s="76">
        <v>60.0</v>
      </c>
      <c r="N133" s="76">
        <v>750.0</v>
      </c>
      <c r="O133" s="77" t="s">
        <v>105</v>
      </c>
      <c r="P133" s="76">
        <v>8.0</v>
      </c>
      <c r="Q133" s="81"/>
    </row>
    <row r="134">
      <c r="A134" s="69" t="s">
        <v>24</v>
      </c>
      <c r="B134" s="76">
        <v>1.0</v>
      </c>
      <c r="C134" s="77">
        <v>2016.0</v>
      </c>
      <c r="D134" s="76" t="s">
        <v>84</v>
      </c>
      <c r="E134" s="78" t="s">
        <v>270</v>
      </c>
      <c r="F134" s="69" t="s">
        <v>27</v>
      </c>
      <c r="G134" s="69" t="s">
        <v>28</v>
      </c>
      <c r="H134" s="69" t="s">
        <v>29</v>
      </c>
      <c r="I134" s="69" t="s">
        <v>30</v>
      </c>
      <c r="J134" s="76" t="s">
        <v>31</v>
      </c>
      <c r="M134" s="76">
        <v>70.0</v>
      </c>
      <c r="N134" s="76">
        <v>750.0</v>
      </c>
      <c r="O134" s="77" t="s">
        <v>105</v>
      </c>
      <c r="P134" s="76">
        <v>8.0</v>
      </c>
      <c r="Q134" s="81"/>
    </row>
    <row r="135">
      <c r="A135" s="69" t="s">
        <v>24</v>
      </c>
      <c r="B135" s="76">
        <v>1.0</v>
      </c>
      <c r="C135" s="77">
        <v>2016.0</v>
      </c>
      <c r="D135" s="76" t="s">
        <v>84</v>
      </c>
      <c r="E135" s="76" t="s">
        <v>551</v>
      </c>
      <c r="F135" s="69" t="s">
        <v>27</v>
      </c>
      <c r="G135" s="69" t="s">
        <v>28</v>
      </c>
      <c r="H135" s="69" t="s">
        <v>29</v>
      </c>
      <c r="I135" s="69" t="s">
        <v>30</v>
      </c>
      <c r="J135" s="69" t="s">
        <v>31</v>
      </c>
      <c r="K135" s="69" t="s">
        <v>186</v>
      </c>
      <c r="M135" s="76">
        <v>85.0</v>
      </c>
      <c r="N135" s="76">
        <v>750.0</v>
      </c>
      <c r="O135" s="77" t="s">
        <v>105</v>
      </c>
      <c r="Q135" s="81"/>
    </row>
    <row r="136">
      <c r="A136" s="69" t="s">
        <v>24</v>
      </c>
      <c r="B136" s="76">
        <v>1.0</v>
      </c>
      <c r="C136" s="77">
        <v>2016.0</v>
      </c>
      <c r="D136" s="76" t="s">
        <v>170</v>
      </c>
      <c r="E136" s="78" t="s">
        <v>607</v>
      </c>
      <c r="F136" s="69" t="s">
        <v>350</v>
      </c>
      <c r="G136" s="69" t="s">
        <v>28</v>
      </c>
      <c r="H136" s="69" t="s">
        <v>29</v>
      </c>
      <c r="I136" s="69" t="s">
        <v>30</v>
      </c>
      <c r="J136" s="69" t="s">
        <v>31</v>
      </c>
      <c r="M136" s="76">
        <v>97.0</v>
      </c>
      <c r="N136" s="76">
        <v>750.0</v>
      </c>
      <c r="O136" s="77" t="s">
        <v>105</v>
      </c>
      <c r="P136" s="76">
        <v>26.0</v>
      </c>
      <c r="Q136" s="81"/>
    </row>
    <row r="137">
      <c r="A137" s="69" t="s">
        <v>24</v>
      </c>
      <c r="B137" s="76">
        <v>1.0</v>
      </c>
      <c r="C137" s="77">
        <v>2016.0</v>
      </c>
      <c r="D137" s="76" t="s">
        <v>205</v>
      </c>
      <c r="E137" s="78" t="s">
        <v>598</v>
      </c>
      <c r="F137" s="69" t="s">
        <v>40</v>
      </c>
      <c r="G137" s="69" t="s">
        <v>28</v>
      </c>
      <c r="H137" s="69" t="s">
        <v>29</v>
      </c>
      <c r="I137" s="69" t="s">
        <v>30</v>
      </c>
      <c r="J137" s="76" t="s">
        <v>31</v>
      </c>
      <c r="K137" s="76" t="s">
        <v>207</v>
      </c>
      <c r="L137" s="82" t="s">
        <v>251</v>
      </c>
      <c r="M137" s="76">
        <v>50.0</v>
      </c>
      <c r="N137" s="76">
        <v>750.0</v>
      </c>
      <c r="O137" s="77" t="s">
        <v>105</v>
      </c>
      <c r="P137" s="76" t="s">
        <v>608</v>
      </c>
      <c r="Q137" s="80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</row>
    <row r="138">
      <c r="A138" s="69" t="s">
        <v>24</v>
      </c>
      <c r="B138" s="76">
        <v>1.0</v>
      </c>
      <c r="C138" s="77">
        <v>2016.0</v>
      </c>
      <c r="D138" s="76" t="s">
        <v>154</v>
      </c>
      <c r="E138" s="78" t="s">
        <v>232</v>
      </c>
      <c r="F138" s="69" t="s">
        <v>27</v>
      </c>
      <c r="G138" s="69" t="s">
        <v>28</v>
      </c>
      <c r="H138" s="69" t="s">
        <v>29</v>
      </c>
      <c r="I138" s="69" t="s">
        <v>30</v>
      </c>
      <c r="J138" s="69" t="s">
        <v>31</v>
      </c>
      <c r="M138" s="76">
        <v>450.0</v>
      </c>
      <c r="N138" s="76">
        <v>750.0</v>
      </c>
      <c r="O138" s="77" t="s">
        <v>105</v>
      </c>
      <c r="P138" s="76" t="s">
        <v>441</v>
      </c>
      <c r="Q138" s="81"/>
    </row>
    <row r="139">
      <c r="A139" s="69" t="s">
        <v>24</v>
      </c>
      <c r="B139" s="76">
        <v>1.0</v>
      </c>
      <c r="C139" s="77">
        <v>2016.0</v>
      </c>
      <c r="D139" s="76" t="s">
        <v>189</v>
      </c>
      <c r="E139" s="78" t="s">
        <v>190</v>
      </c>
      <c r="F139" s="69" t="s">
        <v>191</v>
      </c>
      <c r="G139" s="69" t="s">
        <v>28</v>
      </c>
      <c r="H139" s="69" t="s">
        <v>29</v>
      </c>
      <c r="I139" s="69" t="s">
        <v>30</v>
      </c>
      <c r="J139" s="69" t="s">
        <v>130</v>
      </c>
      <c r="L139" s="69" t="s">
        <v>192</v>
      </c>
      <c r="M139" s="76">
        <v>86.0</v>
      </c>
      <c r="N139" s="76">
        <v>750.0</v>
      </c>
      <c r="O139" s="77" t="s">
        <v>105</v>
      </c>
      <c r="P139" s="76">
        <v>6.0</v>
      </c>
      <c r="Q139" s="81"/>
    </row>
    <row r="140">
      <c r="A140" s="69" t="s">
        <v>37</v>
      </c>
      <c r="B140" s="76">
        <v>1.0</v>
      </c>
      <c r="C140" s="77">
        <v>2016.0</v>
      </c>
      <c r="D140" s="76" t="s">
        <v>301</v>
      </c>
      <c r="E140" s="78" t="s">
        <v>609</v>
      </c>
      <c r="F140" s="69" t="s">
        <v>350</v>
      </c>
      <c r="G140" s="69" t="s">
        <v>28</v>
      </c>
      <c r="H140" s="69" t="s">
        <v>29</v>
      </c>
      <c r="I140" s="69" t="s">
        <v>30</v>
      </c>
      <c r="J140" s="69" t="s">
        <v>130</v>
      </c>
      <c r="M140" s="76">
        <v>55.0</v>
      </c>
      <c r="N140" s="76">
        <v>750.0</v>
      </c>
      <c r="O140" s="77" t="s">
        <v>105</v>
      </c>
      <c r="P140" s="76">
        <v>6.0</v>
      </c>
      <c r="Q140" s="81"/>
    </row>
    <row r="141">
      <c r="A141" s="69" t="s">
        <v>24</v>
      </c>
      <c r="B141" s="76">
        <v>2.0</v>
      </c>
      <c r="C141" s="77">
        <v>2016.0</v>
      </c>
      <c r="D141" s="76" t="s">
        <v>301</v>
      </c>
      <c r="E141" s="78" t="s">
        <v>610</v>
      </c>
      <c r="F141" s="69" t="s">
        <v>191</v>
      </c>
      <c r="G141" s="69" t="s">
        <v>28</v>
      </c>
      <c r="H141" s="69" t="s">
        <v>29</v>
      </c>
      <c r="I141" s="69" t="s">
        <v>30</v>
      </c>
      <c r="J141" s="69" t="s">
        <v>130</v>
      </c>
      <c r="M141" s="76">
        <v>45.0</v>
      </c>
      <c r="N141" s="76">
        <v>750.0</v>
      </c>
      <c r="O141" s="77" t="s">
        <v>105</v>
      </c>
      <c r="P141" s="76">
        <v>6.0</v>
      </c>
      <c r="Q141" s="81"/>
    </row>
    <row r="142">
      <c r="A142" s="69" t="s">
        <v>24</v>
      </c>
      <c r="B142" s="76">
        <v>1.0</v>
      </c>
      <c r="C142" s="77">
        <v>2016.0</v>
      </c>
      <c r="D142" s="76" t="s">
        <v>103</v>
      </c>
      <c r="E142" s="76" t="s">
        <v>296</v>
      </c>
      <c r="F142" s="69" t="s">
        <v>191</v>
      </c>
      <c r="G142" s="69" t="s">
        <v>28</v>
      </c>
      <c r="H142" s="69" t="s">
        <v>29</v>
      </c>
      <c r="I142" s="69" t="s">
        <v>30</v>
      </c>
      <c r="M142" s="76">
        <v>59.0</v>
      </c>
      <c r="N142" s="76">
        <v>750.0</v>
      </c>
      <c r="O142" s="77" t="s">
        <v>105</v>
      </c>
      <c r="P142" s="76">
        <v>9.0</v>
      </c>
      <c r="Q142" s="81"/>
    </row>
    <row r="143">
      <c r="A143" s="69" t="s">
        <v>24</v>
      </c>
      <c r="B143" s="76">
        <v>1.0</v>
      </c>
      <c r="C143" s="77">
        <v>2016.0</v>
      </c>
      <c r="D143" s="78" t="s">
        <v>611</v>
      </c>
      <c r="E143" s="76" t="s">
        <v>612</v>
      </c>
      <c r="F143" s="69" t="s">
        <v>74</v>
      </c>
      <c r="G143" s="69" t="s">
        <v>108</v>
      </c>
      <c r="H143" s="69" t="s">
        <v>75</v>
      </c>
      <c r="I143" s="69" t="s">
        <v>613</v>
      </c>
      <c r="J143" s="79"/>
      <c r="M143" s="76">
        <v>50.0</v>
      </c>
      <c r="N143" s="76">
        <v>750.0</v>
      </c>
      <c r="O143" s="77" t="s">
        <v>105</v>
      </c>
      <c r="Q143" s="81"/>
    </row>
    <row r="144">
      <c r="A144" s="69" t="s">
        <v>24</v>
      </c>
      <c r="B144" s="76">
        <v>1.0</v>
      </c>
      <c r="C144" s="77">
        <v>2017.0</v>
      </c>
      <c r="D144" s="76" t="s">
        <v>243</v>
      </c>
      <c r="E144" s="78" t="s">
        <v>26</v>
      </c>
      <c r="F144" s="69" t="s">
        <v>27</v>
      </c>
      <c r="G144" s="69" t="s">
        <v>28</v>
      </c>
      <c r="H144" s="69" t="s">
        <v>29</v>
      </c>
      <c r="I144" s="69" t="s">
        <v>30</v>
      </c>
      <c r="J144" s="69" t="s">
        <v>31</v>
      </c>
      <c r="M144" s="76">
        <v>155.0</v>
      </c>
      <c r="N144" s="76">
        <v>750.0</v>
      </c>
      <c r="O144" s="77" t="s">
        <v>105</v>
      </c>
      <c r="P144" s="76" t="s">
        <v>560</v>
      </c>
      <c r="Q144" s="81"/>
    </row>
    <row r="145">
      <c r="A145" s="69" t="s">
        <v>24</v>
      </c>
      <c r="B145" s="76">
        <v>1.0</v>
      </c>
      <c r="C145" s="77">
        <v>2017.0</v>
      </c>
      <c r="D145" s="76" t="s">
        <v>243</v>
      </c>
      <c r="E145" s="78" t="s">
        <v>244</v>
      </c>
      <c r="F145" s="69" t="s">
        <v>74</v>
      </c>
      <c r="G145" s="69" t="s">
        <v>28</v>
      </c>
      <c r="H145" s="69" t="s">
        <v>29</v>
      </c>
      <c r="I145" s="69" t="s">
        <v>30</v>
      </c>
      <c r="J145" s="69" t="s">
        <v>31</v>
      </c>
      <c r="M145" s="76">
        <v>170.0</v>
      </c>
      <c r="N145" s="76">
        <v>750.0</v>
      </c>
      <c r="O145" s="77" t="s">
        <v>105</v>
      </c>
      <c r="P145" s="76" t="s">
        <v>560</v>
      </c>
      <c r="Q145" s="81"/>
    </row>
    <row r="146">
      <c r="A146" s="69" t="s">
        <v>24</v>
      </c>
      <c r="B146" s="76">
        <v>1.0</v>
      </c>
      <c r="C146" s="77">
        <v>2017.0</v>
      </c>
      <c r="D146" s="76" t="s">
        <v>240</v>
      </c>
      <c r="E146" s="78" t="s">
        <v>614</v>
      </c>
      <c r="F146" s="69" t="s">
        <v>235</v>
      </c>
      <c r="G146" s="69" t="s">
        <v>28</v>
      </c>
      <c r="H146" s="69" t="s">
        <v>29</v>
      </c>
      <c r="I146" s="69" t="s">
        <v>30</v>
      </c>
      <c r="J146" s="69" t="s">
        <v>31</v>
      </c>
      <c r="M146" s="76">
        <v>46.0</v>
      </c>
      <c r="N146" s="76">
        <v>750.0</v>
      </c>
      <c r="O146" s="77" t="s">
        <v>105</v>
      </c>
      <c r="P146" s="76" t="s">
        <v>560</v>
      </c>
      <c r="Q146" s="81"/>
    </row>
    <row r="147">
      <c r="A147" s="69" t="s">
        <v>24</v>
      </c>
      <c r="B147" s="76">
        <v>1.0</v>
      </c>
      <c r="C147" s="77">
        <v>2017.0</v>
      </c>
      <c r="D147" s="76" t="s">
        <v>240</v>
      </c>
      <c r="E147" s="78" t="s">
        <v>615</v>
      </c>
      <c r="F147" s="69" t="s">
        <v>390</v>
      </c>
      <c r="G147" s="69" t="s">
        <v>28</v>
      </c>
      <c r="H147" s="69" t="s">
        <v>29</v>
      </c>
      <c r="I147" s="69" t="s">
        <v>30</v>
      </c>
      <c r="J147" s="69" t="s">
        <v>31</v>
      </c>
      <c r="M147" s="76">
        <v>40.0</v>
      </c>
      <c r="N147" s="76">
        <v>750.0</v>
      </c>
      <c r="O147" s="77" t="s">
        <v>105</v>
      </c>
      <c r="P147" s="76" t="s">
        <v>560</v>
      </c>
      <c r="Q147" s="81"/>
    </row>
    <row r="148">
      <c r="A148" s="69" t="s">
        <v>24</v>
      </c>
      <c r="B148" s="76">
        <v>1.0</v>
      </c>
      <c r="C148" s="77">
        <v>2017.0</v>
      </c>
      <c r="D148" s="76" t="s">
        <v>202</v>
      </c>
      <c r="E148" s="78" t="s">
        <v>203</v>
      </c>
      <c r="F148" s="69" t="s">
        <v>27</v>
      </c>
      <c r="G148" s="69" t="s">
        <v>28</v>
      </c>
      <c r="H148" s="69" t="s">
        <v>29</v>
      </c>
      <c r="I148" s="69" t="s">
        <v>30</v>
      </c>
      <c r="J148" s="69" t="s">
        <v>31</v>
      </c>
      <c r="M148" s="76">
        <v>110.0</v>
      </c>
      <c r="N148" s="76">
        <v>750.0</v>
      </c>
      <c r="O148" s="77" t="s">
        <v>105</v>
      </c>
      <c r="P148" s="76" t="s">
        <v>560</v>
      </c>
      <c r="Q148" s="81"/>
    </row>
    <row r="149">
      <c r="A149" s="69" t="s">
        <v>24</v>
      </c>
      <c r="B149" s="76">
        <v>1.0</v>
      </c>
      <c r="C149" s="77">
        <v>2017.0</v>
      </c>
      <c r="D149" s="76" t="s">
        <v>154</v>
      </c>
      <c r="E149" s="78" t="s">
        <v>295</v>
      </c>
      <c r="F149" s="69" t="s">
        <v>27</v>
      </c>
      <c r="G149" s="69" t="s">
        <v>28</v>
      </c>
      <c r="H149" s="69" t="s">
        <v>29</v>
      </c>
      <c r="I149" s="69" t="s">
        <v>30</v>
      </c>
      <c r="J149" s="69" t="s">
        <v>31</v>
      </c>
      <c r="L149" s="69" t="s">
        <v>294</v>
      </c>
      <c r="M149" s="76">
        <v>450.0</v>
      </c>
      <c r="N149" s="76">
        <v>750.0</v>
      </c>
      <c r="O149" s="77" t="s">
        <v>105</v>
      </c>
      <c r="P149" s="76" t="s">
        <v>537</v>
      </c>
      <c r="Q149" s="81"/>
    </row>
    <row r="150">
      <c r="A150" s="69" t="s">
        <v>24</v>
      </c>
      <c r="B150" s="76">
        <v>1.0</v>
      </c>
      <c r="C150" s="77">
        <v>2018.0</v>
      </c>
      <c r="D150" s="76" t="s">
        <v>517</v>
      </c>
      <c r="E150" s="78" t="s">
        <v>518</v>
      </c>
      <c r="F150" s="69" t="s">
        <v>40</v>
      </c>
      <c r="G150" s="69" t="s">
        <v>41</v>
      </c>
      <c r="H150" s="69"/>
      <c r="J150" s="69" t="s">
        <v>616</v>
      </c>
      <c r="K150" s="69" t="s">
        <v>617</v>
      </c>
      <c r="L150" s="69"/>
      <c r="M150" s="76"/>
      <c r="N150" s="76">
        <v>1500.0</v>
      </c>
      <c r="O150" s="77" t="s">
        <v>105</v>
      </c>
      <c r="P150" s="76" t="s">
        <v>529</v>
      </c>
      <c r="Q150" s="81"/>
    </row>
    <row r="151">
      <c r="A151" s="69" t="s">
        <v>24</v>
      </c>
      <c r="B151" s="76">
        <v>4.0</v>
      </c>
      <c r="C151" s="77">
        <v>2019.0</v>
      </c>
      <c r="D151" s="76" t="s">
        <v>329</v>
      </c>
      <c r="E151" s="78" t="s">
        <v>367</v>
      </c>
      <c r="F151" s="69" t="s">
        <v>27</v>
      </c>
      <c r="G151" s="69" t="s">
        <v>28</v>
      </c>
      <c r="H151" s="69" t="s">
        <v>29</v>
      </c>
      <c r="I151" s="69" t="s">
        <v>30</v>
      </c>
      <c r="J151" s="69" t="s">
        <v>31</v>
      </c>
      <c r="M151" s="76">
        <v>100.0</v>
      </c>
      <c r="N151" s="76">
        <v>750.0</v>
      </c>
      <c r="O151" s="77" t="s">
        <v>105</v>
      </c>
      <c r="P151" s="76" t="s">
        <v>441</v>
      </c>
      <c r="Q151" s="81"/>
    </row>
    <row r="152">
      <c r="A152" s="69" t="s">
        <v>44</v>
      </c>
      <c r="B152" s="76">
        <v>2.0</v>
      </c>
      <c r="C152" s="77" t="s">
        <v>75</v>
      </c>
      <c r="D152" s="76" t="s">
        <v>103</v>
      </c>
      <c r="E152" s="78" t="s">
        <v>391</v>
      </c>
      <c r="F152" s="69" t="s">
        <v>40</v>
      </c>
      <c r="G152" s="69" t="s">
        <v>28</v>
      </c>
      <c r="H152" s="69" t="s">
        <v>29</v>
      </c>
      <c r="I152" s="69" t="s">
        <v>30</v>
      </c>
      <c r="M152" s="76">
        <v>40.0</v>
      </c>
      <c r="N152" s="76">
        <v>750.0</v>
      </c>
      <c r="O152" s="77" t="s">
        <v>105</v>
      </c>
      <c r="P152" s="76">
        <v>11.0</v>
      </c>
      <c r="Q152" s="81"/>
    </row>
    <row r="153">
      <c r="A153" s="69" t="s">
        <v>24</v>
      </c>
      <c r="B153" s="76">
        <v>1.0</v>
      </c>
      <c r="C153" s="77" t="s">
        <v>566</v>
      </c>
      <c r="D153" s="76" t="s">
        <v>335</v>
      </c>
      <c r="E153" s="78" t="s">
        <v>336</v>
      </c>
      <c r="F153" s="69" t="s">
        <v>191</v>
      </c>
      <c r="G153" s="69" t="s">
        <v>28</v>
      </c>
      <c r="H153" s="69" t="s">
        <v>29</v>
      </c>
      <c r="I153" s="69" t="s">
        <v>30</v>
      </c>
      <c r="J153" s="69" t="s">
        <v>338</v>
      </c>
      <c r="L153" s="69" t="s">
        <v>339</v>
      </c>
      <c r="M153" s="76">
        <v>40.0</v>
      </c>
      <c r="N153" s="76">
        <v>750.0</v>
      </c>
      <c r="O153" s="77" t="s">
        <v>105</v>
      </c>
      <c r="P153" s="76" t="s">
        <v>151</v>
      </c>
      <c r="Q153" s="81"/>
    </row>
    <row r="154">
      <c r="A154" s="69" t="s">
        <v>24</v>
      </c>
      <c r="B154" s="69">
        <v>1.0</v>
      </c>
      <c r="C154" s="69">
        <v>2018.0</v>
      </c>
      <c r="D154" s="69" t="s">
        <v>343</v>
      </c>
      <c r="E154" s="69" t="s">
        <v>344</v>
      </c>
      <c r="F154" s="69" t="s">
        <v>27</v>
      </c>
      <c r="G154" s="69" t="s">
        <v>28</v>
      </c>
      <c r="H154" s="69" t="s">
        <v>29</v>
      </c>
      <c r="I154" s="69" t="s">
        <v>30</v>
      </c>
      <c r="J154" s="69" t="s">
        <v>31</v>
      </c>
      <c r="K154" s="69" t="s">
        <v>32</v>
      </c>
      <c r="M154" s="69">
        <v>185.0</v>
      </c>
      <c r="N154" s="69">
        <v>750.0</v>
      </c>
      <c r="O154" s="77" t="s">
        <v>53</v>
      </c>
      <c r="Q154" s="81"/>
    </row>
    <row r="155">
      <c r="A155" s="69" t="s">
        <v>24</v>
      </c>
      <c r="B155" s="69">
        <v>1.0</v>
      </c>
      <c r="C155" s="69">
        <v>2018.0</v>
      </c>
      <c r="D155" s="69" t="s">
        <v>317</v>
      </c>
      <c r="E155" s="69" t="s">
        <v>318</v>
      </c>
      <c r="F155" s="69" t="s">
        <v>27</v>
      </c>
      <c r="G155" s="69" t="s">
        <v>28</v>
      </c>
      <c r="H155" s="69" t="s">
        <v>29</v>
      </c>
      <c r="I155" s="69" t="s">
        <v>30</v>
      </c>
      <c r="J155" s="69" t="s">
        <v>31</v>
      </c>
      <c r="M155" s="69">
        <v>255.0</v>
      </c>
      <c r="N155" s="69">
        <v>750.0</v>
      </c>
      <c r="O155" s="77" t="s">
        <v>53</v>
      </c>
      <c r="Q155" s="81"/>
    </row>
    <row r="156">
      <c r="A156" s="69" t="s">
        <v>24</v>
      </c>
      <c r="B156" s="69">
        <v>2.0</v>
      </c>
      <c r="C156" s="69">
        <v>2018.0</v>
      </c>
      <c r="D156" s="69" t="s">
        <v>317</v>
      </c>
      <c r="E156" s="69" t="s">
        <v>156</v>
      </c>
      <c r="F156" s="69" t="s">
        <v>156</v>
      </c>
      <c r="G156" s="69" t="s">
        <v>28</v>
      </c>
      <c r="H156" s="69" t="s">
        <v>29</v>
      </c>
      <c r="I156" s="69" t="s">
        <v>30</v>
      </c>
      <c r="J156" s="69" t="s">
        <v>31</v>
      </c>
      <c r="M156" s="69">
        <v>80.0</v>
      </c>
      <c r="N156" s="69">
        <v>750.0</v>
      </c>
      <c r="O156" s="77" t="s">
        <v>34</v>
      </c>
      <c r="Q156" s="81"/>
    </row>
    <row r="157">
      <c r="A157" s="69" t="s">
        <v>24</v>
      </c>
      <c r="B157" s="69">
        <v>1.0</v>
      </c>
      <c r="C157" s="69">
        <v>2016.0</v>
      </c>
      <c r="D157" s="69" t="s">
        <v>240</v>
      </c>
      <c r="E157" s="69" t="s">
        <v>156</v>
      </c>
      <c r="F157" s="69" t="s">
        <v>156</v>
      </c>
      <c r="G157" s="69" t="s">
        <v>28</v>
      </c>
      <c r="H157" s="69" t="s">
        <v>29</v>
      </c>
      <c r="I157" s="69" t="s">
        <v>30</v>
      </c>
      <c r="J157" s="69" t="s">
        <v>31</v>
      </c>
      <c r="K157" s="69" t="s">
        <v>241</v>
      </c>
      <c r="M157" s="69">
        <v>120.0</v>
      </c>
      <c r="N157" s="69">
        <v>1500.0</v>
      </c>
      <c r="O157" s="77" t="s">
        <v>53</v>
      </c>
      <c r="Q157" s="81"/>
    </row>
    <row r="158">
      <c r="A158" s="69" t="s">
        <v>24</v>
      </c>
      <c r="B158" s="76">
        <v>0.0</v>
      </c>
      <c r="C158" s="77">
        <v>2015.0</v>
      </c>
      <c r="D158" s="76" t="s">
        <v>618</v>
      </c>
      <c r="E158" s="78" t="s">
        <v>619</v>
      </c>
      <c r="F158" s="69" t="s">
        <v>235</v>
      </c>
      <c r="G158" s="69" t="s">
        <v>28</v>
      </c>
      <c r="H158" s="69" t="s">
        <v>29</v>
      </c>
      <c r="I158" s="69" t="s">
        <v>30</v>
      </c>
      <c r="J158" s="69" t="s">
        <v>31</v>
      </c>
      <c r="K158" s="79"/>
      <c r="L158" s="79"/>
      <c r="M158" s="76">
        <v>60.0</v>
      </c>
      <c r="N158" s="76">
        <v>750.0</v>
      </c>
      <c r="O158" s="77" t="s">
        <v>34</v>
      </c>
      <c r="P158" s="76">
        <v>19.0</v>
      </c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69" t="s">
        <v>24</v>
      </c>
      <c r="B159" s="76">
        <v>1.0</v>
      </c>
      <c r="C159" s="77">
        <v>2015.0</v>
      </c>
      <c r="D159" s="76" t="s">
        <v>99</v>
      </c>
      <c r="E159" s="78" t="s">
        <v>620</v>
      </c>
      <c r="F159" s="69" t="s">
        <v>156</v>
      </c>
      <c r="G159" s="69" t="s">
        <v>28</v>
      </c>
      <c r="H159" s="69" t="s">
        <v>29</v>
      </c>
      <c r="I159" s="69" t="s">
        <v>30</v>
      </c>
      <c r="J159" s="69" t="s">
        <v>31</v>
      </c>
      <c r="K159" s="76" t="s">
        <v>176</v>
      </c>
      <c r="L159" s="79"/>
      <c r="M159" s="76">
        <v>60.0</v>
      </c>
      <c r="N159" s="76">
        <v>750.0</v>
      </c>
      <c r="O159" s="77" t="s">
        <v>47</v>
      </c>
      <c r="P159" s="76">
        <v>19.0</v>
      </c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69" t="s">
        <v>24</v>
      </c>
      <c r="B160" s="76">
        <v>1.0</v>
      </c>
      <c r="C160" s="77">
        <v>2013.0</v>
      </c>
      <c r="D160" s="76" t="s">
        <v>99</v>
      </c>
      <c r="E160" s="78" t="s">
        <v>269</v>
      </c>
      <c r="F160" s="69" t="s">
        <v>27</v>
      </c>
      <c r="G160" s="69" t="s">
        <v>28</v>
      </c>
      <c r="H160" s="69" t="s">
        <v>29</v>
      </c>
      <c r="I160" s="69" t="s">
        <v>30</v>
      </c>
      <c r="J160" s="69" t="s">
        <v>31</v>
      </c>
      <c r="K160" s="79"/>
      <c r="L160" s="79"/>
      <c r="M160" s="76">
        <v>85.0</v>
      </c>
      <c r="N160" s="76">
        <v>750.0</v>
      </c>
      <c r="O160" s="77" t="s">
        <v>105</v>
      </c>
      <c r="P160" s="76">
        <v>19.0</v>
      </c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69" t="s">
        <v>24</v>
      </c>
      <c r="B161" s="76">
        <v>1.0</v>
      </c>
      <c r="C161" s="77">
        <v>2013.0</v>
      </c>
      <c r="D161" s="76" t="s">
        <v>99</v>
      </c>
      <c r="E161" s="78" t="s">
        <v>117</v>
      </c>
      <c r="F161" s="69" t="s">
        <v>27</v>
      </c>
      <c r="G161" s="69" t="s">
        <v>28</v>
      </c>
      <c r="H161" s="69" t="s">
        <v>29</v>
      </c>
      <c r="I161" s="69" t="s">
        <v>30</v>
      </c>
      <c r="J161" s="69" t="s">
        <v>31</v>
      </c>
      <c r="K161" s="79"/>
      <c r="L161" s="79"/>
      <c r="M161" s="76">
        <v>100.0</v>
      </c>
      <c r="N161" s="76">
        <v>750.0</v>
      </c>
      <c r="O161" s="77" t="s">
        <v>105</v>
      </c>
      <c r="P161" s="76">
        <v>19.0</v>
      </c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69" t="s">
        <v>24</v>
      </c>
      <c r="B162" s="76">
        <v>1.0</v>
      </c>
      <c r="C162" s="77">
        <v>2013.0</v>
      </c>
      <c r="D162" s="76" t="s">
        <v>99</v>
      </c>
      <c r="E162" s="78" t="s">
        <v>111</v>
      </c>
      <c r="F162" s="69" t="s">
        <v>27</v>
      </c>
      <c r="G162" s="69" t="s">
        <v>28</v>
      </c>
      <c r="H162" s="69" t="s">
        <v>29</v>
      </c>
      <c r="I162" s="69" t="s">
        <v>30</v>
      </c>
      <c r="J162" s="69" t="s">
        <v>31</v>
      </c>
      <c r="K162" s="76" t="s">
        <v>112</v>
      </c>
      <c r="L162" s="76" t="s">
        <v>113</v>
      </c>
      <c r="M162" s="76">
        <v>140.0</v>
      </c>
      <c r="N162" s="76">
        <v>750.0</v>
      </c>
      <c r="O162" s="77" t="s">
        <v>53</v>
      </c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69" t="s">
        <v>24</v>
      </c>
      <c r="B163" s="76">
        <v>1.0</v>
      </c>
      <c r="C163" s="77">
        <v>2013.0</v>
      </c>
      <c r="D163" s="76" t="s">
        <v>99</v>
      </c>
      <c r="E163" s="78" t="s">
        <v>100</v>
      </c>
      <c r="F163" s="69" t="s">
        <v>27</v>
      </c>
      <c r="G163" s="69" t="s">
        <v>28</v>
      </c>
      <c r="H163" s="69" t="s">
        <v>29</v>
      </c>
      <c r="I163" s="69" t="s">
        <v>30</v>
      </c>
      <c r="J163" s="69" t="s">
        <v>31</v>
      </c>
      <c r="K163" s="76" t="s">
        <v>101</v>
      </c>
      <c r="L163" s="76" t="s">
        <v>102</v>
      </c>
      <c r="M163" s="76">
        <v>140.0</v>
      </c>
      <c r="N163" s="76">
        <v>750.0</v>
      </c>
      <c r="O163" s="77" t="s">
        <v>53</v>
      </c>
      <c r="P163" s="76">
        <v>19.0</v>
      </c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69" t="s">
        <v>24</v>
      </c>
      <c r="B164" s="76">
        <v>1.0</v>
      </c>
      <c r="C164" s="77">
        <v>2015.0</v>
      </c>
      <c r="D164" s="76" t="s">
        <v>172</v>
      </c>
      <c r="E164" s="78" t="s">
        <v>185</v>
      </c>
      <c r="F164" s="69" t="s">
        <v>27</v>
      </c>
      <c r="G164" s="69" t="s">
        <v>28</v>
      </c>
      <c r="H164" s="69" t="s">
        <v>29</v>
      </c>
      <c r="I164" s="69" t="s">
        <v>30</v>
      </c>
      <c r="J164" s="69" t="s">
        <v>31</v>
      </c>
      <c r="K164" s="76" t="s">
        <v>186</v>
      </c>
      <c r="L164" s="76" t="s">
        <v>187</v>
      </c>
      <c r="M164" s="76">
        <v>121.0</v>
      </c>
      <c r="N164" s="76">
        <v>750.0</v>
      </c>
      <c r="O164" s="77" t="s">
        <v>34</v>
      </c>
      <c r="P164" s="76">
        <v>20.0</v>
      </c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69" t="s">
        <v>24</v>
      </c>
      <c r="B165" s="76">
        <v>1.0</v>
      </c>
      <c r="C165" s="77">
        <v>2015.0</v>
      </c>
      <c r="D165" s="76" t="s">
        <v>84</v>
      </c>
      <c r="E165" s="78">
        <v>1873.0</v>
      </c>
      <c r="F165" s="69" t="s">
        <v>27</v>
      </c>
      <c r="G165" s="69" t="s">
        <v>28</v>
      </c>
      <c r="H165" s="69" t="s">
        <v>29</v>
      </c>
      <c r="I165" s="69" t="s">
        <v>30</v>
      </c>
      <c r="J165" s="69" t="s">
        <v>31</v>
      </c>
      <c r="K165" s="79"/>
      <c r="L165" s="79"/>
      <c r="M165" s="76">
        <v>85.0</v>
      </c>
      <c r="N165" s="76">
        <v>750.0</v>
      </c>
      <c r="O165" s="77" t="s">
        <v>47</v>
      </c>
      <c r="P165" s="76">
        <v>20.0</v>
      </c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69" t="s">
        <v>24</v>
      </c>
      <c r="B166" s="76">
        <v>1.0</v>
      </c>
      <c r="C166" s="77">
        <v>2014.0</v>
      </c>
      <c r="D166" s="76" t="s">
        <v>84</v>
      </c>
      <c r="E166" s="78" t="s">
        <v>152</v>
      </c>
      <c r="F166" s="69" t="s">
        <v>27</v>
      </c>
      <c r="G166" s="69" t="s">
        <v>28</v>
      </c>
      <c r="H166" s="69" t="s">
        <v>29</v>
      </c>
      <c r="I166" s="69" t="s">
        <v>30</v>
      </c>
      <c r="J166" s="69" t="s">
        <v>31</v>
      </c>
      <c r="K166" s="79"/>
      <c r="L166" s="79"/>
      <c r="M166" s="76">
        <v>150.0</v>
      </c>
      <c r="N166" s="76">
        <v>750.0</v>
      </c>
      <c r="O166" s="77" t="s">
        <v>34</v>
      </c>
      <c r="P166" s="76">
        <v>20.0</v>
      </c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69" t="s">
        <v>24</v>
      </c>
      <c r="B167" s="76">
        <v>1.0</v>
      </c>
      <c r="C167" s="77">
        <v>2015.0</v>
      </c>
      <c r="D167" s="76" t="s">
        <v>84</v>
      </c>
      <c r="E167" s="78" t="s">
        <v>266</v>
      </c>
      <c r="F167" s="69" t="s">
        <v>27</v>
      </c>
      <c r="G167" s="69" t="s">
        <v>28</v>
      </c>
      <c r="H167" s="69" t="s">
        <v>29</v>
      </c>
      <c r="I167" s="69" t="s">
        <v>30</v>
      </c>
      <c r="J167" s="69" t="s">
        <v>31</v>
      </c>
      <c r="K167" s="79"/>
      <c r="L167" s="79"/>
      <c r="M167" s="76">
        <v>70.0</v>
      </c>
      <c r="N167" s="76">
        <v>750.0</v>
      </c>
      <c r="O167" s="77" t="s">
        <v>47</v>
      </c>
      <c r="P167" s="76">
        <v>20.0</v>
      </c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69" t="s">
        <v>24</v>
      </c>
      <c r="B168" s="76">
        <v>1.0</v>
      </c>
      <c r="C168" s="77">
        <v>2016.0</v>
      </c>
      <c r="D168" s="76" t="s">
        <v>84</v>
      </c>
      <c r="E168" s="78" t="s">
        <v>201</v>
      </c>
      <c r="F168" s="69" t="s">
        <v>27</v>
      </c>
      <c r="G168" s="69" t="s">
        <v>28</v>
      </c>
      <c r="H168" s="69" t="s">
        <v>29</v>
      </c>
      <c r="I168" s="69" t="s">
        <v>30</v>
      </c>
      <c r="J168" s="69" t="s">
        <v>31</v>
      </c>
      <c r="K168" s="79"/>
      <c r="L168" s="79"/>
      <c r="M168" s="76">
        <v>80.0</v>
      </c>
      <c r="N168" s="76">
        <v>750.0</v>
      </c>
      <c r="O168" s="77" t="s">
        <v>53</v>
      </c>
      <c r="P168" s="76">
        <v>20.0</v>
      </c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69" t="s">
        <v>24</v>
      </c>
      <c r="B169" s="76">
        <v>1.0</v>
      </c>
      <c r="C169" s="77">
        <v>2016.0</v>
      </c>
      <c r="D169" s="76" t="s">
        <v>84</v>
      </c>
      <c r="E169" s="78" t="s">
        <v>222</v>
      </c>
      <c r="F169" s="69" t="s">
        <v>27</v>
      </c>
      <c r="G169" s="69" t="s">
        <v>28</v>
      </c>
      <c r="H169" s="69" t="s">
        <v>29</v>
      </c>
      <c r="I169" s="69" t="s">
        <v>30</v>
      </c>
      <c r="J169" s="69" t="s">
        <v>31</v>
      </c>
      <c r="K169" s="79"/>
      <c r="L169" s="79"/>
      <c r="M169" s="76">
        <v>165.0</v>
      </c>
      <c r="N169" s="76">
        <v>750.0</v>
      </c>
      <c r="O169" s="77" t="s">
        <v>34</v>
      </c>
      <c r="P169" s="76">
        <v>20.0</v>
      </c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69" t="s">
        <v>24</v>
      </c>
      <c r="B170" s="76">
        <v>1.0</v>
      </c>
      <c r="C170" s="77">
        <v>2015.0</v>
      </c>
      <c r="D170" s="76" t="s">
        <v>84</v>
      </c>
      <c r="E170" s="78" t="s">
        <v>184</v>
      </c>
      <c r="F170" s="69" t="s">
        <v>27</v>
      </c>
      <c r="G170" s="69" t="s">
        <v>28</v>
      </c>
      <c r="H170" s="69" t="s">
        <v>29</v>
      </c>
      <c r="I170" s="69" t="s">
        <v>30</v>
      </c>
      <c r="J170" s="69" t="s">
        <v>31</v>
      </c>
      <c r="K170" s="79"/>
      <c r="L170" s="79"/>
      <c r="M170" s="76">
        <v>180.0</v>
      </c>
      <c r="N170" s="76">
        <v>750.0</v>
      </c>
      <c r="O170" s="77" t="s">
        <v>53</v>
      </c>
      <c r="P170" s="76">
        <v>20.0</v>
      </c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Q171" s="81"/>
    </row>
    <row r="172">
      <c r="Q172" s="81"/>
    </row>
    <row r="173">
      <c r="Q173" s="81"/>
    </row>
    <row r="174">
      <c r="Q174" s="81"/>
    </row>
    <row r="175">
      <c r="Q175" s="81"/>
    </row>
    <row r="176">
      <c r="Q176" s="81"/>
    </row>
    <row r="177">
      <c r="Q177" s="81"/>
    </row>
    <row r="178">
      <c r="Q178" s="81"/>
    </row>
    <row r="179">
      <c r="Q179" s="81"/>
    </row>
    <row r="180">
      <c r="Q180" s="81"/>
    </row>
    <row r="181">
      <c r="Q181" s="81"/>
    </row>
    <row r="182">
      <c r="Q182" s="81"/>
    </row>
    <row r="183">
      <c r="Q183" s="81"/>
    </row>
    <row r="184">
      <c r="Q184" s="81"/>
    </row>
    <row r="185">
      <c r="Q185" s="81"/>
    </row>
    <row r="186">
      <c r="Q186" s="81"/>
    </row>
    <row r="187">
      <c r="Q187" s="81"/>
    </row>
    <row r="188">
      <c r="Q188" s="81"/>
    </row>
    <row r="189">
      <c r="Q189" s="81"/>
    </row>
    <row r="190">
      <c r="Q190" s="81"/>
    </row>
    <row r="191">
      <c r="Q191" s="81"/>
    </row>
    <row r="192">
      <c r="Q192" s="81"/>
    </row>
    <row r="193">
      <c r="Q193" s="81"/>
    </row>
    <row r="194">
      <c r="Q194" s="81"/>
    </row>
    <row r="195">
      <c r="Q195" s="81"/>
    </row>
    <row r="196">
      <c r="Q196" s="81"/>
    </row>
    <row r="197">
      <c r="Q197" s="81"/>
    </row>
    <row r="198">
      <c r="Q198" s="81"/>
    </row>
    <row r="199">
      <c r="Q199" s="81"/>
    </row>
    <row r="200">
      <c r="Q200" s="81"/>
    </row>
    <row r="201">
      <c r="Q201" s="81"/>
    </row>
    <row r="202">
      <c r="Q202" s="81"/>
    </row>
    <row r="203">
      <c r="Q203" s="81"/>
    </row>
    <row r="204">
      <c r="Q204" s="81"/>
    </row>
    <row r="205">
      <c r="Q205" s="81"/>
    </row>
    <row r="206">
      <c r="Q206" s="81"/>
    </row>
    <row r="207">
      <c r="Q207" s="81"/>
    </row>
    <row r="208">
      <c r="Q208" s="81"/>
    </row>
    <row r="209">
      <c r="Q209" s="81"/>
    </row>
    <row r="210">
      <c r="Q210" s="81"/>
    </row>
    <row r="211">
      <c r="Q211" s="81"/>
    </row>
    <row r="212">
      <c r="Q212" s="81"/>
    </row>
    <row r="213">
      <c r="Q213" s="81"/>
    </row>
    <row r="214">
      <c r="Q214" s="81"/>
    </row>
    <row r="215">
      <c r="Q215" s="81"/>
    </row>
    <row r="216">
      <c r="Q216" s="81"/>
    </row>
    <row r="217">
      <c r="Q217" s="81"/>
    </row>
    <row r="218">
      <c r="Q218" s="81"/>
    </row>
    <row r="219">
      <c r="Q219" s="81"/>
    </row>
    <row r="220">
      <c r="Q220" s="81"/>
    </row>
    <row r="221">
      <c r="Q221" s="81"/>
    </row>
    <row r="222">
      <c r="Q222" s="81"/>
    </row>
    <row r="223">
      <c r="Q223" s="81"/>
    </row>
    <row r="224">
      <c r="Q224" s="81"/>
    </row>
    <row r="225">
      <c r="Q225" s="81"/>
    </row>
    <row r="226">
      <c r="Q226" s="81"/>
    </row>
    <row r="227">
      <c r="Q227" s="81"/>
    </row>
    <row r="228">
      <c r="Q228" s="81"/>
    </row>
    <row r="229">
      <c r="Q229" s="81"/>
    </row>
    <row r="230">
      <c r="Q230" s="81"/>
    </row>
    <row r="231">
      <c r="Q231" s="81"/>
    </row>
    <row r="232">
      <c r="Q232" s="81"/>
    </row>
    <row r="233">
      <c r="Q233" s="81"/>
    </row>
    <row r="234">
      <c r="Q234" s="81"/>
    </row>
    <row r="235">
      <c r="Q235" s="81"/>
    </row>
    <row r="236">
      <c r="Q236" s="81"/>
    </row>
    <row r="237">
      <c r="Q237" s="81"/>
    </row>
    <row r="238">
      <c r="Q238" s="81"/>
    </row>
    <row r="239">
      <c r="Q239" s="81"/>
    </row>
    <row r="240">
      <c r="Q240" s="81"/>
    </row>
    <row r="241">
      <c r="Q241" s="81"/>
    </row>
    <row r="242">
      <c r="Q242" s="81"/>
    </row>
    <row r="243">
      <c r="Q243" s="81"/>
    </row>
    <row r="244">
      <c r="Q244" s="81"/>
    </row>
    <row r="245">
      <c r="Q245" s="81"/>
    </row>
    <row r="246">
      <c r="Q246" s="81"/>
    </row>
    <row r="247">
      <c r="Q247" s="81"/>
    </row>
    <row r="248">
      <c r="Q248" s="81"/>
    </row>
    <row r="249">
      <c r="Q249" s="81"/>
    </row>
    <row r="250">
      <c r="Q250" s="81"/>
    </row>
    <row r="251">
      <c r="Q251" s="81"/>
    </row>
    <row r="252">
      <c r="Q252" s="81"/>
    </row>
    <row r="253">
      <c r="Q253" s="81"/>
    </row>
    <row r="254">
      <c r="Q254" s="81"/>
    </row>
    <row r="255">
      <c r="Q255" s="81"/>
    </row>
    <row r="256">
      <c r="Q256" s="81"/>
    </row>
    <row r="257">
      <c r="Q257" s="81"/>
    </row>
    <row r="258">
      <c r="Q258" s="81"/>
    </row>
    <row r="259">
      <c r="Q259" s="81"/>
    </row>
    <row r="260">
      <c r="Q260" s="81"/>
    </row>
    <row r="261">
      <c r="Q261" s="81"/>
    </row>
    <row r="262">
      <c r="Q262" s="81"/>
    </row>
    <row r="263">
      <c r="Q263" s="81"/>
    </row>
    <row r="264">
      <c r="Q264" s="81"/>
    </row>
    <row r="265">
      <c r="Q265" s="81"/>
    </row>
    <row r="266">
      <c r="Q266" s="81"/>
    </row>
    <row r="267">
      <c r="Q267" s="81"/>
    </row>
    <row r="268">
      <c r="Q268" s="81"/>
    </row>
    <row r="269">
      <c r="Q269" s="81"/>
    </row>
    <row r="270">
      <c r="Q270" s="81"/>
    </row>
    <row r="271">
      <c r="Q271" s="81"/>
    </row>
    <row r="272">
      <c r="Q272" s="81"/>
    </row>
    <row r="273">
      <c r="Q273" s="81"/>
    </row>
    <row r="274">
      <c r="Q274" s="81"/>
    </row>
    <row r="275">
      <c r="Q275" s="81"/>
    </row>
    <row r="276">
      <c r="Q276" s="81"/>
    </row>
    <row r="277">
      <c r="Q277" s="81"/>
    </row>
    <row r="278">
      <c r="Q278" s="81"/>
    </row>
    <row r="279">
      <c r="Q279" s="81"/>
    </row>
    <row r="280">
      <c r="Q280" s="81"/>
    </row>
    <row r="281">
      <c r="Q281" s="81"/>
    </row>
    <row r="282">
      <c r="Q282" s="81"/>
    </row>
    <row r="283">
      <c r="Q283" s="81"/>
    </row>
    <row r="284">
      <c r="Q284" s="81"/>
    </row>
    <row r="285">
      <c r="Q285" s="81"/>
    </row>
    <row r="286">
      <c r="Q286" s="81"/>
    </row>
    <row r="287">
      <c r="Q287" s="81"/>
    </row>
    <row r="288">
      <c r="Q288" s="81"/>
    </row>
    <row r="289">
      <c r="Q289" s="81"/>
    </row>
    <row r="290">
      <c r="Q290" s="81"/>
    </row>
    <row r="291">
      <c r="Q291" s="81"/>
    </row>
    <row r="292">
      <c r="Q292" s="81"/>
    </row>
    <row r="293">
      <c r="Q293" s="81"/>
    </row>
    <row r="294">
      <c r="Q294" s="81"/>
    </row>
    <row r="295">
      <c r="Q295" s="81"/>
    </row>
    <row r="296">
      <c r="Q296" s="81"/>
    </row>
    <row r="297">
      <c r="Q297" s="81"/>
    </row>
    <row r="298">
      <c r="Q298" s="81"/>
    </row>
    <row r="299">
      <c r="Q299" s="81"/>
    </row>
    <row r="300">
      <c r="Q300" s="81"/>
    </row>
    <row r="301">
      <c r="Q301" s="81"/>
    </row>
    <row r="302">
      <c r="Q302" s="81"/>
    </row>
    <row r="303">
      <c r="Q303" s="81"/>
    </row>
    <row r="304">
      <c r="Q304" s="81"/>
    </row>
    <row r="305">
      <c r="Q305" s="81"/>
    </row>
    <row r="306">
      <c r="Q306" s="81"/>
    </row>
    <row r="307">
      <c r="Q307" s="81"/>
    </row>
    <row r="308">
      <c r="Q308" s="81"/>
    </row>
    <row r="309">
      <c r="Q309" s="81"/>
    </row>
    <row r="310">
      <c r="Q310" s="81"/>
    </row>
    <row r="311">
      <c r="Q311" s="81"/>
    </row>
    <row r="312">
      <c r="Q312" s="81"/>
    </row>
    <row r="313">
      <c r="Q313" s="81"/>
    </row>
    <row r="314">
      <c r="Q314" s="81"/>
    </row>
    <row r="315">
      <c r="Q315" s="81"/>
    </row>
    <row r="316">
      <c r="Q316" s="81"/>
    </row>
    <row r="317">
      <c r="Q317" s="81"/>
    </row>
    <row r="318">
      <c r="Q318" s="81"/>
    </row>
    <row r="319">
      <c r="Q319" s="81"/>
    </row>
    <row r="320">
      <c r="Q320" s="81"/>
    </row>
    <row r="321">
      <c r="Q321" s="81"/>
    </row>
    <row r="322">
      <c r="Q322" s="81"/>
    </row>
    <row r="323">
      <c r="Q323" s="81"/>
    </row>
    <row r="324">
      <c r="Q324" s="81"/>
    </row>
    <row r="325">
      <c r="Q325" s="81"/>
    </row>
    <row r="326">
      <c r="Q326" s="81"/>
    </row>
    <row r="327">
      <c r="Q327" s="81"/>
    </row>
    <row r="328">
      <c r="Q328" s="81"/>
    </row>
    <row r="329">
      <c r="Q329" s="81"/>
    </row>
    <row r="330">
      <c r="Q330" s="81"/>
    </row>
    <row r="331">
      <c r="Q331" s="81"/>
    </row>
    <row r="332">
      <c r="Q332" s="81"/>
    </row>
    <row r="333">
      <c r="Q333" s="81"/>
    </row>
    <row r="334">
      <c r="Q334" s="81"/>
    </row>
    <row r="335">
      <c r="Q335" s="81"/>
    </row>
    <row r="336">
      <c r="Q336" s="81"/>
    </row>
    <row r="337">
      <c r="Q337" s="81"/>
    </row>
    <row r="338">
      <c r="Q338" s="81"/>
    </row>
    <row r="339">
      <c r="Q339" s="81"/>
    </row>
    <row r="340">
      <c r="Q340" s="81"/>
    </row>
    <row r="341">
      <c r="Q341" s="81"/>
    </row>
    <row r="342">
      <c r="Q342" s="81"/>
    </row>
    <row r="343">
      <c r="Q343" s="81"/>
    </row>
    <row r="344">
      <c r="Q344" s="81"/>
    </row>
    <row r="345">
      <c r="Q345" s="81"/>
    </row>
    <row r="346">
      <c r="Q346" s="81"/>
    </row>
    <row r="347">
      <c r="Q347" s="81"/>
    </row>
    <row r="348">
      <c r="Q348" s="81"/>
    </row>
    <row r="349">
      <c r="Q349" s="81"/>
    </row>
    <row r="350">
      <c r="Q350" s="81"/>
    </row>
    <row r="351">
      <c r="Q351" s="81"/>
    </row>
    <row r="352">
      <c r="Q352" s="81"/>
    </row>
    <row r="353">
      <c r="Q353" s="81"/>
    </row>
    <row r="354">
      <c r="Q354" s="81"/>
    </row>
    <row r="355">
      <c r="Q355" s="81"/>
    </row>
    <row r="356">
      <c r="Q356" s="81"/>
    </row>
    <row r="357">
      <c r="Q357" s="81"/>
    </row>
    <row r="358">
      <c r="Q358" s="81"/>
    </row>
    <row r="359">
      <c r="Q359" s="81"/>
    </row>
    <row r="360">
      <c r="Q360" s="81"/>
    </row>
    <row r="361">
      <c r="Q361" s="81"/>
    </row>
    <row r="362">
      <c r="Q362" s="81"/>
    </row>
    <row r="363">
      <c r="Q363" s="81"/>
    </row>
    <row r="364">
      <c r="Q364" s="81"/>
    </row>
    <row r="365">
      <c r="Q365" s="81"/>
    </row>
    <row r="366">
      <c r="Q366" s="81"/>
    </row>
    <row r="367">
      <c r="Q367" s="81"/>
    </row>
    <row r="368">
      <c r="Q368" s="81"/>
    </row>
    <row r="369">
      <c r="Q369" s="81"/>
    </row>
    <row r="370">
      <c r="Q370" s="81"/>
    </row>
    <row r="371">
      <c r="Q371" s="81"/>
    </row>
    <row r="372">
      <c r="Q372" s="81"/>
    </row>
    <row r="373">
      <c r="Q373" s="81"/>
    </row>
    <row r="374">
      <c r="Q374" s="81"/>
    </row>
    <row r="375">
      <c r="Q375" s="81"/>
    </row>
    <row r="376">
      <c r="Q376" s="81"/>
    </row>
    <row r="377">
      <c r="Q377" s="81"/>
    </row>
    <row r="378">
      <c r="Q378" s="81"/>
    </row>
    <row r="379">
      <c r="Q379" s="81"/>
    </row>
    <row r="380">
      <c r="Q380" s="81"/>
    </row>
    <row r="381">
      <c r="Q381" s="81"/>
    </row>
    <row r="382">
      <c r="Q382" s="81"/>
    </row>
    <row r="383">
      <c r="Q383" s="81"/>
    </row>
    <row r="384">
      <c r="Q384" s="81"/>
    </row>
    <row r="385">
      <c r="Q385" s="81"/>
    </row>
    <row r="386">
      <c r="Q386" s="81"/>
    </row>
    <row r="387">
      <c r="Q387" s="81"/>
    </row>
    <row r="388">
      <c r="Q388" s="81"/>
    </row>
    <row r="389">
      <c r="Q389" s="81"/>
    </row>
    <row r="390">
      <c r="Q390" s="81"/>
    </row>
    <row r="391">
      <c r="Q391" s="81"/>
    </row>
    <row r="392">
      <c r="Q392" s="81"/>
    </row>
    <row r="393">
      <c r="Q393" s="81"/>
    </row>
    <row r="394">
      <c r="Q394" s="81"/>
    </row>
    <row r="395">
      <c r="Q395" s="81"/>
    </row>
    <row r="396">
      <c r="Q396" s="81"/>
    </row>
    <row r="397">
      <c r="Q397" s="81"/>
    </row>
    <row r="398">
      <c r="Q398" s="81"/>
    </row>
    <row r="399">
      <c r="Q399" s="81"/>
    </row>
    <row r="400">
      <c r="Q400" s="81"/>
    </row>
    <row r="401">
      <c r="Q401" s="81"/>
    </row>
    <row r="402">
      <c r="Q402" s="81"/>
    </row>
    <row r="403">
      <c r="Q403" s="81"/>
    </row>
    <row r="404">
      <c r="Q404" s="81"/>
    </row>
    <row r="405">
      <c r="Q405" s="81"/>
    </row>
    <row r="406">
      <c r="Q406" s="81"/>
    </row>
    <row r="407">
      <c r="Q407" s="81"/>
    </row>
    <row r="408">
      <c r="Q408" s="81"/>
    </row>
    <row r="409">
      <c r="Q409" s="81"/>
    </row>
    <row r="410">
      <c r="Q410" s="81"/>
    </row>
    <row r="411">
      <c r="Q411" s="81"/>
    </row>
    <row r="412">
      <c r="Q412" s="81"/>
    </row>
    <row r="413">
      <c r="Q413" s="81"/>
    </row>
    <row r="414">
      <c r="Q414" s="81"/>
    </row>
    <row r="415">
      <c r="Q415" s="81"/>
    </row>
    <row r="416">
      <c r="Q416" s="81"/>
    </row>
    <row r="417">
      <c r="Q417" s="81"/>
    </row>
    <row r="418">
      <c r="Q418" s="81"/>
    </row>
    <row r="419">
      <c r="Q419" s="81"/>
    </row>
    <row r="420">
      <c r="Q420" s="81"/>
    </row>
    <row r="421">
      <c r="Q421" s="81"/>
    </row>
    <row r="422">
      <c r="Q422" s="81"/>
    </row>
    <row r="423">
      <c r="Q423" s="81"/>
    </row>
    <row r="424">
      <c r="Q424" s="81"/>
    </row>
    <row r="425">
      <c r="Q425" s="81"/>
    </row>
    <row r="426">
      <c r="Q426" s="81"/>
    </row>
    <row r="427">
      <c r="Q427" s="81"/>
    </row>
    <row r="428">
      <c r="Q428" s="81"/>
    </row>
    <row r="429">
      <c r="Q429" s="81"/>
    </row>
    <row r="430">
      <c r="Q430" s="81"/>
    </row>
    <row r="431">
      <c r="Q431" s="81"/>
    </row>
    <row r="432">
      <c r="Q432" s="81"/>
    </row>
    <row r="433">
      <c r="Q433" s="81"/>
    </row>
    <row r="434">
      <c r="Q434" s="81"/>
    </row>
    <row r="435">
      <c r="Q435" s="81"/>
    </row>
    <row r="436">
      <c r="Q436" s="81"/>
    </row>
    <row r="437">
      <c r="Q437" s="81"/>
    </row>
    <row r="438">
      <c r="Q438" s="81"/>
    </row>
    <row r="439">
      <c r="Q439" s="81"/>
    </row>
    <row r="440">
      <c r="Q440" s="81"/>
    </row>
    <row r="441">
      <c r="Q441" s="81"/>
    </row>
    <row r="442">
      <c r="Q442" s="81"/>
    </row>
    <row r="443">
      <c r="Q443" s="81"/>
    </row>
    <row r="444">
      <c r="Q444" s="81"/>
    </row>
    <row r="445">
      <c r="Q445" s="81"/>
    </row>
    <row r="446">
      <c r="Q446" s="81"/>
    </row>
    <row r="447">
      <c r="Q447" s="81"/>
    </row>
    <row r="448">
      <c r="Q448" s="81"/>
    </row>
    <row r="449">
      <c r="Q449" s="81"/>
    </row>
    <row r="450">
      <c r="Q450" s="81"/>
    </row>
    <row r="451">
      <c r="Q451" s="81"/>
    </row>
    <row r="452">
      <c r="Q452" s="81"/>
    </row>
    <row r="453">
      <c r="Q453" s="81"/>
    </row>
    <row r="454">
      <c r="Q454" s="81"/>
    </row>
    <row r="455">
      <c r="Q455" s="81"/>
    </row>
    <row r="456">
      <c r="Q456" s="81"/>
    </row>
    <row r="457">
      <c r="Q457" s="81"/>
    </row>
    <row r="458">
      <c r="Q458" s="81"/>
    </row>
    <row r="459">
      <c r="Q459" s="81"/>
    </row>
    <row r="460">
      <c r="Q460" s="81"/>
    </row>
    <row r="461">
      <c r="Q461" s="81"/>
    </row>
    <row r="462">
      <c r="Q462" s="81"/>
    </row>
    <row r="463">
      <c r="Q463" s="81"/>
    </row>
    <row r="464">
      <c r="Q464" s="81"/>
    </row>
    <row r="465">
      <c r="Q465" s="81"/>
    </row>
    <row r="466">
      <c r="Q466" s="81"/>
    </row>
    <row r="467">
      <c r="Q467" s="81"/>
    </row>
    <row r="468">
      <c r="Q468" s="81"/>
    </row>
    <row r="469">
      <c r="Q469" s="81"/>
    </row>
    <row r="470">
      <c r="Q470" s="81"/>
    </row>
    <row r="471">
      <c r="Q471" s="81"/>
    </row>
    <row r="472">
      <c r="Q472" s="81"/>
    </row>
    <row r="473">
      <c r="Q473" s="81"/>
    </row>
    <row r="474">
      <c r="Q474" s="81"/>
    </row>
    <row r="475">
      <c r="Q475" s="81"/>
    </row>
    <row r="476">
      <c r="Q476" s="81"/>
    </row>
    <row r="477">
      <c r="Q477" s="81"/>
    </row>
    <row r="478">
      <c r="Q478" s="81"/>
    </row>
    <row r="479">
      <c r="Q479" s="81"/>
    </row>
    <row r="480">
      <c r="Q480" s="81"/>
    </row>
    <row r="481">
      <c r="Q481" s="81"/>
    </row>
    <row r="482">
      <c r="Q482" s="81"/>
    </row>
    <row r="483">
      <c r="Q483" s="81"/>
    </row>
    <row r="484">
      <c r="Q484" s="81"/>
    </row>
    <row r="485">
      <c r="Q485" s="81"/>
    </row>
    <row r="486">
      <c r="Q486" s="81"/>
    </row>
    <row r="487">
      <c r="Q487" s="81"/>
    </row>
    <row r="488">
      <c r="Q488" s="81"/>
    </row>
    <row r="489">
      <c r="Q489" s="81"/>
    </row>
    <row r="490">
      <c r="Q490" s="81"/>
    </row>
    <row r="491">
      <c r="Q491" s="81"/>
    </row>
    <row r="492">
      <c r="Q492" s="81"/>
    </row>
    <row r="493">
      <c r="Q493" s="81"/>
    </row>
    <row r="494">
      <c r="Q494" s="81"/>
    </row>
    <row r="495">
      <c r="Q495" s="81"/>
    </row>
    <row r="496">
      <c r="Q496" s="81"/>
    </row>
    <row r="497">
      <c r="Q497" s="81"/>
    </row>
    <row r="498">
      <c r="Q498" s="81"/>
    </row>
    <row r="499">
      <c r="Q499" s="81"/>
    </row>
    <row r="500">
      <c r="Q500" s="81"/>
    </row>
    <row r="501">
      <c r="Q501" s="81"/>
    </row>
    <row r="502">
      <c r="Q502" s="81"/>
    </row>
    <row r="503">
      <c r="Q503" s="81"/>
    </row>
    <row r="504">
      <c r="Q504" s="81"/>
    </row>
    <row r="505">
      <c r="Q505" s="81"/>
    </row>
    <row r="506">
      <c r="Q506" s="81"/>
    </row>
    <row r="507">
      <c r="Q507" s="81"/>
    </row>
    <row r="508">
      <c r="Q508" s="81"/>
    </row>
    <row r="509">
      <c r="Q509" s="81"/>
    </row>
    <row r="510">
      <c r="Q510" s="81"/>
    </row>
    <row r="511">
      <c r="Q511" s="81"/>
    </row>
    <row r="512">
      <c r="Q512" s="81"/>
    </row>
    <row r="513">
      <c r="Q513" s="81"/>
    </row>
    <row r="514">
      <c r="Q514" s="81"/>
    </row>
    <row r="515">
      <c r="Q515" s="81"/>
    </row>
    <row r="516">
      <c r="Q516" s="81"/>
    </row>
    <row r="517">
      <c r="Q517" s="81"/>
    </row>
    <row r="518">
      <c r="Q518" s="81"/>
    </row>
    <row r="519">
      <c r="Q519" s="81"/>
    </row>
    <row r="520">
      <c r="Q520" s="81"/>
    </row>
    <row r="521">
      <c r="Q521" s="81"/>
    </row>
    <row r="522">
      <c r="Q522" s="81"/>
    </row>
    <row r="523">
      <c r="Q523" s="81"/>
    </row>
    <row r="524">
      <c r="Q524" s="81"/>
    </row>
    <row r="525">
      <c r="Q525" s="81"/>
    </row>
    <row r="526">
      <c r="Q526" s="81"/>
    </row>
    <row r="527">
      <c r="Q527" s="81"/>
    </row>
    <row r="528">
      <c r="Q528" s="81"/>
    </row>
    <row r="529">
      <c r="Q529" s="81"/>
    </row>
    <row r="530">
      <c r="Q530" s="81"/>
    </row>
    <row r="531">
      <c r="Q531" s="81"/>
    </row>
    <row r="532">
      <c r="Q532" s="81"/>
    </row>
    <row r="533">
      <c r="Q533" s="81"/>
    </row>
    <row r="534">
      <c r="Q534" s="81"/>
    </row>
    <row r="535">
      <c r="Q535" s="81"/>
    </row>
    <row r="536">
      <c r="Q536" s="81"/>
    </row>
    <row r="537">
      <c r="Q537" s="81"/>
    </row>
    <row r="538">
      <c r="Q538" s="81"/>
    </row>
    <row r="539">
      <c r="Q539" s="81"/>
    </row>
    <row r="540">
      <c r="Q540" s="81"/>
    </row>
    <row r="541">
      <c r="Q541" s="81"/>
    </row>
    <row r="542">
      <c r="Q542" s="81"/>
    </row>
    <row r="543">
      <c r="Q543" s="81"/>
    </row>
    <row r="544">
      <c r="Q544" s="81"/>
    </row>
    <row r="545">
      <c r="Q545" s="81"/>
    </row>
    <row r="546">
      <c r="Q546" s="81"/>
    </row>
    <row r="547">
      <c r="Q547" s="81"/>
    </row>
    <row r="548">
      <c r="Q548" s="81"/>
    </row>
    <row r="549">
      <c r="Q549" s="81"/>
    </row>
    <row r="550">
      <c r="Q550" s="81"/>
    </row>
    <row r="551">
      <c r="Q551" s="81"/>
    </row>
    <row r="552">
      <c r="Q552" s="81"/>
    </row>
    <row r="553">
      <c r="Q553" s="81"/>
    </row>
    <row r="554">
      <c r="Q554" s="81"/>
    </row>
    <row r="555">
      <c r="Q555" s="81"/>
    </row>
    <row r="556">
      <c r="Q556" s="81"/>
    </row>
    <row r="557">
      <c r="Q557" s="81"/>
    </row>
    <row r="558">
      <c r="Q558" s="81"/>
    </row>
    <row r="559">
      <c r="Q559" s="81"/>
    </row>
    <row r="560">
      <c r="Q560" s="81"/>
    </row>
    <row r="561">
      <c r="Q561" s="81"/>
    </row>
    <row r="562">
      <c r="Q562" s="81"/>
    </row>
    <row r="563">
      <c r="Q563" s="81"/>
    </row>
    <row r="564">
      <c r="Q564" s="81"/>
    </row>
    <row r="565">
      <c r="Q565" s="81"/>
    </row>
    <row r="566">
      <c r="Q566" s="81"/>
    </row>
    <row r="567">
      <c r="Q567" s="81"/>
    </row>
    <row r="568">
      <c r="Q568" s="81"/>
    </row>
    <row r="569">
      <c r="Q569" s="81"/>
    </row>
    <row r="570">
      <c r="Q570" s="81"/>
    </row>
    <row r="571">
      <c r="Q571" s="81"/>
    </row>
    <row r="572">
      <c r="Q572" s="81"/>
    </row>
    <row r="573">
      <c r="Q573" s="81"/>
    </row>
    <row r="574">
      <c r="Q574" s="81"/>
    </row>
    <row r="575">
      <c r="Q575" s="81"/>
    </row>
    <row r="576">
      <c r="Q576" s="81"/>
    </row>
    <row r="577">
      <c r="Q577" s="81"/>
    </row>
    <row r="578">
      <c r="Q578" s="81"/>
    </row>
    <row r="579">
      <c r="Q579" s="81"/>
    </row>
    <row r="580">
      <c r="Q580" s="81"/>
    </row>
    <row r="581">
      <c r="Q581" s="81"/>
    </row>
    <row r="582">
      <c r="Q582" s="81"/>
    </row>
    <row r="583">
      <c r="Q583" s="81"/>
    </row>
    <row r="584">
      <c r="Q584" s="81"/>
    </row>
    <row r="585">
      <c r="Q585" s="81"/>
    </row>
    <row r="586">
      <c r="Q586" s="81"/>
    </row>
    <row r="587">
      <c r="Q587" s="81"/>
    </row>
    <row r="588">
      <c r="Q588" s="81"/>
    </row>
    <row r="589">
      <c r="Q589" s="81"/>
    </row>
    <row r="590">
      <c r="Q590" s="81"/>
    </row>
    <row r="591">
      <c r="Q591" s="81"/>
    </row>
    <row r="592">
      <c r="Q592" s="81"/>
    </row>
    <row r="593">
      <c r="Q593" s="81"/>
    </row>
    <row r="594">
      <c r="Q594" s="81"/>
    </row>
    <row r="595">
      <c r="Q595" s="81"/>
    </row>
    <row r="596">
      <c r="Q596" s="81"/>
    </row>
    <row r="597">
      <c r="Q597" s="81"/>
    </row>
    <row r="598">
      <c r="Q598" s="81"/>
    </row>
    <row r="599">
      <c r="Q599" s="81"/>
    </row>
    <row r="600">
      <c r="Q600" s="81"/>
    </row>
    <row r="601">
      <c r="Q601" s="81"/>
    </row>
    <row r="602">
      <c r="Q602" s="81"/>
    </row>
    <row r="603">
      <c r="Q603" s="81"/>
    </row>
    <row r="604">
      <c r="Q604" s="81"/>
    </row>
    <row r="605">
      <c r="Q605" s="81"/>
    </row>
    <row r="606">
      <c r="Q606" s="81"/>
    </row>
    <row r="607">
      <c r="Q607" s="81"/>
    </row>
    <row r="608">
      <c r="Q608" s="81"/>
    </row>
    <row r="609">
      <c r="Q609" s="81"/>
    </row>
    <row r="610">
      <c r="Q610" s="81"/>
    </row>
    <row r="611">
      <c r="Q611" s="81"/>
    </row>
    <row r="612">
      <c r="Q612" s="81"/>
    </row>
    <row r="613">
      <c r="Q613" s="81"/>
    </row>
    <row r="614">
      <c r="Q614" s="81"/>
    </row>
    <row r="615">
      <c r="Q615" s="81"/>
    </row>
    <row r="616">
      <c r="Q616" s="81"/>
    </row>
    <row r="617">
      <c r="Q617" s="81"/>
    </row>
    <row r="618">
      <c r="Q618" s="81"/>
    </row>
    <row r="619">
      <c r="Q619" s="81"/>
    </row>
    <row r="620">
      <c r="Q620" s="81"/>
    </row>
    <row r="621">
      <c r="Q621" s="81"/>
    </row>
    <row r="622">
      <c r="Q622" s="81"/>
    </row>
    <row r="623">
      <c r="Q623" s="81"/>
    </row>
    <row r="624">
      <c r="Q624" s="81"/>
    </row>
    <row r="625">
      <c r="Q625" s="81"/>
    </row>
    <row r="626">
      <c r="Q626" s="81"/>
    </row>
    <row r="627">
      <c r="Q627" s="81"/>
    </row>
    <row r="628">
      <c r="Q628" s="81"/>
    </row>
    <row r="629">
      <c r="Q629" s="81"/>
    </row>
    <row r="630">
      <c r="Q630" s="81"/>
    </row>
    <row r="631">
      <c r="Q631" s="81"/>
    </row>
    <row r="632">
      <c r="Q632" s="81"/>
    </row>
    <row r="633">
      <c r="Q633" s="81"/>
    </row>
    <row r="634">
      <c r="Q634" s="81"/>
    </row>
    <row r="635">
      <c r="Q635" s="81"/>
    </row>
    <row r="636">
      <c r="Q636" s="81"/>
    </row>
    <row r="637">
      <c r="Q637" s="81"/>
    </row>
    <row r="638">
      <c r="Q638" s="81"/>
    </row>
    <row r="639">
      <c r="Q639" s="81"/>
    </row>
    <row r="640">
      <c r="Q640" s="81"/>
    </row>
    <row r="641">
      <c r="Q641" s="81"/>
    </row>
    <row r="642">
      <c r="Q642" s="81"/>
    </row>
    <row r="643">
      <c r="Q643" s="81"/>
    </row>
    <row r="644">
      <c r="Q644" s="81"/>
    </row>
    <row r="645">
      <c r="Q645" s="81"/>
    </row>
    <row r="646">
      <c r="Q646" s="81"/>
    </row>
    <row r="647">
      <c r="Q647" s="81"/>
    </row>
    <row r="648">
      <c r="Q648" s="81"/>
    </row>
    <row r="649">
      <c r="Q649" s="81"/>
    </row>
    <row r="650">
      <c r="Q650" s="81"/>
    </row>
    <row r="651">
      <c r="Q651" s="81"/>
    </row>
    <row r="652">
      <c r="Q652" s="81"/>
    </row>
    <row r="653">
      <c r="Q653" s="81"/>
    </row>
    <row r="654">
      <c r="Q654" s="81"/>
    </row>
    <row r="655">
      <c r="Q655" s="81"/>
    </row>
    <row r="656">
      <c r="Q656" s="81"/>
    </row>
    <row r="657">
      <c r="Q657" s="81"/>
    </row>
    <row r="658">
      <c r="Q658" s="81"/>
    </row>
    <row r="659">
      <c r="Q659" s="81"/>
    </row>
    <row r="660">
      <c r="Q660" s="81"/>
    </row>
    <row r="661">
      <c r="Q661" s="81"/>
    </row>
    <row r="662">
      <c r="Q662" s="81"/>
    </row>
    <row r="663">
      <c r="Q663" s="81"/>
    </row>
    <row r="664">
      <c r="Q664" s="81"/>
    </row>
    <row r="665">
      <c r="Q665" s="81"/>
    </row>
    <row r="666">
      <c r="Q666" s="81"/>
    </row>
    <row r="667">
      <c r="Q667" s="81"/>
    </row>
    <row r="668">
      <c r="Q668" s="81"/>
    </row>
    <row r="669">
      <c r="Q669" s="81"/>
    </row>
    <row r="670">
      <c r="Q670" s="81"/>
    </row>
    <row r="671">
      <c r="Q671" s="81"/>
    </row>
    <row r="672">
      <c r="Q672" s="81"/>
    </row>
    <row r="673">
      <c r="Q673" s="81"/>
    </row>
    <row r="674">
      <c r="Q674" s="81"/>
    </row>
    <row r="675">
      <c r="Q675" s="81"/>
    </row>
    <row r="676">
      <c r="Q676" s="81"/>
    </row>
    <row r="677">
      <c r="Q677" s="81"/>
    </row>
    <row r="678">
      <c r="Q678" s="81"/>
    </row>
    <row r="679">
      <c r="Q679" s="81"/>
    </row>
    <row r="680">
      <c r="Q680" s="81"/>
    </row>
    <row r="681">
      <c r="Q681" s="81"/>
    </row>
    <row r="682">
      <c r="Q682" s="81"/>
    </row>
    <row r="683">
      <c r="Q683" s="81"/>
    </row>
    <row r="684">
      <c r="Q684" s="81"/>
    </row>
    <row r="685">
      <c r="Q685" s="81"/>
    </row>
    <row r="686">
      <c r="Q686" s="81"/>
    </row>
    <row r="687">
      <c r="Q687" s="81"/>
    </row>
    <row r="688">
      <c r="Q688" s="81"/>
    </row>
    <row r="689">
      <c r="Q689" s="81"/>
    </row>
    <row r="690">
      <c r="Q690" s="81"/>
    </row>
    <row r="691">
      <c r="Q691" s="81"/>
    </row>
    <row r="692">
      <c r="Q692" s="81"/>
    </row>
    <row r="693">
      <c r="Q693" s="81"/>
    </row>
    <row r="694">
      <c r="Q694" s="81"/>
    </row>
    <row r="695">
      <c r="Q695" s="81"/>
    </row>
    <row r="696">
      <c r="Q696" s="81"/>
    </row>
    <row r="697">
      <c r="Q697" s="81"/>
    </row>
    <row r="698">
      <c r="Q698" s="81"/>
    </row>
    <row r="699">
      <c r="Q699" s="81"/>
    </row>
    <row r="700">
      <c r="Q700" s="81"/>
    </row>
    <row r="701">
      <c r="Q701" s="81"/>
    </row>
    <row r="702">
      <c r="Q702" s="81"/>
    </row>
    <row r="703">
      <c r="Q703" s="81"/>
    </row>
    <row r="704">
      <c r="Q704" s="81"/>
    </row>
    <row r="705">
      <c r="Q705" s="81"/>
    </row>
    <row r="706">
      <c r="Q706" s="81"/>
    </row>
    <row r="707">
      <c r="Q707" s="81"/>
    </row>
    <row r="708">
      <c r="Q708" s="81"/>
    </row>
    <row r="709">
      <c r="Q709" s="81"/>
    </row>
    <row r="710">
      <c r="Q710" s="81"/>
    </row>
    <row r="711">
      <c r="Q711" s="81"/>
    </row>
    <row r="712">
      <c r="Q712" s="81"/>
    </row>
    <row r="713">
      <c r="Q713" s="81"/>
    </row>
    <row r="714">
      <c r="Q714" s="81"/>
    </row>
    <row r="715">
      <c r="Q715" s="81"/>
    </row>
    <row r="716">
      <c r="Q716" s="81"/>
    </row>
    <row r="717">
      <c r="Q717" s="81"/>
    </row>
    <row r="718">
      <c r="Q718" s="81"/>
    </row>
    <row r="719">
      <c r="Q719" s="81"/>
    </row>
    <row r="720">
      <c r="Q720" s="81"/>
    </row>
    <row r="721">
      <c r="Q721" s="81"/>
    </row>
    <row r="722">
      <c r="Q722" s="81"/>
    </row>
    <row r="723">
      <c r="Q723" s="81"/>
    </row>
    <row r="724">
      <c r="Q724" s="81"/>
    </row>
    <row r="725">
      <c r="Q725" s="81"/>
    </row>
    <row r="726">
      <c r="Q726" s="81"/>
    </row>
    <row r="727">
      <c r="Q727" s="81"/>
    </row>
    <row r="728">
      <c r="Q728" s="81"/>
    </row>
    <row r="729">
      <c r="Q729" s="81"/>
    </row>
    <row r="730">
      <c r="Q730" s="81"/>
    </row>
    <row r="731">
      <c r="Q731" s="81"/>
    </row>
    <row r="732">
      <c r="Q732" s="81"/>
    </row>
    <row r="733">
      <c r="Q733" s="81"/>
    </row>
    <row r="734">
      <c r="Q734" s="81"/>
    </row>
    <row r="735">
      <c r="Q735" s="81"/>
    </row>
    <row r="736">
      <c r="Q736" s="81"/>
    </row>
    <row r="737">
      <c r="Q737" s="81"/>
    </row>
    <row r="738">
      <c r="Q738" s="81"/>
    </row>
    <row r="739">
      <c r="Q739" s="81"/>
    </row>
    <row r="740">
      <c r="Q740" s="81"/>
    </row>
    <row r="741">
      <c r="Q741" s="81"/>
    </row>
    <row r="742">
      <c r="Q742" s="81"/>
    </row>
    <row r="743">
      <c r="Q743" s="81"/>
    </row>
    <row r="744">
      <c r="Q744" s="81"/>
    </row>
    <row r="745">
      <c r="Q745" s="81"/>
    </row>
    <row r="746">
      <c r="Q746" s="81"/>
    </row>
    <row r="747">
      <c r="Q747" s="81"/>
    </row>
    <row r="748">
      <c r="Q748" s="81"/>
    </row>
    <row r="749">
      <c r="Q749" s="81"/>
    </row>
    <row r="750">
      <c r="Q750" s="81"/>
    </row>
    <row r="751">
      <c r="Q751" s="81"/>
    </row>
    <row r="752">
      <c r="Q752" s="81"/>
    </row>
    <row r="753">
      <c r="Q753" s="81"/>
    </row>
    <row r="754">
      <c r="Q754" s="81"/>
    </row>
    <row r="755">
      <c r="Q755" s="81"/>
    </row>
    <row r="756">
      <c r="Q756" s="81"/>
    </row>
    <row r="757">
      <c r="Q757" s="81"/>
    </row>
    <row r="758">
      <c r="Q758" s="81"/>
    </row>
    <row r="759">
      <c r="Q759" s="81"/>
    </row>
    <row r="760">
      <c r="Q760" s="81"/>
    </row>
    <row r="761">
      <c r="Q761" s="81"/>
    </row>
    <row r="762">
      <c r="Q762" s="81"/>
    </row>
    <row r="763">
      <c r="Q763" s="81"/>
    </row>
    <row r="764">
      <c r="Q764" s="81"/>
    </row>
    <row r="765">
      <c r="Q765" s="81"/>
    </row>
    <row r="766">
      <c r="Q766" s="81"/>
    </row>
    <row r="767">
      <c r="Q767" s="81"/>
    </row>
    <row r="768">
      <c r="Q768" s="81"/>
    </row>
    <row r="769">
      <c r="Q769" s="81"/>
    </row>
    <row r="770">
      <c r="Q770" s="81"/>
    </row>
    <row r="771">
      <c r="Q771" s="81"/>
    </row>
    <row r="772">
      <c r="Q772" s="81"/>
    </row>
    <row r="773">
      <c r="Q773" s="81"/>
    </row>
    <row r="774">
      <c r="Q774" s="81"/>
    </row>
    <row r="775">
      <c r="Q775" s="81"/>
    </row>
    <row r="776">
      <c r="Q776" s="81"/>
    </row>
    <row r="777">
      <c r="Q777" s="81"/>
    </row>
    <row r="778">
      <c r="Q778" s="81"/>
    </row>
    <row r="779">
      <c r="Q779" s="81"/>
    </row>
    <row r="780">
      <c r="Q780" s="81"/>
    </row>
    <row r="781">
      <c r="Q781" s="81"/>
    </row>
    <row r="782">
      <c r="Q782" s="81"/>
    </row>
    <row r="783">
      <c r="Q783" s="81"/>
    </row>
    <row r="784">
      <c r="Q784" s="81"/>
    </row>
    <row r="785">
      <c r="Q785" s="81"/>
    </row>
    <row r="786">
      <c r="Q786" s="81"/>
    </row>
    <row r="787">
      <c r="Q787" s="81"/>
    </row>
    <row r="788">
      <c r="Q788" s="81"/>
    </row>
    <row r="789">
      <c r="Q789" s="81"/>
    </row>
    <row r="790">
      <c r="Q790" s="81"/>
    </row>
    <row r="791">
      <c r="Q791" s="81"/>
    </row>
    <row r="792">
      <c r="Q792" s="81"/>
    </row>
    <row r="793">
      <c r="Q793" s="81"/>
    </row>
    <row r="794">
      <c r="Q794" s="81"/>
    </row>
    <row r="795">
      <c r="Q795" s="81"/>
    </row>
    <row r="796">
      <c r="Q796" s="81"/>
    </row>
    <row r="797">
      <c r="Q797" s="81"/>
    </row>
    <row r="798">
      <c r="Q798" s="81"/>
    </row>
    <row r="799">
      <c r="Q799" s="81"/>
    </row>
    <row r="800">
      <c r="Q800" s="81"/>
    </row>
    <row r="801">
      <c r="Q801" s="81"/>
    </row>
    <row r="802">
      <c r="Q802" s="81"/>
    </row>
    <row r="803">
      <c r="Q803" s="81"/>
    </row>
    <row r="804">
      <c r="Q804" s="81"/>
    </row>
    <row r="805">
      <c r="Q805" s="81"/>
    </row>
    <row r="806">
      <c r="Q806" s="81"/>
    </row>
    <row r="807">
      <c r="Q807" s="81"/>
    </row>
    <row r="808">
      <c r="Q808" s="81"/>
    </row>
    <row r="809">
      <c r="Q809" s="81"/>
    </row>
    <row r="810">
      <c r="Q810" s="81"/>
    </row>
    <row r="811">
      <c r="Q811" s="81"/>
    </row>
    <row r="812">
      <c r="Q812" s="81"/>
    </row>
    <row r="813">
      <c r="Q813" s="81"/>
    </row>
    <row r="814">
      <c r="Q814" s="81"/>
    </row>
    <row r="815">
      <c r="Q815" s="81"/>
    </row>
    <row r="816">
      <c r="Q816" s="81"/>
    </row>
    <row r="817">
      <c r="Q817" s="81"/>
    </row>
    <row r="818">
      <c r="Q818" s="81"/>
    </row>
    <row r="819">
      <c r="Q819" s="81"/>
    </row>
    <row r="820">
      <c r="Q820" s="81"/>
    </row>
    <row r="821">
      <c r="Q821" s="81"/>
    </row>
    <row r="822">
      <c r="Q822" s="81"/>
    </row>
    <row r="823">
      <c r="Q823" s="81"/>
    </row>
    <row r="824">
      <c r="Q824" s="81"/>
    </row>
    <row r="825">
      <c r="Q825" s="81"/>
    </row>
    <row r="826">
      <c r="Q826" s="81"/>
    </row>
    <row r="827">
      <c r="Q827" s="81"/>
    </row>
    <row r="828">
      <c r="Q828" s="81"/>
    </row>
    <row r="829">
      <c r="Q829" s="81"/>
    </row>
    <row r="830">
      <c r="Q830" s="81"/>
    </row>
    <row r="831">
      <c r="Q831" s="81"/>
    </row>
    <row r="832">
      <c r="Q832" s="81"/>
    </row>
    <row r="833">
      <c r="Q833" s="81"/>
    </row>
    <row r="834">
      <c r="Q834" s="81"/>
    </row>
    <row r="835">
      <c r="Q835" s="81"/>
    </row>
    <row r="836">
      <c r="Q836" s="81"/>
    </row>
    <row r="837">
      <c r="Q837" s="81"/>
    </row>
    <row r="838">
      <c r="Q838" s="81"/>
    </row>
    <row r="839">
      <c r="Q839" s="81"/>
    </row>
    <row r="840">
      <c r="Q840" s="81"/>
    </row>
    <row r="841">
      <c r="Q841" s="81"/>
    </row>
    <row r="842">
      <c r="Q842" s="81"/>
    </row>
    <row r="843">
      <c r="Q843" s="81"/>
    </row>
    <row r="844">
      <c r="Q844" s="81"/>
    </row>
    <row r="845">
      <c r="Q845" s="81"/>
    </row>
    <row r="846">
      <c r="Q846" s="81"/>
    </row>
    <row r="847">
      <c r="Q847" s="81"/>
    </row>
    <row r="848">
      <c r="Q848" s="81"/>
    </row>
    <row r="849">
      <c r="Q849" s="81"/>
    </row>
    <row r="850">
      <c r="Q850" s="81"/>
    </row>
    <row r="851">
      <c r="Q851" s="81"/>
    </row>
    <row r="852">
      <c r="Q852" s="81"/>
    </row>
    <row r="853">
      <c r="Q853" s="81"/>
    </row>
    <row r="854">
      <c r="Q854" s="81"/>
    </row>
    <row r="855">
      <c r="Q855" s="81"/>
    </row>
    <row r="856">
      <c r="Q856" s="81"/>
    </row>
    <row r="857">
      <c r="Q857" s="81"/>
    </row>
    <row r="858">
      <c r="Q858" s="81"/>
    </row>
    <row r="859">
      <c r="Q859" s="81"/>
    </row>
    <row r="860">
      <c r="Q860" s="81"/>
    </row>
    <row r="861">
      <c r="Q861" s="81"/>
    </row>
    <row r="862">
      <c r="Q862" s="81"/>
    </row>
    <row r="863">
      <c r="Q863" s="81"/>
    </row>
    <row r="864">
      <c r="Q864" s="81"/>
    </row>
    <row r="865">
      <c r="Q865" s="81"/>
    </row>
    <row r="866">
      <c r="Q866" s="81"/>
    </row>
    <row r="867">
      <c r="Q867" s="81"/>
    </row>
    <row r="868">
      <c r="Q868" s="81"/>
    </row>
    <row r="869">
      <c r="Q869" s="81"/>
    </row>
    <row r="870">
      <c r="Q870" s="81"/>
    </row>
    <row r="871">
      <c r="Q871" s="81"/>
    </row>
    <row r="872">
      <c r="Q872" s="81"/>
    </row>
    <row r="873">
      <c r="Q873" s="81"/>
    </row>
    <row r="874">
      <c r="Q874" s="81"/>
    </row>
    <row r="875">
      <c r="Q875" s="81"/>
    </row>
    <row r="876">
      <c r="Q876" s="81"/>
    </row>
    <row r="877">
      <c r="Q877" s="81"/>
    </row>
    <row r="878">
      <c r="Q878" s="81"/>
    </row>
    <row r="879">
      <c r="Q879" s="81"/>
    </row>
    <row r="880">
      <c r="Q880" s="81"/>
    </row>
    <row r="881">
      <c r="Q881" s="81"/>
    </row>
    <row r="882">
      <c r="Q882" s="81"/>
    </row>
    <row r="883">
      <c r="Q883" s="81"/>
    </row>
    <row r="884">
      <c r="Q884" s="81"/>
    </row>
    <row r="885">
      <c r="Q885" s="81"/>
    </row>
    <row r="886">
      <c r="Q886" s="81"/>
    </row>
    <row r="887">
      <c r="Q887" s="81"/>
    </row>
    <row r="888">
      <c r="Q888" s="81"/>
    </row>
    <row r="889">
      <c r="Q889" s="81"/>
    </row>
    <row r="890">
      <c r="Q890" s="81"/>
    </row>
    <row r="891">
      <c r="Q891" s="81"/>
    </row>
    <row r="892">
      <c r="Q892" s="81"/>
    </row>
    <row r="893">
      <c r="Q893" s="81"/>
    </row>
    <row r="894">
      <c r="Q894" s="81"/>
    </row>
    <row r="895">
      <c r="Q895" s="81"/>
    </row>
    <row r="896">
      <c r="Q896" s="81"/>
    </row>
    <row r="897">
      <c r="Q897" s="81"/>
    </row>
    <row r="898">
      <c r="Q898" s="81"/>
    </row>
    <row r="899">
      <c r="Q899" s="81"/>
    </row>
    <row r="900">
      <c r="Q900" s="81"/>
    </row>
    <row r="901">
      <c r="Q901" s="81"/>
    </row>
    <row r="902">
      <c r="Q902" s="81"/>
    </row>
    <row r="903">
      <c r="Q903" s="81"/>
    </row>
    <row r="904">
      <c r="Q904" s="81"/>
    </row>
    <row r="905">
      <c r="Q905" s="81"/>
    </row>
    <row r="906">
      <c r="Q906" s="81"/>
    </row>
    <row r="907">
      <c r="Q907" s="81"/>
    </row>
    <row r="908">
      <c r="Q908" s="81"/>
    </row>
    <row r="909">
      <c r="Q909" s="81"/>
    </row>
    <row r="910">
      <c r="Q910" s="81"/>
    </row>
    <row r="911">
      <c r="Q911" s="81"/>
    </row>
    <row r="912">
      <c r="Q912" s="81"/>
    </row>
    <row r="913">
      <c r="Q913" s="81"/>
    </row>
    <row r="914">
      <c r="Q914" s="81"/>
    </row>
    <row r="915">
      <c r="Q915" s="81"/>
    </row>
    <row r="916">
      <c r="Q916" s="81"/>
    </row>
    <row r="917">
      <c r="Q917" s="81"/>
    </row>
    <row r="918">
      <c r="Q918" s="81"/>
    </row>
    <row r="919">
      <c r="Q919" s="81"/>
    </row>
    <row r="920">
      <c r="Q920" s="81"/>
    </row>
    <row r="921">
      <c r="Q921" s="81"/>
    </row>
    <row r="922">
      <c r="Q922" s="81"/>
    </row>
    <row r="923">
      <c r="Q923" s="81"/>
    </row>
    <row r="924">
      <c r="Q924" s="81"/>
    </row>
    <row r="925">
      <c r="Q925" s="81"/>
    </row>
    <row r="926">
      <c r="Q926" s="81"/>
    </row>
    <row r="927">
      <c r="Q927" s="81"/>
    </row>
    <row r="928">
      <c r="Q928" s="81"/>
    </row>
    <row r="929">
      <c r="Q929" s="81"/>
    </row>
    <row r="930">
      <c r="Q930" s="81"/>
    </row>
    <row r="931">
      <c r="Q931" s="81"/>
    </row>
    <row r="932">
      <c r="Q932" s="81"/>
    </row>
    <row r="933">
      <c r="Q933" s="81"/>
    </row>
    <row r="934">
      <c r="Q934" s="81"/>
    </row>
    <row r="935">
      <c r="Q935" s="81"/>
    </row>
    <row r="936">
      <c r="Q936" s="81"/>
    </row>
    <row r="937">
      <c r="Q937" s="81"/>
    </row>
    <row r="938">
      <c r="Q938" s="81"/>
    </row>
    <row r="939">
      <c r="Q939" s="81"/>
    </row>
    <row r="940">
      <c r="Q940" s="81"/>
    </row>
    <row r="941">
      <c r="Q941" s="81"/>
    </row>
    <row r="942">
      <c r="Q942" s="81"/>
    </row>
    <row r="943">
      <c r="Q943" s="81"/>
    </row>
    <row r="944">
      <c r="Q944" s="81"/>
    </row>
    <row r="945">
      <c r="Q945" s="81"/>
    </row>
    <row r="946">
      <c r="Q946" s="81"/>
    </row>
    <row r="947">
      <c r="Q947" s="81"/>
    </row>
    <row r="948">
      <c r="Q948" s="81"/>
    </row>
    <row r="949">
      <c r="Q949" s="81"/>
    </row>
    <row r="950">
      <c r="Q950" s="81"/>
    </row>
    <row r="951">
      <c r="Q951" s="81"/>
    </row>
    <row r="952">
      <c r="Q952" s="81"/>
    </row>
    <row r="953">
      <c r="Q953" s="81"/>
    </row>
    <row r="954">
      <c r="Q954" s="81"/>
    </row>
    <row r="955">
      <c r="Q955" s="81"/>
    </row>
    <row r="956">
      <c r="Q956" s="81"/>
    </row>
    <row r="957">
      <c r="Q957" s="81"/>
    </row>
    <row r="958">
      <c r="Q958" s="81"/>
    </row>
    <row r="959">
      <c r="Q959" s="81"/>
    </row>
    <row r="960">
      <c r="Q960" s="81"/>
    </row>
    <row r="961">
      <c r="Q961" s="81"/>
    </row>
    <row r="962">
      <c r="Q962" s="81"/>
    </row>
    <row r="963">
      <c r="Q963" s="81"/>
    </row>
    <row r="964">
      <c r="Q964" s="81"/>
    </row>
    <row r="965">
      <c r="Q965" s="81"/>
    </row>
    <row r="966">
      <c r="Q966" s="81"/>
    </row>
    <row r="967">
      <c r="Q967" s="81"/>
    </row>
    <row r="968">
      <c r="Q968" s="81"/>
    </row>
    <row r="969">
      <c r="Q969" s="81"/>
    </row>
    <row r="970">
      <c r="Q970" s="81"/>
    </row>
    <row r="971">
      <c r="Q971" s="81"/>
    </row>
    <row r="972">
      <c r="Q972" s="81"/>
    </row>
    <row r="973">
      <c r="Q973" s="81"/>
    </row>
    <row r="974">
      <c r="Q974" s="81"/>
    </row>
    <row r="975">
      <c r="Q975" s="81"/>
    </row>
    <row r="976">
      <c r="Q976" s="81"/>
    </row>
    <row r="977">
      <c r="Q977" s="81"/>
    </row>
    <row r="978">
      <c r="Q978" s="81"/>
    </row>
    <row r="979">
      <c r="Q979" s="81"/>
    </row>
    <row r="980">
      <c r="Q980" s="81"/>
    </row>
    <row r="981">
      <c r="Q981" s="81"/>
    </row>
    <row r="982">
      <c r="Q982" s="81"/>
    </row>
    <row r="983">
      <c r="Q983" s="81"/>
    </row>
    <row r="984">
      <c r="Q984" s="81"/>
    </row>
    <row r="985">
      <c r="Q985" s="81"/>
    </row>
    <row r="986">
      <c r="Q986" s="81"/>
    </row>
    <row r="987">
      <c r="Q987" s="81"/>
    </row>
    <row r="988">
      <c r="Q988" s="81"/>
    </row>
    <row r="989">
      <c r="Q989" s="81"/>
    </row>
    <row r="990">
      <c r="Q990" s="81"/>
    </row>
    <row r="991">
      <c r="Q991" s="81"/>
    </row>
    <row r="992">
      <c r="Q992" s="81"/>
    </row>
    <row r="993">
      <c r="Q993" s="81"/>
    </row>
    <row r="994">
      <c r="Q994" s="81"/>
    </row>
    <row r="995">
      <c r="Q995" s="81"/>
    </row>
    <row r="996">
      <c r="Q996" s="81"/>
    </row>
    <row r="997">
      <c r="Q997" s="81"/>
    </row>
    <row r="998">
      <c r="Q998" s="81"/>
    </row>
    <row r="999">
      <c r="Q999" s="81"/>
    </row>
  </sheetData>
  <autoFilter ref="$A$1:$AC$999">
    <sortState ref="A1:AC999">
      <sortCondition ref="O1:O999"/>
      <sortCondition ref="C1:C999"/>
      <sortCondition ref="J1:J999"/>
    </sortState>
  </autoFilter>
  <conditionalFormatting sqref="O2:O170">
    <cfRule type="containsText" dxfId="0" priority="1" operator="containsText" text="Medium">
      <formula>NOT(ISERROR(SEARCH(("Medium"),(O2))))</formula>
    </cfRule>
  </conditionalFormatting>
  <conditionalFormatting sqref="O2:O170">
    <cfRule type="containsText" dxfId="1" priority="2" operator="containsText" text="Now">
      <formula>NOT(ISERROR(SEARCH(("Now"),(O2))))</formula>
    </cfRule>
  </conditionalFormatting>
  <conditionalFormatting sqref="O2:O170">
    <cfRule type="containsText" dxfId="2" priority="3" operator="containsText" text="Short">
      <formula>NOT(ISERROR(SEARCH(("Short"),(O2))))</formula>
    </cfRule>
  </conditionalFormatting>
  <conditionalFormatting sqref="O2:O170">
    <cfRule type="containsText" dxfId="3" priority="4" operator="containsText" text="Long">
      <formula>NOT(ISERROR(SEARCH(("Long"),(O2))))</formula>
    </cfRule>
  </conditionalFormatting>
  <dataValidations>
    <dataValidation type="list" allowBlank="1" sqref="F29 F39 F50:F51 F59 F72 F78 F83 F138 F150:F151 F154:F170">
      <formula1>"Cabernet Sauvignon,Cabernet Franc,Bordeaux Blend - Right Bank,Bordeaux Blend - Left Bank,Rhone Blend,Pinot Noir,Zinfandel,Merlot,Syrah,Petit Verdot,Rhone Blend,Chardonnay,Bordeaux Blanc,Sauvignon Blanc,Nebbiolo,Other"</formula1>
    </dataValidation>
    <dataValidation type="list" allowBlank="1" sqref="F2:F28 F30:F38 F40:F49 F52:F58 F60:F71 F73:F77 F79:F82 F84:F137 F139:F149 F152:F153">
      <formula1>"Cabernet Sauvignon,Cabernet Franc,Bordeaux Blend - Right Bank,Bordeaux Blend - Left Bank,Rhone Blend,Pinot Noir,Zinfandel,Merlot,Syrah,Petit Verdot,Rhone Blend,Chardonnay,Bordeaux Blanc,Sauvignon Blanc,Other"</formula1>
    </dataValidation>
    <dataValidation type="list" allowBlank="1" sqref="A2:A170">
      <formula1>"Red,White,Sparkling"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8.0"/>
    <col customWidth="1" min="3" max="3" width="36.0"/>
    <col customWidth="1" min="4" max="4" width="28.86"/>
  </cols>
  <sheetData>
    <row r="1">
      <c r="A1" s="89" t="s">
        <v>621</v>
      </c>
      <c r="B1" s="89" t="s">
        <v>622</v>
      </c>
      <c r="C1" s="89" t="s">
        <v>623</v>
      </c>
      <c r="D1" s="89" t="s">
        <v>624</v>
      </c>
      <c r="E1" s="89" t="s">
        <v>625</v>
      </c>
      <c r="F1" s="89" t="s">
        <v>626</v>
      </c>
      <c r="G1" s="89" t="s">
        <v>627</v>
      </c>
      <c r="H1" s="89" t="s">
        <v>628</v>
      </c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</row>
    <row r="2">
      <c r="A2" s="91" t="s">
        <v>37</v>
      </c>
      <c r="B2" s="92"/>
      <c r="C2" s="92"/>
      <c r="D2" s="92"/>
      <c r="E2" s="93"/>
      <c r="F2" s="93"/>
      <c r="G2" s="93"/>
      <c r="H2" s="93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</row>
    <row r="3">
      <c r="A3" s="94">
        <v>2016.0</v>
      </c>
      <c r="B3" s="95" t="s">
        <v>350</v>
      </c>
      <c r="C3" s="95" t="s">
        <v>609</v>
      </c>
      <c r="D3" s="95" t="s">
        <v>301</v>
      </c>
      <c r="E3" s="94">
        <v>55.0</v>
      </c>
      <c r="F3" s="94">
        <v>1.0</v>
      </c>
      <c r="G3" s="94">
        <v>6.0</v>
      </c>
      <c r="H3" s="94">
        <v>55.0</v>
      </c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</row>
    <row r="4">
      <c r="A4" s="91" t="s">
        <v>629</v>
      </c>
      <c r="B4" s="90"/>
      <c r="C4" s="90"/>
      <c r="D4" s="90"/>
      <c r="E4" s="96"/>
      <c r="F4" s="96"/>
      <c r="G4" s="96"/>
      <c r="H4" s="96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</row>
    <row r="5">
      <c r="A5" s="96">
        <v>2014.0</v>
      </c>
      <c r="B5" s="90" t="s">
        <v>44</v>
      </c>
      <c r="C5" s="90" t="s">
        <v>578</v>
      </c>
      <c r="D5" s="90" t="s">
        <v>103</v>
      </c>
      <c r="E5" s="96">
        <v>42.0</v>
      </c>
      <c r="F5" s="96">
        <v>1.0</v>
      </c>
      <c r="G5" s="96">
        <v>5.0</v>
      </c>
      <c r="H5" s="96">
        <v>42.0</v>
      </c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>
      <c r="A6" s="96">
        <v>2013.0</v>
      </c>
      <c r="B6" s="90" t="s">
        <v>44</v>
      </c>
      <c r="C6" s="90" t="s">
        <v>630</v>
      </c>
      <c r="D6" s="90" t="s">
        <v>631</v>
      </c>
      <c r="E6" s="96">
        <v>45.0</v>
      </c>
      <c r="F6" s="96">
        <v>1.0</v>
      </c>
      <c r="G6" s="96">
        <v>14.0</v>
      </c>
      <c r="H6" s="96">
        <v>45.0</v>
      </c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</row>
    <row r="7">
      <c r="A7" s="97" t="s">
        <v>407</v>
      </c>
      <c r="B7" s="90" t="s">
        <v>44</v>
      </c>
      <c r="C7" s="90" t="s">
        <v>46</v>
      </c>
      <c r="D7" s="90" t="s">
        <v>631</v>
      </c>
      <c r="E7" s="96">
        <v>60.0</v>
      </c>
      <c r="F7" s="96">
        <v>1.0</v>
      </c>
      <c r="G7" s="90"/>
      <c r="H7" s="96">
        <v>60.0</v>
      </c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</row>
    <row r="8">
      <c r="A8" s="91" t="s">
        <v>24</v>
      </c>
      <c r="B8" s="90"/>
      <c r="C8" s="90"/>
      <c r="D8" s="90"/>
      <c r="E8" s="96"/>
      <c r="F8" s="96"/>
      <c r="G8" s="96"/>
      <c r="H8" s="96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</row>
    <row r="9">
      <c r="A9" s="96">
        <v>2014.0</v>
      </c>
      <c r="B9" s="90" t="s">
        <v>235</v>
      </c>
      <c r="C9" s="90" t="s">
        <v>552</v>
      </c>
      <c r="D9" s="90" t="s">
        <v>205</v>
      </c>
      <c r="E9" s="96">
        <v>35.0</v>
      </c>
      <c r="F9" s="96">
        <v>1.0</v>
      </c>
      <c r="G9" s="96">
        <v>3.0</v>
      </c>
      <c r="H9" s="96">
        <v>35.0</v>
      </c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</row>
    <row r="10">
      <c r="A10" s="96">
        <v>2015.0</v>
      </c>
      <c r="B10" s="90" t="s">
        <v>129</v>
      </c>
      <c r="C10" s="90" t="s">
        <v>583</v>
      </c>
      <c r="D10" s="90" t="s">
        <v>197</v>
      </c>
      <c r="E10" s="96">
        <v>45.0</v>
      </c>
      <c r="F10" s="96">
        <v>1.0</v>
      </c>
      <c r="G10" s="96">
        <v>3.0</v>
      </c>
      <c r="H10" s="96">
        <v>45.0</v>
      </c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</row>
    <row r="11">
      <c r="A11" s="96">
        <v>2015.0</v>
      </c>
      <c r="B11" s="90" t="s">
        <v>415</v>
      </c>
      <c r="C11" s="90" t="s">
        <v>598</v>
      </c>
      <c r="D11" s="90" t="s">
        <v>205</v>
      </c>
      <c r="E11" s="96">
        <v>45.0</v>
      </c>
      <c r="F11" s="96">
        <v>1.0</v>
      </c>
      <c r="G11" s="96">
        <v>3.0</v>
      </c>
      <c r="H11" s="96">
        <v>45.0</v>
      </c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</row>
    <row r="12">
      <c r="A12" s="96">
        <v>2016.0</v>
      </c>
      <c r="B12" s="90" t="s">
        <v>632</v>
      </c>
      <c r="C12" s="90" t="s">
        <v>633</v>
      </c>
      <c r="D12" s="90" t="s">
        <v>197</v>
      </c>
      <c r="E12" s="96">
        <v>45.0</v>
      </c>
      <c r="F12" s="96">
        <v>1.0</v>
      </c>
      <c r="G12" s="96">
        <v>18.0</v>
      </c>
      <c r="H12" s="96">
        <v>45.0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</row>
    <row r="13">
      <c r="A13" s="98">
        <v>2013.0</v>
      </c>
      <c r="B13" s="98" t="s">
        <v>551</v>
      </c>
      <c r="C13" s="98" t="s">
        <v>126</v>
      </c>
      <c r="D13" s="98" t="s">
        <v>99</v>
      </c>
      <c r="E13" s="98">
        <v>55.0</v>
      </c>
      <c r="F13" s="98">
        <v>1.0</v>
      </c>
      <c r="G13" s="98">
        <v>1.0</v>
      </c>
      <c r="H13" s="66">
        <v>55.0</v>
      </c>
    </row>
    <row r="14">
      <c r="A14" s="69">
        <v>2015.0</v>
      </c>
      <c r="B14" s="69" t="s">
        <v>551</v>
      </c>
      <c r="C14" s="69" t="s">
        <v>634</v>
      </c>
      <c r="D14" s="69" t="s">
        <v>197</v>
      </c>
      <c r="E14" s="69">
        <v>50.0</v>
      </c>
      <c r="F14" s="69">
        <v>1.0</v>
      </c>
      <c r="G14" s="69">
        <v>18.0</v>
      </c>
      <c r="H14" s="69">
        <v>50.0</v>
      </c>
    </row>
    <row r="15">
      <c r="A15" s="69">
        <v>2013.0</v>
      </c>
      <c r="B15" s="76" t="s">
        <v>551</v>
      </c>
      <c r="C15" s="78" t="s">
        <v>126</v>
      </c>
      <c r="D15" s="76" t="s">
        <v>99</v>
      </c>
      <c r="E15" s="97">
        <v>55.0</v>
      </c>
      <c r="F15" s="96"/>
      <c r="G15" s="96"/>
      <c r="H15" s="96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</row>
    <row r="16">
      <c r="A16" s="69">
        <v>2019.0</v>
      </c>
      <c r="B16" s="76" t="s">
        <v>191</v>
      </c>
      <c r="C16" s="78" t="s">
        <v>387</v>
      </c>
      <c r="D16" s="76" t="s">
        <v>386</v>
      </c>
      <c r="E16" s="76">
        <v>60.0</v>
      </c>
      <c r="F16" s="76">
        <v>5.0</v>
      </c>
      <c r="G16" s="76" t="s">
        <v>568</v>
      </c>
      <c r="H16" s="76"/>
    </row>
    <row r="17">
      <c r="A17" s="69">
        <v>2009.0</v>
      </c>
      <c r="B17" s="76" t="s">
        <v>635</v>
      </c>
      <c r="C17" s="78" t="s">
        <v>73</v>
      </c>
      <c r="D17" s="76" t="s">
        <v>521</v>
      </c>
      <c r="E17" s="76">
        <v>60.0</v>
      </c>
      <c r="F17" s="76">
        <v>3.0</v>
      </c>
      <c r="G17" s="76">
        <v>7.0</v>
      </c>
      <c r="H17" s="79">
        <f>E17*F17</f>
        <v>180</v>
      </c>
      <c r="J17" s="80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</row>
    <row r="18">
      <c r="A18" s="94">
        <v>2013.0</v>
      </c>
      <c r="B18" s="95" t="s">
        <v>636</v>
      </c>
      <c r="C18" s="95" t="s">
        <v>637</v>
      </c>
      <c r="D18" s="95" t="s">
        <v>638</v>
      </c>
      <c r="E18" s="94">
        <v>50.0</v>
      </c>
      <c r="F18" s="94">
        <v>1.0</v>
      </c>
      <c r="G18" s="94">
        <v>18.0</v>
      </c>
      <c r="H18" s="94">
        <v>50.0</v>
      </c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</row>
    <row r="19">
      <c r="A19" s="94">
        <v>2006.0</v>
      </c>
      <c r="B19" s="95" t="s">
        <v>639</v>
      </c>
      <c r="C19" s="95" t="s">
        <v>594</v>
      </c>
      <c r="D19" s="95" t="s">
        <v>531</v>
      </c>
      <c r="E19" s="94">
        <v>60.0</v>
      </c>
      <c r="F19" s="94">
        <v>1.0</v>
      </c>
      <c r="G19" s="94">
        <v>28.0</v>
      </c>
      <c r="H19" s="94">
        <v>60.0</v>
      </c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0"/>
    <col customWidth="1" min="3" max="3" width="21.71"/>
    <col customWidth="1" min="4" max="4" width="16.57"/>
  </cols>
  <sheetData>
    <row r="1">
      <c r="A1" s="99"/>
      <c r="B1" s="99"/>
      <c r="C1" s="99"/>
      <c r="D1" s="99"/>
      <c r="E1" s="99"/>
    </row>
    <row r="2">
      <c r="A2" s="99" t="s">
        <v>621</v>
      </c>
      <c r="B2" s="99" t="s">
        <v>624</v>
      </c>
      <c r="C2" s="99" t="s">
        <v>623</v>
      </c>
      <c r="D2" s="99" t="s">
        <v>622</v>
      </c>
      <c r="E2" s="99" t="s">
        <v>625</v>
      </c>
    </row>
    <row r="3">
      <c r="A3" s="64">
        <v>2016.0</v>
      </c>
      <c r="B3" s="69" t="s">
        <v>84</v>
      </c>
      <c r="C3" s="100" t="s">
        <v>152</v>
      </c>
      <c r="D3" s="69" t="s">
        <v>551</v>
      </c>
      <c r="E3" s="101">
        <v>185.0</v>
      </c>
      <c r="J3" s="66" t="str">
        <f t="shared" ref="J3:J176" si="1">join(", ",A3:D3)</f>
        <v>2016, Hall Wines, Bergfeld, Cab Sauv</v>
      </c>
    </row>
    <row r="4">
      <c r="A4" s="64">
        <v>2016.0</v>
      </c>
      <c r="B4" s="69" t="s">
        <v>84</v>
      </c>
      <c r="C4" s="100" t="s">
        <v>120</v>
      </c>
      <c r="D4" s="69" t="s">
        <v>551</v>
      </c>
      <c r="E4" s="101">
        <v>185.0</v>
      </c>
      <c r="J4" s="66" t="str">
        <f t="shared" si="1"/>
        <v>2016, Hall Wines, Diamond Mountain Vineyard, Cab Sauv</v>
      </c>
    </row>
    <row r="5">
      <c r="A5" s="102">
        <v>2014.0</v>
      </c>
      <c r="B5" s="103" t="s">
        <v>84</v>
      </c>
      <c r="C5" s="104" t="s">
        <v>201</v>
      </c>
      <c r="D5" s="103" t="s">
        <v>551</v>
      </c>
      <c r="E5" s="105">
        <v>80.0</v>
      </c>
      <c r="F5" s="106"/>
      <c r="G5" s="106" t="str">
        <f>CONCATENATE(A5," ",B5," ", " ''",C5,"'' ", " - ","$",E5)</f>
        <v>2014 Hall Wines  ''Ellie's''  - $80</v>
      </c>
      <c r="H5" s="106"/>
      <c r="I5" s="106"/>
      <c r="J5" s="66" t="str">
        <f t="shared" si="1"/>
        <v>2014, Hall Wines, Ellie's, Cab Sauv</v>
      </c>
    </row>
    <row r="6">
      <c r="A6" s="64">
        <v>2013.0</v>
      </c>
      <c r="B6" s="69" t="s">
        <v>99</v>
      </c>
      <c r="C6" s="100" t="s">
        <v>120</v>
      </c>
      <c r="D6" s="69" t="s">
        <v>551</v>
      </c>
      <c r="E6" s="101">
        <v>120.0</v>
      </c>
      <c r="J6" s="66" t="str">
        <f t="shared" si="1"/>
        <v>2013, Sterling Vineyards, Diamond Mountain Vineyard, Cab Sauv</v>
      </c>
    </row>
    <row r="7">
      <c r="A7" s="64">
        <v>2014.0</v>
      </c>
      <c r="B7" s="69" t="s">
        <v>99</v>
      </c>
      <c r="C7" s="100" t="s">
        <v>120</v>
      </c>
      <c r="D7" s="69" t="s">
        <v>551</v>
      </c>
      <c r="E7" s="101">
        <v>120.0</v>
      </c>
      <c r="J7" s="66" t="str">
        <f t="shared" si="1"/>
        <v>2014, Sterling Vineyards, Diamond Mountain Vineyard, Cab Sauv</v>
      </c>
    </row>
    <row r="8">
      <c r="A8" s="64">
        <v>2014.0</v>
      </c>
      <c r="B8" s="69" t="s">
        <v>99</v>
      </c>
      <c r="C8" s="100" t="s">
        <v>535</v>
      </c>
      <c r="D8" s="69" t="s">
        <v>551</v>
      </c>
      <c r="E8" s="101">
        <v>85.0</v>
      </c>
      <c r="J8" s="66" t="str">
        <f t="shared" si="1"/>
        <v>2014, Sterling Vineyards, Platninum Cab Sauv, Cab Sauv</v>
      </c>
    </row>
    <row r="9">
      <c r="A9" s="64">
        <v>2016.0</v>
      </c>
      <c r="B9" s="69" t="s">
        <v>99</v>
      </c>
      <c r="C9" s="100" t="s">
        <v>582</v>
      </c>
      <c r="D9" s="69" t="s">
        <v>632</v>
      </c>
      <c r="E9" s="101">
        <v>75.0</v>
      </c>
      <c r="J9" s="66" t="str">
        <f t="shared" si="1"/>
        <v>2016, Sterling Vineyards, Reserve Cab Franc, Cab Franc</v>
      </c>
    </row>
    <row r="10">
      <c r="A10" s="64">
        <v>2013.0</v>
      </c>
      <c r="B10" s="69" t="s">
        <v>99</v>
      </c>
      <c r="C10" s="100" t="s">
        <v>126</v>
      </c>
      <c r="D10" s="69" t="s">
        <v>551</v>
      </c>
      <c r="E10" s="101">
        <v>55.0</v>
      </c>
      <c r="J10" s="66" t="str">
        <f t="shared" si="1"/>
        <v>2013, Sterling Vineyards, Rutherford, Cab Sauv</v>
      </c>
    </row>
    <row r="11">
      <c r="A11" s="64">
        <v>2014.0</v>
      </c>
      <c r="B11" s="69" t="s">
        <v>99</v>
      </c>
      <c r="C11" s="100" t="s">
        <v>102</v>
      </c>
      <c r="D11" s="69" t="s">
        <v>551</v>
      </c>
      <c r="E11" s="101">
        <v>140.0</v>
      </c>
      <c r="J11" s="66" t="str">
        <f t="shared" si="1"/>
        <v>2014, Sterling Vineyards, Yates Family Vineyard, Cab Sauv</v>
      </c>
    </row>
    <row r="12">
      <c r="A12" s="64">
        <v>2013.0</v>
      </c>
      <c r="B12" s="69" t="s">
        <v>99</v>
      </c>
      <c r="C12" s="100" t="s">
        <v>533</v>
      </c>
      <c r="D12" s="69" t="s">
        <v>551</v>
      </c>
      <c r="E12" s="101">
        <v>85.0</v>
      </c>
      <c r="J12" s="66" t="str">
        <f t="shared" si="1"/>
        <v>2013, Sterling Vineyards, Platninum Napa Valley Cab Sauv, Cab Sauv</v>
      </c>
    </row>
    <row r="13">
      <c r="A13" s="64">
        <v>2015.0</v>
      </c>
      <c r="B13" s="69" t="s">
        <v>205</v>
      </c>
      <c r="C13" s="100" t="s">
        <v>214</v>
      </c>
      <c r="D13" s="69" t="s">
        <v>551</v>
      </c>
      <c r="E13" s="101">
        <v>55.0</v>
      </c>
      <c r="J13" s="66" t="str">
        <f t="shared" si="1"/>
        <v>2015, Silverado, Estate Grown Cab Sauv, Cab Sauv</v>
      </c>
    </row>
    <row r="14">
      <c r="A14" s="64">
        <v>2016.0</v>
      </c>
      <c r="B14" s="69" t="s">
        <v>205</v>
      </c>
      <c r="C14" s="100" t="s">
        <v>214</v>
      </c>
      <c r="D14" s="69" t="s">
        <v>551</v>
      </c>
      <c r="E14" s="101">
        <v>55.0</v>
      </c>
      <c r="J14" s="66" t="str">
        <f t="shared" si="1"/>
        <v>2016, Silverado, Estate Grown Cab Sauv, Cab Sauv</v>
      </c>
    </row>
    <row r="15">
      <c r="A15" s="64">
        <v>2016.0</v>
      </c>
      <c r="B15" s="69" t="s">
        <v>205</v>
      </c>
      <c r="C15" s="100" t="s">
        <v>206</v>
      </c>
      <c r="D15" s="69" t="s">
        <v>551</v>
      </c>
      <c r="E15" s="101">
        <v>100.0</v>
      </c>
      <c r="J15" s="66" t="str">
        <f t="shared" si="1"/>
        <v>2016, Silverado, Geo, Cab Sauv</v>
      </c>
    </row>
    <row r="16">
      <c r="A16" s="64">
        <v>2014.0</v>
      </c>
      <c r="B16" s="69" t="s">
        <v>205</v>
      </c>
      <c r="C16" s="100" t="s">
        <v>280</v>
      </c>
      <c r="D16" s="69" t="s">
        <v>632</v>
      </c>
      <c r="E16" s="101">
        <v>55.0</v>
      </c>
      <c r="J16" s="66" t="str">
        <f t="shared" si="1"/>
        <v>2014, Silverado, Mt. George Cab Franc, Cab Franc</v>
      </c>
    </row>
    <row r="17">
      <c r="A17" s="102">
        <v>2015.0</v>
      </c>
      <c r="B17" s="103" t="s">
        <v>205</v>
      </c>
      <c r="C17" s="104" t="s">
        <v>280</v>
      </c>
      <c r="D17" s="103" t="s">
        <v>632</v>
      </c>
      <c r="E17" s="105">
        <v>50.0</v>
      </c>
      <c r="F17" s="106"/>
      <c r="G17" s="106" t="str">
        <f t="shared" ref="G17:G18" si="2">CONCATENATE(A17," ",B17," ", " ''",C17,"'' ", " - ","$",E17)</f>
        <v>2015 Silverado  ''Mt. George Cab Franc''  - $50</v>
      </c>
      <c r="H17" s="106"/>
      <c r="I17" s="106"/>
      <c r="J17" s="66" t="str">
        <f t="shared" si="1"/>
        <v>2015, Silverado, Mt. George Cab Franc, Cab Franc</v>
      </c>
    </row>
    <row r="18">
      <c r="A18" s="102">
        <v>2015.0</v>
      </c>
      <c r="B18" s="103" t="s">
        <v>205</v>
      </c>
      <c r="C18" s="104" t="s">
        <v>598</v>
      </c>
      <c r="D18" s="103" t="s">
        <v>415</v>
      </c>
      <c r="E18" s="105">
        <v>45.0</v>
      </c>
      <c r="F18" s="106"/>
      <c r="G18" s="106" t="str">
        <f t="shared" si="2"/>
        <v>2015 Silverado  ''Mt. George Malbec''  - $45</v>
      </c>
      <c r="H18" s="106"/>
      <c r="I18" s="106"/>
      <c r="J18" s="66" t="str">
        <f t="shared" si="1"/>
        <v>2015, Silverado, Mt. George Malbec, Malbec</v>
      </c>
    </row>
    <row r="19">
      <c r="A19" s="64">
        <v>2013.0</v>
      </c>
      <c r="B19" s="69" t="s">
        <v>205</v>
      </c>
      <c r="C19" s="100" t="s">
        <v>123</v>
      </c>
      <c r="D19" s="69" t="s">
        <v>551</v>
      </c>
      <c r="E19" s="101">
        <v>90.0</v>
      </c>
      <c r="J19" s="66" t="str">
        <f t="shared" si="1"/>
        <v>2013, Silverado, Oakville Station, Cab Sauv</v>
      </c>
    </row>
    <row r="20">
      <c r="A20" s="64">
        <v>2016.0</v>
      </c>
      <c r="B20" s="69" t="s">
        <v>205</v>
      </c>
      <c r="C20" s="100" t="s">
        <v>603</v>
      </c>
      <c r="D20" s="69" t="s">
        <v>235</v>
      </c>
      <c r="E20" s="101">
        <v>60.0</v>
      </c>
      <c r="J20" s="66" t="str">
        <f t="shared" si="1"/>
        <v>2016, Silverado, Stags Leap District Merlot, Merlot</v>
      </c>
    </row>
    <row r="21">
      <c r="A21" s="64">
        <v>2015.0</v>
      </c>
      <c r="B21" s="69" t="s">
        <v>170</v>
      </c>
      <c r="C21" s="100" t="s">
        <v>389</v>
      </c>
      <c r="D21" s="69" t="s">
        <v>390</v>
      </c>
      <c r="E21" s="101">
        <v>125.0</v>
      </c>
      <c r="J21" s="66" t="str">
        <f t="shared" si="1"/>
        <v>2015, Grgich Hills, Old Vine Zinfandel, Zinfandel</v>
      </c>
    </row>
    <row r="22">
      <c r="A22" s="64">
        <v>2015.0</v>
      </c>
      <c r="B22" s="69" t="s">
        <v>170</v>
      </c>
      <c r="C22" s="100" t="s">
        <v>126</v>
      </c>
      <c r="D22" s="69" t="s">
        <v>551</v>
      </c>
      <c r="E22" s="101">
        <v>72.0</v>
      </c>
      <c r="J22" s="66" t="str">
        <f t="shared" si="1"/>
        <v>2015, Grgich Hills, Rutherford, Cab Sauv</v>
      </c>
    </row>
    <row r="23">
      <c r="A23" s="64"/>
      <c r="B23" s="69" t="s">
        <v>640</v>
      </c>
      <c r="C23" s="100" t="s">
        <v>641</v>
      </c>
      <c r="D23" s="69" t="s">
        <v>636</v>
      </c>
      <c r="E23" s="101">
        <v>130.0</v>
      </c>
      <c r="J23" s="66" t="str">
        <f t="shared" si="1"/>
        <v>, Opus One, Overture, Red Blend</v>
      </c>
    </row>
    <row r="24">
      <c r="A24" s="64">
        <v>2015.0</v>
      </c>
      <c r="B24" s="69" t="s">
        <v>197</v>
      </c>
      <c r="C24" s="100" t="s">
        <v>599</v>
      </c>
      <c r="D24" s="69" t="s">
        <v>551</v>
      </c>
      <c r="E24" s="101">
        <v>75.0</v>
      </c>
      <c r="J24" s="66" t="str">
        <f t="shared" si="1"/>
        <v>2015, Sequoia Grove, Rutherford Bench Reserve, Cab Sauv</v>
      </c>
    </row>
    <row r="25">
      <c r="A25" s="64">
        <v>2015.0</v>
      </c>
      <c r="B25" s="69" t="s">
        <v>197</v>
      </c>
      <c r="C25" s="100" t="s">
        <v>583</v>
      </c>
      <c r="D25" s="69" t="s">
        <v>129</v>
      </c>
      <c r="E25" s="101">
        <v>45.0</v>
      </c>
      <c r="J25" s="66" t="str">
        <f t="shared" si="1"/>
        <v>2015, Sequoia Grove, Winemakers Series Syrah, Syrah</v>
      </c>
    </row>
    <row r="26">
      <c r="A26" s="64">
        <v>2016.0</v>
      </c>
      <c r="B26" s="69" t="s">
        <v>197</v>
      </c>
      <c r="C26" s="100" t="s">
        <v>583</v>
      </c>
      <c r="D26" s="69" t="s">
        <v>129</v>
      </c>
      <c r="E26" s="101">
        <v>45.0</v>
      </c>
      <c r="J26" s="66" t="str">
        <f t="shared" si="1"/>
        <v>2016, Sequoia Grove, Winemakers Series Syrah, Syrah</v>
      </c>
    </row>
    <row r="27">
      <c r="A27" s="64">
        <v>2016.0</v>
      </c>
      <c r="B27" s="69" t="s">
        <v>205</v>
      </c>
      <c r="C27" s="100" t="s">
        <v>280</v>
      </c>
      <c r="D27" s="69" t="s">
        <v>632</v>
      </c>
      <c r="E27" s="101">
        <v>50.0</v>
      </c>
      <c r="J27" s="66" t="str">
        <f t="shared" si="1"/>
        <v>2016, Silverado, Mt. George Cab Franc, Cab Franc</v>
      </c>
    </row>
    <row r="28">
      <c r="A28" s="64">
        <v>2015.0</v>
      </c>
      <c r="B28" s="69" t="s">
        <v>205</v>
      </c>
      <c r="C28" s="100" t="s">
        <v>598</v>
      </c>
      <c r="D28" s="69" t="s">
        <v>415</v>
      </c>
      <c r="E28" s="101">
        <v>45.0</v>
      </c>
      <c r="J28" s="66" t="str">
        <f t="shared" si="1"/>
        <v>2015, Silverado, Mt. George Malbec, Malbec</v>
      </c>
    </row>
    <row r="29">
      <c r="A29" s="64">
        <v>2014.0</v>
      </c>
      <c r="B29" s="69" t="s">
        <v>205</v>
      </c>
      <c r="C29" s="100" t="s">
        <v>552</v>
      </c>
      <c r="D29" s="69" t="s">
        <v>235</v>
      </c>
      <c r="E29" s="101">
        <v>35.0</v>
      </c>
      <c r="J29" s="66" t="str">
        <f t="shared" si="1"/>
        <v>2014, Silverado, Mt. George Merlot, Merlot</v>
      </c>
    </row>
    <row r="30">
      <c r="A30" s="102">
        <v>2016.0</v>
      </c>
      <c r="B30" s="103" t="s">
        <v>205</v>
      </c>
      <c r="C30" s="104" t="s">
        <v>604</v>
      </c>
      <c r="D30" s="103" t="s">
        <v>390</v>
      </c>
      <c r="E30" s="105">
        <v>45.0</v>
      </c>
      <c r="F30" s="106"/>
      <c r="G30" s="106" t="str">
        <f>CONCATENATE(A30," ",B30," ", " ''",C30,"'' ", " - ","$",E30)</f>
        <v>2016 Silverado  ''Soda Creek Zinfandel''  - $45</v>
      </c>
      <c r="H30" s="106"/>
      <c r="I30" s="106"/>
      <c r="J30" s="66" t="str">
        <f t="shared" si="1"/>
        <v>2016, Silverado, Soda Creek Zinfandel, Zinfandel</v>
      </c>
    </row>
    <row r="31">
      <c r="A31" s="64">
        <v>2015.0</v>
      </c>
      <c r="B31" s="69" t="s">
        <v>205</v>
      </c>
      <c r="C31" s="100" t="s">
        <v>181</v>
      </c>
      <c r="D31" s="69" t="s">
        <v>551</v>
      </c>
      <c r="E31" s="101">
        <v>125.0</v>
      </c>
      <c r="J31" s="66" t="str">
        <f t="shared" si="1"/>
        <v>2015, Silverado, Solo, Cab Sauv</v>
      </c>
    </row>
    <row r="32">
      <c r="A32" s="64">
        <v>2009.0</v>
      </c>
      <c r="B32" s="69" t="s">
        <v>103</v>
      </c>
      <c r="C32" s="100" t="s">
        <v>520</v>
      </c>
      <c r="D32" s="69" t="s">
        <v>44</v>
      </c>
      <c r="E32" s="101">
        <v>120.0</v>
      </c>
      <c r="J32" s="66" t="str">
        <f t="shared" si="1"/>
        <v>2009, Domaine Carneros, La Reve Late Disgorged, Sparkling</v>
      </c>
    </row>
    <row r="33">
      <c r="A33" s="102">
        <v>2014.0</v>
      </c>
      <c r="B33" s="103" t="s">
        <v>103</v>
      </c>
      <c r="C33" s="104" t="s">
        <v>578</v>
      </c>
      <c r="D33" s="103" t="s">
        <v>629</v>
      </c>
      <c r="E33" s="105">
        <v>42.0</v>
      </c>
      <c r="F33" s="106"/>
      <c r="G33" s="106" t="str">
        <f>CONCATENATE(A33," ",B33," ", " ''",C33,"'' ", " - ","$",E33)</f>
        <v>2014 Domaine Carneros  ''Rosé''  - $42</v>
      </c>
      <c r="H33" s="106"/>
      <c r="I33" s="106"/>
      <c r="J33" s="66" t="str">
        <f t="shared" si="1"/>
        <v>2014, Domaine Carneros, Rosé, Sparkling </v>
      </c>
    </row>
    <row r="34">
      <c r="A34" s="64">
        <v>2015.0</v>
      </c>
      <c r="B34" s="69" t="s">
        <v>103</v>
      </c>
      <c r="C34" s="100" t="s">
        <v>578</v>
      </c>
      <c r="D34" s="69" t="s">
        <v>629</v>
      </c>
      <c r="E34" s="101">
        <v>42.0</v>
      </c>
      <c r="J34" s="66" t="str">
        <f t="shared" si="1"/>
        <v>2015, Domaine Carneros, Rosé, Sparkling </v>
      </c>
    </row>
    <row r="35">
      <c r="A35" s="64">
        <v>2014.0</v>
      </c>
      <c r="B35" s="69" t="s">
        <v>103</v>
      </c>
      <c r="C35" s="100" t="s">
        <v>538</v>
      </c>
      <c r="D35" s="69" t="s">
        <v>44</v>
      </c>
      <c r="E35" s="101">
        <v>45.0</v>
      </c>
      <c r="J35" s="66" t="str">
        <f t="shared" si="1"/>
        <v>2014, Domaine Carneros, Ultra Brut, Sparkling</v>
      </c>
    </row>
    <row r="36">
      <c r="A36" s="64">
        <v>2015.0</v>
      </c>
      <c r="B36" s="69" t="s">
        <v>103</v>
      </c>
      <c r="C36" s="100" t="s">
        <v>538</v>
      </c>
      <c r="D36" s="69" t="s">
        <v>44</v>
      </c>
      <c r="E36" s="101">
        <v>45.0</v>
      </c>
      <c r="J36" s="66" t="str">
        <f t="shared" si="1"/>
        <v>2015, Domaine Carneros, Ultra Brut, Sparkling</v>
      </c>
    </row>
    <row r="37">
      <c r="A37" s="102">
        <v>2012.0</v>
      </c>
      <c r="B37" s="103" t="s">
        <v>103</v>
      </c>
      <c r="C37" s="104" t="s">
        <v>162</v>
      </c>
      <c r="D37" s="103" t="s">
        <v>44</v>
      </c>
      <c r="E37" s="105">
        <v>57.0</v>
      </c>
      <c r="F37" s="106"/>
      <c r="G37" s="106" t="str">
        <f>CONCATENATE(A37," ",B37," ", " ''",C37,"'' ", " - ","$",E37)</f>
        <v>2012 Domaine Carneros  ''Estate Cuvee Late Disgorged''  - $57</v>
      </c>
      <c r="H37" s="106"/>
      <c r="I37" s="106"/>
      <c r="J37" s="66" t="str">
        <f t="shared" si="1"/>
        <v>2012, Domaine Carneros, Estate Cuvee Late Disgorged, Sparkling</v>
      </c>
    </row>
    <row r="38">
      <c r="A38" s="64">
        <v>2012.0</v>
      </c>
      <c r="B38" s="69" t="s">
        <v>103</v>
      </c>
      <c r="C38" s="100" t="s">
        <v>577</v>
      </c>
      <c r="D38" s="69" t="s">
        <v>44</v>
      </c>
      <c r="E38" s="101">
        <v>60.0</v>
      </c>
      <c r="J38" s="66" t="str">
        <f t="shared" si="1"/>
        <v>2012, Domaine Carneros, Jardin D'Hiver Ultra Brut, Sparkling</v>
      </c>
    </row>
    <row r="39">
      <c r="A39" s="64">
        <v>2013.0</v>
      </c>
      <c r="B39" s="69" t="s">
        <v>103</v>
      </c>
      <c r="C39" s="100" t="s">
        <v>104</v>
      </c>
      <c r="D39" s="69" t="s">
        <v>44</v>
      </c>
      <c r="E39" s="101">
        <v>115.0</v>
      </c>
      <c r="J39" s="66" t="str">
        <f t="shared" si="1"/>
        <v>2013, Domaine Carneros, La Reve Rosé, Sparkling</v>
      </c>
    </row>
    <row r="40">
      <c r="A40" s="102">
        <v>2014.0</v>
      </c>
      <c r="B40" s="103" t="s">
        <v>103</v>
      </c>
      <c r="C40" s="104" t="s">
        <v>578</v>
      </c>
      <c r="D40" s="103" t="s">
        <v>629</v>
      </c>
      <c r="E40" s="105">
        <v>42.0</v>
      </c>
      <c r="F40" s="106"/>
      <c r="G40" s="106" t="str">
        <f>CONCATENATE(A40," ",B40," ", " ''",C40,"'' ", " - ","$",E40)</f>
        <v>2014 Domaine Carneros  ''Rosé''  - $42</v>
      </c>
      <c r="H40" s="106"/>
      <c r="I40" s="106"/>
      <c r="J40" s="66" t="str">
        <f t="shared" si="1"/>
        <v>2014, Domaine Carneros, Rosé, Sparkling </v>
      </c>
    </row>
    <row r="41">
      <c r="A41" s="64">
        <v>2013.0</v>
      </c>
      <c r="B41" s="69" t="s">
        <v>103</v>
      </c>
      <c r="C41" s="100" t="s">
        <v>538</v>
      </c>
      <c r="D41" s="69" t="s">
        <v>44</v>
      </c>
      <c r="E41" s="101">
        <v>45.0</v>
      </c>
      <c r="J41" s="66" t="str">
        <f t="shared" si="1"/>
        <v>2013, Domaine Carneros, Ultra Brut, Sparkling</v>
      </c>
    </row>
    <row r="42">
      <c r="A42" s="64">
        <v>2016.0</v>
      </c>
      <c r="B42" s="69" t="s">
        <v>189</v>
      </c>
      <c r="C42" s="100" t="s">
        <v>250</v>
      </c>
      <c r="D42" s="69" t="s">
        <v>629</v>
      </c>
      <c r="E42" s="101">
        <v>65.0</v>
      </c>
      <c r="J42" s="66" t="str">
        <f t="shared" si="1"/>
        <v>2016, Goldeneye Winery, Brut Rosé, Sparkling </v>
      </c>
    </row>
    <row r="43">
      <c r="A43" s="64">
        <v>2016.0</v>
      </c>
      <c r="B43" s="69" t="s">
        <v>189</v>
      </c>
      <c r="C43" s="100" t="s">
        <v>190</v>
      </c>
      <c r="D43" s="69" t="s">
        <v>191</v>
      </c>
      <c r="E43" s="101">
        <v>86.0</v>
      </c>
      <c r="J43" s="66" t="str">
        <f t="shared" si="1"/>
        <v>2016, Goldeneye Winery, Confluence Vineyard, Pinot Noir</v>
      </c>
    </row>
    <row r="44">
      <c r="A44" s="102">
        <v>2016.0</v>
      </c>
      <c r="B44" s="103" t="s">
        <v>301</v>
      </c>
      <c r="C44" s="104" t="s">
        <v>610</v>
      </c>
      <c r="D44" s="103" t="s">
        <v>191</v>
      </c>
      <c r="E44" s="105">
        <v>45.0</v>
      </c>
      <c r="F44" s="106"/>
      <c r="G44" s="106" t="str">
        <f>CONCATENATE(A44," ",B44," ", " ''",C44,"'' ", " - ","$",E44)</f>
        <v>2016 Walt Wines  ''Blue Jay''  - $45</v>
      </c>
      <c r="H44" s="106"/>
      <c r="I44" s="106"/>
      <c r="J44" s="66" t="str">
        <f t="shared" si="1"/>
        <v>2016, Walt Wines, Blue Jay, Pinot Noir</v>
      </c>
    </row>
    <row r="45">
      <c r="A45" s="64">
        <v>2016.0</v>
      </c>
      <c r="B45" s="69" t="s">
        <v>301</v>
      </c>
      <c r="C45" s="100" t="s">
        <v>609</v>
      </c>
      <c r="D45" s="69" t="s">
        <v>350</v>
      </c>
      <c r="E45" s="101">
        <v>55.0</v>
      </c>
      <c r="J45" s="66" t="str">
        <f t="shared" si="1"/>
        <v>2016, Walt Wines, Sangiacomo, Chardonnay</v>
      </c>
    </row>
    <row r="46">
      <c r="A46" s="64">
        <v>2016.0</v>
      </c>
      <c r="B46" s="69" t="s">
        <v>301</v>
      </c>
      <c r="C46" s="100" t="s">
        <v>302</v>
      </c>
      <c r="D46" s="69" t="s">
        <v>191</v>
      </c>
      <c r="E46" s="101">
        <v>75.0</v>
      </c>
      <c r="J46" s="66" t="str">
        <f t="shared" si="1"/>
        <v>2016, Walt Wines, Sierra Mar, Pinot Noir</v>
      </c>
    </row>
    <row r="47">
      <c r="A47" s="102">
        <v>2005.0</v>
      </c>
      <c r="B47" s="103" t="s">
        <v>521</v>
      </c>
      <c r="C47" s="104" t="s">
        <v>75</v>
      </c>
      <c r="D47" s="103" t="s">
        <v>635</v>
      </c>
      <c r="E47" s="105">
        <v>55.0</v>
      </c>
      <c r="F47" s="106"/>
      <c r="G47" s="106" t="str">
        <f>CONCATENATE(A47," ",B47," ", " ''",C47,"'' ", " - ","$",E47)</f>
        <v>2005 Chateau Dufort Vivens   ''-''  - $55</v>
      </c>
      <c r="H47" s="106"/>
      <c r="I47" s="106"/>
      <c r="J47" s="66" t="str">
        <f t="shared" si="1"/>
        <v>2005, Chateau Dufort Vivens , -, Bordeaux Blend </v>
      </c>
    </row>
    <row r="48">
      <c r="A48" s="64">
        <v>2009.0</v>
      </c>
      <c r="B48" s="69" t="s">
        <v>521</v>
      </c>
      <c r="C48" s="100" t="s">
        <v>73</v>
      </c>
      <c r="D48" s="69" t="s">
        <v>635</v>
      </c>
      <c r="E48" s="101">
        <v>60.0</v>
      </c>
      <c r="J48" s="66" t="str">
        <f t="shared" si="1"/>
        <v>2009, Chateau Dufort Vivens , Le Relais de Durfort Vivens, Bordeaux Blend </v>
      </c>
    </row>
    <row r="49">
      <c r="A49" s="64">
        <v>2010.0</v>
      </c>
      <c r="B49" s="69" t="s">
        <v>521</v>
      </c>
      <c r="C49" s="100" t="s">
        <v>73</v>
      </c>
      <c r="D49" s="69" t="s">
        <v>635</v>
      </c>
      <c r="E49" s="101">
        <v>30.0</v>
      </c>
      <c r="J49" s="66" t="str">
        <f t="shared" si="1"/>
        <v>2010, Chateau Dufort Vivens , Le Relais de Durfort Vivens, Bordeaux Blend </v>
      </c>
    </row>
    <row r="50">
      <c r="A50" s="64">
        <v>2013.0</v>
      </c>
      <c r="B50" s="69" t="s">
        <v>95</v>
      </c>
      <c r="C50" s="100" t="s">
        <v>96</v>
      </c>
      <c r="D50" s="69" t="s">
        <v>636</v>
      </c>
      <c r="E50" s="101">
        <v>75.0</v>
      </c>
      <c r="J50" s="66" t="str">
        <f t="shared" si="1"/>
        <v>2013, Trinite Estate, Acaibo, Red Blend</v>
      </c>
    </row>
    <row r="51">
      <c r="A51" s="102">
        <v>2013.0</v>
      </c>
      <c r="B51" s="103" t="s">
        <v>95</v>
      </c>
      <c r="C51" s="104" t="s">
        <v>168</v>
      </c>
      <c r="D51" s="103" t="s">
        <v>636</v>
      </c>
      <c r="E51" s="105">
        <v>50.0</v>
      </c>
      <c r="F51" s="106"/>
      <c r="G51" s="106" t="str">
        <f t="shared" ref="G51:G52" si="3">CONCATENATE(A51," ",B51," ", " ''",C51,"'' ", " - ","$",E51)</f>
        <v>2013 Trinite Estate  ''Amaino''  - $50</v>
      </c>
      <c r="H51" s="106"/>
      <c r="I51" s="106"/>
      <c r="J51" s="66" t="str">
        <f t="shared" si="1"/>
        <v>2013, Trinite Estate, Amaino, Red Blend</v>
      </c>
    </row>
    <row r="52">
      <c r="A52" s="102">
        <v>2008.0</v>
      </c>
      <c r="B52" s="103" t="s">
        <v>642</v>
      </c>
      <c r="C52" s="104" t="s">
        <v>75</v>
      </c>
      <c r="D52" s="103" t="s">
        <v>635</v>
      </c>
      <c r="E52" s="105">
        <v>45.0</v>
      </c>
      <c r="F52" s="106"/>
      <c r="G52" s="106" t="str">
        <f t="shared" si="3"/>
        <v>2008 Chateau Ferriere  ''-''  - $45</v>
      </c>
      <c r="H52" s="106"/>
      <c r="I52" s="106"/>
      <c r="J52" s="66" t="str">
        <f t="shared" si="1"/>
        <v>2008, Chateau Ferriere, -, Bordeaux Blend </v>
      </c>
    </row>
    <row r="53">
      <c r="A53" s="64">
        <v>2016.0</v>
      </c>
      <c r="B53" s="69" t="s">
        <v>229</v>
      </c>
      <c r="C53" s="100" t="s">
        <v>606</v>
      </c>
      <c r="D53" s="69" t="s">
        <v>350</v>
      </c>
      <c r="E53" s="101">
        <v>60.0</v>
      </c>
      <c r="J53" s="66" t="str">
        <f t="shared" si="1"/>
        <v>2016, Chateau Potelle, Chardonnay , Chardonnay</v>
      </c>
    </row>
    <row r="54">
      <c r="A54" s="64" t="s">
        <v>75</v>
      </c>
      <c r="B54" s="69" t="s">
        <v>229</v>
      </c>
      <c r="C54" s="100" t="s">
        <v>571</v>
      </c>
      <c r="D54" s="69" t="s">
        <v>636</v>
      </c>
      <c r="E54" s="101">
        <v>70.0</v>
      </c>
      <c r="J54" s="66" t="str">
        <f t="shared" si="1"/>
        <v>-, Chateau Potelle, Potelle 2, Red Blend</v>
      </c>
    </row>
    <row r="55">
      <c r="A55" s="64">
        <v>2015.0</v>
      </c>
      <c r="B55" s="69" t="s">
        <v>276</v>
      </c>
      <c r="C55" s="100" t="s">
        <v>539</v>
      </c>
      <c r="D55" s="69" t="s">
        <v>643</v>
      </c>
      <c r="E55" s="101">
        <v>34.0</v>
      </c>
      <c r="J55" s="66" t="str">
        <f t="shared" si="1"/>
        <v>2015, GC Lurton, Sonoma Red, Red Blend </v>
      </c>
    </row>
    <row r="56">
      <c r="A56" s="64">
        <v>2013.0</v>
      </c>
      <c r="B56" s="69" t="s">
        <v>84</v>
      </c>
      <c r="C56" s="100">
        <v>1873.0</v>
      </c>
      <c r="D56" s="69" t="s">
        <v>551</v>
      </c>
      <c r="E56" s="101">
        <v>85.0</v>
      </c>
      <c r="J56" s="66" t="str">
        <f t="shared" si="1"/>
        <v>2013, Hall Wines, 1873, Cab Sauv</v>
      </c>
    </row>
    <row r="57">
      <c r="A57" s="102">
        <v>2015.0</v>
      </c>
      <c r="B57" s="103" t="s">
        <v>84</v>
      </c>
      <c r="C57" s="104">
        <v>1873.0</v>
      </c>
      <c r="D57" s="103" t="s">
        <v>551</v>
      </c>
      <c r="E57" s="105">
        <v>85.0</v>
      </c>
      <c r="F57" s="106"/>
      <c r="G57" s="106" t="str">
        <f>CONCATENATE(A57," ",B57," ", " ''",C57,"'' ", " - ","$",E57)</f>
        <v>2015 Hall Wines  ''1873''  - $85</v>
      </c>
      <c r="H57" s="106"/>
      <c r="I57" s="106"/>
      <c r="J57" s="66" t="str">
        <f t="shared" si="1"/>
        <v>2015, Hall Wines, 1873, Cab Sauv</v>
      </c>
    </row>
    <row r="58">
      <c r="A58" s="64">
        <v>2013.0</v>
      </c>
      <c r="B58" s="69" t="s">
        <v>84</v>
      </c>
      <c r="C58" s="100" t="s">
        <v>85</v>
      </c>
      <c r="D58" s="69" t="s">
        <v>551</v>
      </c>
      <c r="E58" s="101">
        <v>180.0</v>
      </c>
      <c r="J58" s="66" t="str">
        <f t="shared" si="1"/>
        <v>2013, Hall Wines, Jacks Masterpiece , Cab Sauv</v>
      </c>
    </row>
    <row r="59">
      <c r="A59" s="64">
        <v>2016.0</v>
      </c>
      <c r="B59" s="69" t="s">
        <v>84</v>
      </c>
      <c r="C59" s="100" t="s">
        <v>270</v>
      </c>
      <c r="D59" s="69" t="s">
        <v>551</v>
      </c>
      <c r="E59" s="101">
        <v>70.0</v>
      </c>
      <c r="J59" s="66" t="str">
        <f t="shared" si="1"/>
        <v>2016, Hall Wines, Terra Secca, Cab Sauv</v>
      </c>
    </row>
    <row r="60">
      <c r="A60" s="64">
        <v>2015.0</v>
      </c>
      <c r="B60" s="69" t="s">
        <v>205</v>
      </c>
      <c r="C60" s="100" t="s">
        <v>600</v>
      </c>
      <c r="D60" s="69" t="s">
        <v>643</v>
      </c>
      <c r="E60" s="101">
        <v>34.0</v>
      </c>
      <c r="J60" s="66" t="str">
        <f t="shared" si="1"/>
        <v>2015, Silverado, Club Red , Red Blend </v>
      </c>
    </row>
    <row r="61">
      <c r="A61" s="102">
        <v>2016.0</v>
      </c>
      <c r="B61" s="103" t="s">
        <v>103</v>
      </c>
      <c r="C61" s="104" t="s">
        <v>267</v>
      </c>
      <c r="D61" s="103" t="s">
        <v>191</v>
      </c>
      <c r="E61" s="105">
        <v>60.0</v>
      </c>
      <c r="F61" s="106"/>
      <c r="G61" s="106" t="str">
        <f>CONCATENATE(A61," ",B61," ", " ''",C61,"'' ", " - ","$",E61)</f>
        <v>2016 Domaine Carneros  ''Dijon 777 Clone''  - $60</v>
      </c>
      <c r="H61" s="106"/>
      <c r="I61" s="106"/>
      <c r="J61" s="66" t="str">
        <f t="shared" si="1"/>
        <v>2016, Domaine Carneros, Dijon 777 Clone, Pinot Noir</v>
      </c>
    </row>
    <row r="62">
      <c r="A62" s="64">
        <v>2015.0</v>
      </c>
      <c r="B62" s="69" t="s">
        <v>103</v>
      </c>
      <c r="C62" s="69" t="s">
        <v>233</v>
      </c>
      <c r="D62" s="69" t="s">
        <v>191</v>
      </c>
      <c r="E62" s="101">
        <v>85.0</v>
      </c>
      <c r="J62" s="66" t="str">
        <f t="shared" si="1"/>
        <v>2015, Domaine Carneros, Famous Gate, Pinot Noir</v>
      </c>
    </row>
    <row r="63">
      <c r="A63" s="64">
        <v>2016.0</v>
      </c>
      <c r="B63" s="69" t="s">
        <v>103</v>
      </c>
      <c r="C63" s="100" t="s">
        <v>233</v>
      </c>
      <c r="D63" s="69" t="s">
        <v>191</v>
      </c>
      <c r="E63" s="101">
        <v>85.0</v>
      </c>
      <c r="J63" s="66" t="str">
        <f t="shared" si="1"/>
        <v>2016, Domaine Carneros, Famous Gate, Pinot Noir</v>
      </c>
    </row>
    <row r="64">
      <c r="A64" s="64">
        <v>2016.0</v>
      </c>
      <c r="B64" s="69" t="s">
        <v>103</v>
      </c>
      <c r="C64" s="69" t="s">
        <v>296</v>
      </c>
      <c r="D64" s="69" t="s">
        <v>191</v>
      </c>
      <c r="E64" s="101">
        <v>59.0</v>
      </c>
      <c r="J64" s="66" t="str">
        <f t="shared" si="1"/>
        <v>2016, Domaine Carneros, La Ciel Serein, Pinot Noir</v>
      </c>
    </row>
    <row r="65">
      <c r="A65" s="64">
        <v>2017.0</v>
      </c>
      <c r="B65" s="69" t="s">
        <v>103</v>
      </c>
      <c r="C65" s="69" t="s">
        <v>564</v>
      </c>
      <c r="D65" s="69" t="s">
        <v>191</v>
      </c>
      <c r="E65" s="101">
        <v>59.0</v>
      </c>
      <c r="J65" s="66" t="str">
        <f t="shared" si="1"/>
        <v>2017, Domaine Carneros, Pommard Clone , Pinot Noir</v>
      </c>
    </row>
    <row r="66">
      <c r="A66" s="64">
        <v>2016.0</v>
      </c>
      <c r="B66" s="69" t="s">
        <v>301</v>
      </c>
      <c r="C66" s="100" t="s">
        <v>302</v>
      </c>
      <c r="D66" s="69" t="s">
        <v>191</v>
      </c>
      <c r="E66" s="101">
        <v>75.0</v>
      </c>
      <c r="J66" s="66" t="str">
        <f t="shared" si="1"/>
        <v>2016, Walt Wines, Sierra Mar, Pinot Noir</v>
      </c>
    </row>
    <row r="67">
      <c r="A67" s="64">
        <v>2014.0</v>
      </c>
      <c r="B67" s="69" t="s">
        <v>103</v>
      </c>
      <c r="C67" s="100" t="s">
        <v>644</v>
      </c>
      <c r="D67" s="69" t="s">
        <v>44</v>
      </c>
      <c r="E67" s="101">
        <v>45.0</v>
      </c>
      <c r="J67" s="66" t="str">
        <f t="shared" si="1"/>
        <v>2014, Domaine Carneros, Blanc de Blancs, Sparkling</v>
      </c>
    </row>
    <row r="68">
      <c r="A68" s="64" t="s">
        <v>75</v>
      </c>
      <c r="B68" s="69" t="s">
        <v>103</v>
      </c>
      <c r="C68" s="100" t="s">
        <v>391</v>
      </c>
      <c r="D68" s="69" t="s">
        <v>44</v>
      </c>
      <c r="E68" s="101">
        <v>40.0</v>
      </c>
      <c r="J68" s="66" t="str">
        <f t="shared" si="1"/>
        <v>-, Domaine Carneros, Blanc de Noir, Sparkling</v>
      </c>
    </row>
    <row r="69">
      <c r="A69" s="64" t="s">
        <v>608</v>
      </c>
      <c r="B69" s="69" t="s">
        <v>103</v>
      </c>
      <c r="C69" s="100" t="s">
        <v>538</v>
      </c>
      <c r="D69" s="69" t="s">
        <v>44</v>
      </c>
      <c r="E69" s="101">
        <v>45.0</v>
      </c>
      <c r="J69" s="66" t="str">
        <f t="shared" si="1"/>
        <v>?, Domaine Carneros, Ultra Brut, Sparkling</v>
      </c>
    </row>
    <row r="70">
      <c r="A70" s="64">
        <v>2016.0</v>
      </c>
      <c r="B70" s="69" t="s">
        <v>189</v>
      </c>
      <c r="C70" s="100" t="s">
        <v>250</v>
      </c>
      <c r="D70" s="69" t="s">
        <v>44</v>
      </c>
      <c r="E70" s="101">
        <v>65.0</v>
      </c>
      <c r="J70" s="66" t="str">
        <f t="shared" si="1"/>
        <v>2016, Goldeneye Winery, Brut Rosé, Sparkling</v>
      </c>
    </row>
    <row r="71">
      <c r="A71" s="64">
        <v>2016.0</v>
      </c>
      <c r="B71" s="69" t="s">
        <v>103</v>
      </c>
      <c r="C71" s="100" t="s">
        <v>644</v>
      </c>
      <c r="D71" s="69" t="s">
        <v>44</v>
      </c>
      <c r="E71" s="101">
        <v>45.0</v>
      </c>
      <c r="J71" s="66" t="str">
        <f t="shared" si="1"/>
        <v>2016, Domaine Carneros, Blanc de Blancs, Sparkling</v>
      </c>
    </row>
    <row r="72">
      <c r="A72" s="64">
        <v>2016.0</v>
      </c>
      <c r="B72" s="69" t="s">
        <v>56</v>
      </c>
      <c r="C72" s="100" t="s">
        <v>645</v>
      </c>
      <c r="D72" s="69" t="s">
        <v>578</v>
      </c>
      <c r="E72" s="101">
        <v>17.0</v>
      </c>
      <c r="J72" s="66" t="str">
        <f t="shared" si="1"/>
        <v>2016, Dowsett Family Wines, Georgia Rosé, Rosé</v>
      </c>
    </row>
    <row r="73">
      <c r="A73" s="64" t="s">
        <v>75</v>
      </c>
      <c r="B73" s="69" t="s">
        <v>646</v>
      </c>
      <c r="C73" s="100" t="s">
        <v>647</v>
      </c>
      <c r="D73" s="69" t="s">
        <v>648</v>
      </c>
      <c r="E73" s="101">
        <v>70.0</v>
      </c>
      <c r="J73" s="66" t="str">
        <f t="shared" si="1"/>
        <v>-, Lallier , Rosé - Grand Cru, Champagne</v>
      </c>
    </row>
    <row r="74">
      <c r="A74" s="64" t="s">
        <v>75</v>
      </c>
      <c r="B74" s="69" t="s">
        <v>99</v>
      </c>
      <c r="C74" s="100" t="s">
        <v>649</v>
      </c>
      <c r="D74" s="69" t="s">
        <v>44</v>
      </c>
      <c r="E74" s="101">
        <v>40.0</v>
      </c>
      <c r="J74" s="66" t="str">
        <f t="shared" si="1"/>
        <v>-, Sterling Vineyards, Rosé , Sparkling</v>
      </c>
    </row>
    <row r="75">
      <c r="A75" s="64" t="s">
        <v>75</v>
      </c>
      <c r="B75" s="69" t="s">
        <v>650</v>
      </c>
      <c r="C75" s="100" t="s">
        <v>651</v>
      </c>
      <c r="D75" s="69" t="s">
        <v>44</v>
      </c>
      <c r="E75" s="101">
        <v>50.0</v>
      </c>
      <c r="J75" s="66" t="str">
        <f t="shared" si="1"/>
        <v>-, The Prisoner Wine Company, Erased, Sparkling</v>
      </c>
    </row>
    <row r="76">
      <c r="A76" s="64">
        <v>2016.0</v>
      </c>
      <c r="B76" s="69" t="s">
        <v>652</v>
      </c>
      <c r="C76" s="100" t="s">
        <v>653</v>
      </c>
      <c r="D76" s="69" t="s">
        <v>653</v>
      </c>
      <c r="E76" s="101">
        <v>42.0</v>
      </c>
      <c r="J76" s="66" t="str">
        <f t="shared" si="1"/>
        <v>2016, Ancient Hills , Baco Noir, Baco Noir</v>
      </c>
    </row>
    <row r="77">
      <c r="A77" s="64">
        <v>2016.0</v>
      </c>
      <c r="B77" s="69" t="s">
        <v>652</v>
      </c>
      <c r="C77" s="100" t="s">
        <v>654</v>
      </c>
      <c r="D77" s="69" t="s">
        <v>655</v>
      </c>
      <c r="E77" s="101">
        <v>30.0</v>
      </c>
      <c r="J77" s="66" t="str">
        <f t="shared" si="1"/>
        <v>2016, Ancient Hills , Lazerus , Lemberger</v>
      </c>
    </row>
    <row r="78">
      <c r="A78" s="64">
        <v>2016.0</v>
      </c>
      <c r="B78" s="69" t="s">
        <v>656</v>
      </c>
      <c r="C78" s="100" t="s">
        <v>657</v>
      </c>
      <c r="D78" s="69" t="s">
        <v>658</v>
      </c>
      <c r="E78" s="101">
        <v>25.0</v>
      </c>
      <c r="J78" s="66" t="str">
        <f t="shared" si="1"/>
        <v>2016, Buty Wines, Columbia Valley White , White Bordeaux Blend </v>
      </c>
    </row>
    <row r="79">
      <c r="A79" s="107">
        <v>2018.0</v>
      </c>
      <c r="B79" s="108" t="s">
        <v>656</v>
      </c>
      <c r="C79" s="109" t="s">
        <v>659</v>
      </c>
      <c r="D79" s="108" t="s">
        <v>75</v>
      </c>
      <c r="E79" s="110">
        <v>25.0</v>
      </c>
      <c r="J79" s="66" t="str">
        <f t="shared" si="1"/>
        <v>2018, Buty Wines, Rosé of the Stones, -</v>
      </c>
    </row>
    <row r="80">
      <c r="A80" s="102">
        <v>2015.0</v>
      </c>
      <c r="B80" s="103" t="s">
        <v>56</v>
      </c>
      <c r="C80" s="104" t="s">
        <v>544</v>
      </c>
      <c r="D80" s="103" t="s">
        <v>191</v>
      </c>
      <c r="E80" s="105">
        <v>37.0</v>
      </c>
      <c r="F80" s="106"/>
      <c r="G80" s="106" t="str">
        <f t="shared" ref="G80:G81" si="4">CONCATENATE(A80," ",B80," ", " ''",C80,"'' ", " - ","$",E80)</f>
        <v>2015 Dowsett Family Wines  ''Becklin Vineyards Pinor Noir''  - $37</v>
      </c>
      <c r="H80" s="106"/>
      <c r="I80" s="106"/>
      <c r="J80" s="66" t="str">
        <f t="shared" si="1"/>
        <v>2015, Dowsett Family Wines, Becklin Vineyards Pinor Noir, Pinot Noir</v>
      </c>
    </row>
    <row r="81">
      <c r="A81" s="102">
        <v>2018.0</v>
      </c>
      <c r="B81" s="103" t="s">
        <v>56</v>
      </c>
      <c r="C81" s="104" t="s">
        <v>645</v>
      </c>
      <c r="D81" s="103" t="s">
        <v>578</v>
      </c>
      <c r="E81" s="105">
        <v>18.5</v>
      </c>
      <c r="F81" s="106"/>
      <c r="G81" s="106" t="str">
        <f t="shared" si="4"/>
        <v>2018 Dowsett Family Wines  ''Georgia Rosé''  - $18.5</v>
      </c>
      <c r="H81" s="106"/>
      <c r="I81" s="106"/>
      <c r="J81" s="66" t="str">
        <f t="shared" si="1"/>
        <v>2018, Dowsett Family Wines, Georgia Rosé, Rosé</v>
      </c>
    </row>
    <row r="82">
      <c r="A82" s="64">
        <v>2013.0</v>
      </c>
      <c r="B82" s="69" t="s">
        <v>56</v>
      </c>
      <c r="C82" s="100" t="s">
        <v>57</v>
      </c>
      <c r="D82" s="69" t="s">
        <v>660</v>
      </c>
      <c r="E82" s="101">
        <v>34.0</v>
      </c>
      <c r="J82" s="66" t="str">
        <f t="shared" si="1"/>
        <v>2013, Dowsett Family Wines, Heart of the Hill Vineyard Mouvedre, Mourvedre</v>
      </c>
    </row>
    <row r="83">
      <c r="A83" s="102">
        <v>2016.0</v>
      </c>
      <c r="B83" s="103" t="s">
        <v>56</v>
      </c>
      <c r="C83" s="104" t="s">
        <v>661</v>
      </c>
      <c r="D83" s="103" t="s">
        <v>643</v>
      </c>
      <c r="E83" s="105">
        <v>16.5</v>
      </c>
      <c r="F83" s="106"/>
      <c r="G83" s="106" t="str">
        <f>CONCATENATE(A83," ",B83," ", " ''",C83,"'' ", " - ","$",E83)</f>
        <v>2016 Dowsett Family Wines  ''Two Magpies''  - $16.5</v>
      </c>
      <c r="H83" s="106"/>
      <c r="I83" s="106"/>
      <c r="J83" s="66" t="str">
        <f t="shared" si="1"/>
        <v>2016, Dowsett Family Wines, Two Magpies, Red Blend </v>
      </c>
    </row>
    <row r="84">
      <c r="A84" s="64" t="s">
        <v>75</v>
      </c>
      <c r="B84" s="69" t="s">
        <v>631</v>
      </c>
      <c r="C84" s="100" t="s">
        <v>46</v>
      </c>
      <c r="D84" s="69" t="s">
        <v>44</v>
      </c>
      <c r="E84" s="101">
        <v>60.0</v>
      </c>
      <c r="J84" s="66" t="str">
        <f t="shared" si="1"/>
        <v>-, Domaine Chandon, Etoile, Sparkling</v>
      </c>
    </row>
    <row r="85">
      <c r="A85" s="64" t="s">
        <v>75</v>
      </c>
      <c r="B85" s="69" t="s">
        <v>631</v>
      </c>
      <c r="C85" s="100" t="s">
        <v>662</v>
      </c>
      <c r="D85" s="69" t="s">
        <v>44</v>
      </c>
      <c r="E85" s="101">
        <v>50.0</v>
      </c>
      <c r="J85" s="66" t="str">
        <f t="shared" si="1"/>
        <v>-, Domaine Chandon, Reserve Brut Late Disgorged , Sparkling</v>
      </c>
    </row>
    <row r="86">
      <c r="A86" s="64">
        <v>2013.0</v>
      </c>
      <c r="B86" s="69" t="s">
        <v>631</v>
      </c>
      <c r="C86" s="100" t="s">
        <v>630</v>
      </c>
      <c r="D86" s="69" t="s">
        <v>44</v>
      </c>
      <c r="E86" s="101">
        <v>45.0</v>
      </c>
      <c r="J86" s="66" t="str">
        <f t="shared" si="1"/>
        <v>2013, Domaine Chandon, Vintage Brut, Sparkling</v>
      </c>
    </row>
    <row r="87">
      <c r="A87" s="64">
        <v>2012.0</v>
      </c>
      <c r="B87" s="69" t="s">
        <v>631</v>
      </c>
      <c r="C87" s="100" t="s">
        <v>663</v>
      </c>
      <c r="D87" s="69" t="s">
        <v>44</v>
      </c>
      <c r="E87" s="101">
        <v>50.0</v>
      </c>
      <c r="J87" s="66" t="str">
        <f t="shared" si="1"/>
        <v>2012, Domaine Chandon, Blanc De Noir, Sparkling</v>
      </c>
    </row>
    <row r="88">
      <c r="A88" s="107" t="s">
        <v>75</v>
      </c>
      <c r="B88" s="108" t="s">
        <v>631</v>
      </c>
      <c r="C88" s="109" t="s">
        <v>663</v>
      </c>
      <c r="D88" s="108" t="s">
        <v>44</v>
      </c>
      <c r="E88" s="110">
        <v>24.0</v>
      </c>
      <c r="J88" s="66" t="str">
        <f t="shared" si="1"/>
        <v>-, Domaine Chandon, Blanc De Noir, Sparkling</v>
      </c>
    </row>
    <row r="89">
      <c r="A89" s="64" t="s">
        <v>75</v>
      </c>
      <c r="B89" s="69" t="s">
        <v>631</v>
      </c>
      <c r="C89" s="100" t="s">
        <v>664</v>
      </c>
      <c r="D89" s="69" t="s">
        <v>44</v>
      </c>
      <c r="E89" s="101">
        <v>30.0</v>
      </c>
      <c r="J89" s="66" t="str">
        <f t="shared" si="1"/>
        <v>-, Domaine Chandon, Limited Baulbebar, Sparkling</v>
      </c>
    </row>
    <row r="90">
      <c r="A90" s="64">
        <v>2016.0</v>
      </c>
      <c r="B90" s="69" t="s">
        <v>665</v>
      </c>
      <c r="C90" s="100" t="s">
        <v>551</v>
      </c>
      <c r="D90" s="69" t="s">
        <v>551</v>
      </c>
      <c r="E90" s="101">
        <v>75.0</v>
      </c>
      <c r="J90" s="66" t="str">
        <f t="shared" si="1"/>
        <v>2016, Joseph Phelps, Cab Sauv, Cab Sauv</v>
      </c>
    </row>
    <row r="91">
      <c r="A91" s="64">
        <v>2017.0</v>
      </c>
      <c r="B91" s="69" t="s">
        <v>665</v>
      </c>
      <c r="C91" s="100" t="s">
        <v>666</v>
      </c>
      <c r="D91" s="69" t="s">
        <v>667</v>
      </c>
      <c r="E91" s="101">
        <v>60.0</v>
      </c>
      <c r="J91" s="66" t="str">
        <f t="shared" si="1"/>
        <v>2017, Joseph Phelps, Delice, Dessert Wine</v>
      </c>
    </row>
    <row r="92">
      <c r="A92" s="64">
        <v>2013.0</v>
      </c>
      <c r="B92" s="69" t="s">
        <v>638</v>
      </c>
      <c r="C92" s="100" t="s">
        <v>668</v>
      </c>
      <c r="D92" s="69" t="s">
        <v>551</v>
      </c>
      <c r="E92" s="101">
        <v>187.0</v>
      </c>
      <c r="J92" s="66" t="str">
        <f t="shared" si="1"/>
        <v>2013, Mondavi, 50th Anniversary Oakville Cab, Cab Sauv</v>
      </c>
    </row>
    <row r="93">
      <c r="A93" s="64">
        <v>2013.0</v>
      </c>
      <c r="B93" s="69" t="s">
        <v>638</v>
      </c>
      <c r="C93" s="100" t="s">
        <v>637</v>
      </c>
      <c r="D93" s="69" t="s">
        <v>636</v>
      </c>
      <c r="E93" s="101">
        <v>50.0</v>
      </c>
      <c r="J93" s="66" t="str">
        <f t="shared" si="1"/>
        <v>2013, Mondavi, Momentumn, Red Blend</v>
      </c>
    </row>
    <row r="94">
      <c r="A94" s="64" t="s">
        <v>75</v>
      </c>
      <c r="B94" s="69" t="s">
        <v>638</v>
      </c>
      <c r="C94" s="100" t="s">
        <v>669</v>
      </c>
      <c r="D94" s="69" t="s">
        <v>667</v>
      </c>
      <c r="E94" s="111"/>
      <c r="J94" s="66" t="str">
        <f t="shared" si="1"/>
        <v>-, Mondavi, Moscato d'Oro, Dessert Wine</v>
      </c>
    </row>
    <row r="95">
      <c r="A95" s="102">
        <v>2018.0</v>
      </c>
      <c r="B95" s="103" t="s">
        <v>197</v>
      </c>
      <c r="C95" s="104" t="s">
        <v>578</v>
      </c>
      <c r="D95" s="103" t="s">
        <v>578</v>
      </c>
      <c r="E95" s="105">
        <v>25.0</v>
      </c>
      <c r="F95" s="106"/>
      <c r="G95" s="106" t="str">
        <f>CONCATENATE(A95," ",B95," ", " ''",C95,"'' ", " - ","$",E95)</f>
        <v>2018 Sequoia Grove  ''Rosé''  - $25</v>
      </c>
      <c r="H95" s="106"/>
      <c r="I95" s="106"/>
      <c r="J95" s="66" t="str">
        <f t="shared" si="1"/>
        <v>2018, Sequoia Grove, Rosé, Rosé</v>
      </c>
    </row>
    <row r="96">
      <c r="A96" s="64">
        <v>2016.0</v>
      </c>
      <c r="B96" s="69" t="s">
        <v>197</v>
      </c>
      <c r="C96" s="100" t="s">
        <v>633</v>
      </c>
      <c r="D96" s="69" t="s">
        <v>632</v>
      </c>
      <c r="E96" s="69">
        <v>45.0</v>
      </c>
      <c r="J96" s="66" t="str">
        <f t="shared" si="1"/>
        <v>2016, Sequoia Grove, Winemakers Series Cab Franc, Cab Franc</v>
      </c>
    </row>
    <row r="97">
      <c r="A97" s="64">
        <v>2015.0</v>
      </c>
      <c r="B97" s="69" t="s">
        <v>197</v>
      </c>
      <c r="C97" s="100" t="s">
        <v>634</v>
      </c>
      <c r="D97" s="69" t="s">
        <v>551</v>
      </c>
      <c r="E97" s="69">
        <v>50.0</v>
      </c>
      <c r="J97" s="66" t="str">
        <f t="shared" si="1"/>
        <v>2015, Sequoia Grove, Winemakers Series Cab Sauv, Cab Sauv</v>
      </c>
    </row>
    <row r="98">
      <c r="A98" s="102">
        <v>2016.0</v>
      </c>
      <c r="B98" s="103" t="s">
        <v>197</v>
      </c>
      <c r="C98" s="104" t="s">
        <v>583</v>
      </c>
      <c r="D98" s="103" t="s">
        <v>129</v>
      </c>
      <c r="E98" s="105">
        <v>45.0</v>
      </c>
      <c r="F98" s="106"/>
      <c r="G98" s="106" t="str">
        <f>CONCATENATE(A98," ",B98," ", " ''",C98,"'' ", " - ","$",E98)</f>
        <v>2016 Sequoia Grove  ''Winemakers Series Syrah''  - $45</v>
      </c>
      <c r="H98" s="106"/>
      <c r="I98" s="106"/>
      <c r="J98" s="66" t="str">
        <f t="shared" si="1"/>
        <v>2016, Sequoia Grove, Winemakers Series Syrah, Syrah</v>
      </c>
    </row>
    <row r="99">
      <c r="A99" s="64">
        <v>2013.0</v>
      </c>
      <c r="B99" s="69" t="s">
        <v>95</v>
      </c>
      <c r="C99" s="100" t="s">
        <v>96</v>
      </c>
      <c r="D99" s="69" t="s">
        <v>636</v>
      </c>
      <c r="E99" s="69">
        <v>75.0</v>
      </c>
      <c r="J99" s="66" t="str">
        <f t="shared" si="1"/>
        <v>2013, Trinite Estate, Acaibo, Red Blend</v>
      </c>
    </row>
    <row r="100">
      <c r="A100" s="102">
        <v>2015.0</v>
      </c>
      <c r="B100" s="103" t="s">
        <v>670</v>
      </c>
      <c r="C100" s="104" t="s">
        <v>671</v>
      </c>
      <c r="D100" s="103" t="s">
        <v>672</v>
      </c>
      <c r="E100" s="105">
        <v>35.0</v>
      </c>
      <c r="F100" s="106"/>
      <c r="G100" s="106" t="str">
        <f>CONCATENATE(A100," ",B100," ", " ''",C100,"'' ", " - ","$",E100)</f>
        <v>2015 AXR  ''V. Madrone Vineyard Petite Syrah''  - $35</v>
      </c>
      <c r="H100" s="106"/>
      <c r="I100" s="106"/>
      <c r="J100" s="66" t="str">
        <f t="shared" si="1"/>
        <v>2015, AXR, V. Madrone Vineyard Petite Syrah, Petite Syrah</v>
      </c>
    </row>
    <row r="101">
      <c r="A101" s="64">
        <v>2015.0</v>
      </c>
      <c r="B101" s="69" t="s">
        <v>673</v>
      </c>
      <c r="C101" s="100" t="s">
        <v>673</v>
      </c>
      <c r="D101" s="69" t="s">
        <v>639</v>
      </c>
      <c r="E101" s="69">
        <v>65.0</v>
      </c>
      <c r="J101" s="66" t="str">
        <f t="shared" si="1"/>
        <v>2015, Clos Du Marquis, Clos Du Marquis, Bordeaux Blend</v>
      </c>
    </row>
    <row r="102">
      <c r="A102" s="64">
        <v>2015.0</v>
      </c>
      <c r="B102" s="69" t="s">
        <v>172</v>
      </c>
      <c r="C102" s="100" t="s">
        <v>174</v>
      </c>
      <c r="D102" s="69" t="s">
        <v>636</v>
      </c>
      <c r="E102" s="69">
        <v>150.0</v>
      </c>
      <c r="J102" s="66" t="str">
        <f t="shared" si="1"/>
        <v>2015, Duckhorn Vineyards, The Discussion, Red Blend</v>
      </c>
    </row>
    <row r="103">
      <c r="A103" s="64">
        <v>2015.0</v>
      </c>
      <c r="B103" s="69" t="s">
        <v>674</v>
      </c>
      <c r="C103" s="100" t="s">
        <v>159</v>
      </c>
      <c r="D103" s="69" t="s">
        <v>639</v>
      </c>
      <c r="E103" s="69">
        <v>70.0</v>
      </c>
      <c r="J103" s="66" t="str">
        <f t="shared" si="1"/>
        <v>2015, Leoville Las Cases , Le Petit Lion, Bordeaux Blend</v>
      </c>
    </row>
    <row r="104">
      <c r="A104" s="64">
        <v>2015.0</v>
      </c>
      <c r="B104" s="69" t="s">
        <v>618</v>
      </c>
      <c r="C104" s="100" t="s">
        <v>619</v>
      </c>
      <c r="D104" s="69" t="s">
        <v>636</v>
      </c>
      <c r="E104" s="69">
        <v>60.0</v>
      </c>
      <c r="J104" s="66" t="str">
        <f t="shared" si="1"/>
        <v>2015, Prisoner Winery, Thorn, Red Blend</v>
      </c>
    </row>
    <row r="105">
      <c r="A105" s="64">
        <v>2015.0</v>
      </c>
      <c r="B105" s="100" t="s">
        <v>99</v>
      </c>
      <c r="C105" s="100" t="s">
        <v>620</v>
      </c>
      <c r="D105" s="100" t="s">
        <v>632</v>
      </c>
      <c r="E105" s="100">
        <v>60.0</v>
      </c>
      <c r="J105" s="66" t="str">
        <f t="shared" si="1"/>
        <v>2015, Sterling Vineyards, Calistoga Cab Franc, Cab Franc</v>
      </c>
    </row>
    <row r="106">
      <c r="A106" s="64">
        <v>2013.0</v>
      </c>
      <c r="B106" s="69" t="s">
        <v>99</v>
      </c>
      <c r="C106" s="100" t="s">
        <v>269</v>
      </c>
      <c r="D106" s="69" t="s">
        <v>551</v>
      </c>
      <c r="E106" s="69">
        <v>85.0</v>
      </c>
      <c r="J106" s="66" t="str">
        <f t="shared" si="1"/>
        <v>2013, Sterling Vineyards, Planium Cab Sauv, Cab Sauv</v>
      </c>
    </row>
    <row r="107">
      <c r="A107" s="64">
        <v>2013.0</v>
      </c>
      <c r="B107" s="69" t="s">
        <v>99</v>
      </c>
      <c r="C107" s="100" t="s">
        <v>117</v>
      </c>
      <c r="D107" s="69" t="s">
        <v>551</v>
      </c>
      <c r="E107" s="69">
        <v>100.0</v>
      </c>
      <c r="J107" s="66" t="str">
        <f t="shared" si="1"/>
        <v>2013, Sterling Vineyards, Planium Select Cab Sauv, Cab Sauv</v>
      </c>
    </row>
    <row r="108">
      <c r="A108" s="102">
        <v>2013.0</v>
      </c>
      <c r="B108" s="103" t="s">
        <v>99</v>
      </c>
      <c r="C108" s="104" t="s">
        <v>675</v>
      </c>
      <c r="D108" s="103" t="s">
        <v>551</v>
      </c>
      <c r="E108" s="105">
        <v>55.0</v>
      </c>
      <c r="F108" s="106"/>
      <c r="G108" s="106" t="str">
        <f>CONCATENATE(A108," ",B108," ", " ''",C108,"'' ", " - ","$",E108)</f>
        <v>2013 Sterling Vineyards  ''Rutherford Cab''  - $55</v>
      </c>
      <c r="H108" s="106"/>
      <c r="I108" s="106"/>
      <c r="J108" s="66" t="str">
        <f t="shared" si="1"/>
        <v>2013, Sterling Vineyards, Rutherford Cab, Cab Sauv</v>
      </c>
    </row>
    <row r="109">
      <c r="A109" s="64">
        <v>2013.0</v>
      </c>
      <c r="B109" s="69" t="s">
        <v>99</v>
      </c>
      <c r="C109" s="100" t="s">
        <v>111</v>
      </c>
      <c r="D109" s="69" t="s">
        <v>551</v>
      </c>
      <c r="E109" s="69">
        <v>140.0</v>
      </c>
      <c r="J109" s="66" t="str">
        <f t="shared" si="1"/>
        <v>2013, Sterling Vineyards, Sleeping Lady Vineyard Cab Sauv, Cab Sauv</v>
      </c>
    </row>
    <row r="110">
      <c r="A110" s="64">
        <v>2013.0</v>
      </c>
      <c r="B110" s="69" t="s">
        <v>99</v>
      </c>
      <c r="C110" s="100" t="s">
        <v>100</v>
      </c>
      <c r="D110" s="69" t="s">
        <v>551</v>
      </c>
      <c r="E110" s="69">
        <v>140.0</v>
      </c>
      <c r="J110" s="66" t="str">
        <f t="shared" si="1"/>
        <v>2013, Sterling Vineyards, Yates Family Vineyard Cab Sauv, Cab Sauv</v>
      </c>
    </row>
    <row r="111">
      <c r="A111" s="64">
        <v>2015.0</v>
      </c>
      <c r="B111" s="69" t="s">
        <v>172</v>
      </c>
      <c r="C111" s="100" t="s">
        <v>185</v>
      </c>
      <c r="D111" s="69" t="s">
        <v>551</v>
      </c>
      <c r="E111" s="69">
        <v>150.0</v>
      </c>
      <c r="J111" s="66" t="str">
        <f t="shared" si="1"/>
        <v>2015, Duckhorn Vineyards, Patzimaro Cab Sauv, Cab Sauv</v>
      </c>
    </row>
    <row r="112">
      <c r="A112" s="64">
        <v>2015.0</v>
      </c>
      <c r="B112" s="69" t="s">
        <v>84</v>
      </c>
      <c r="C112" s="100">
        <v>1873.0</v>
      </c>
      <c r="D112" s="69" t="s">
        <v>551</v>
      </c>
      <c r="E112" s="69">
        <v>85.0</v>
      </c>
      <c r="J112" s="66" t="str">
        <f t="shared" si="1"/>
        <v>2015, Hall Wines, 1873, Cab Sauv</v>
      </c>
    </row>
    <row r="113">
      <c r="A113" s="64">
        <v>2014.0</v>
      </c>
      <c r="B113" s="69" t="s">
        <v>84</v>
      </c>
      <c r="C113" s="100" t="s">
        <v>152</v>
      </c>
      <c r="D113" s="69" t="s">
        <v>551</v>
      </c>
      <c r="E113" s="69">
        <v>150.0</v>
      </c>
      <c r="J113" s="66" t="str">
        <f t="shared" si="1"/>
        <v>2014, Hall Wines, Bergfeld, Cab Sauv</v>
      </c>
    </row>
    <row r="114">
      <c r="A114" s="64">
        <v>2015.0</v>
      </c>
      <c r="B114" s="69" t="s">
        <v>84</v>
      </c>
      <c r="C114" s="100" t="s">
        <v>266</v>
      </c>
      <c r="D114" s="69" t="s">
        <v>551</v>
      </c>
      <c r="E114" s="69">
        <v>70.0</v>
      </c>
      <c r="J114" s="66" t="str">
        <f t="shared" si="1"/>
        <v>2015, Hall Wines, Coeur, Cab Sauv</v>
      </c>
    </row>
    <row r="115">
      <c r="A115" s="64">
        <v>2014.0</v>
      </c>
      <c r="B115" s="69" t="s">
        <v>84</v>
      </c>
      <c r="C115" s="100" t="s">
        <v>201</v>
      </c>
      <c r="D115" s="69" t="s">
        <v>551</v>
      </c>
      <c r="E115" s="69">
        <v>80.0</v>
      </c>
      <c r="J115" s="66" t="str">
        <f t="shared" si="1"/>
        <v>2014, Hall Wines, Ellie's, Cab Sauv</v>
      </c>
    </row>
    <row r="116">
      <c r="A116" s="64">
        <v>2016.0</v>
      </c>
      <c r="B116" s="69" t="s">
        <v>84</v>
      </c>
      <c r="C116" s="100" t="s">
        <v>201</v>
      </c>
      <c r="D116" s="69" t="s">
        <v>551</v>
      </c>
      <c r="E116" s="69">
        <v>80.0</v>
      </c>
      <c r="J116" s="66" t="str">
        <f t="shared" si="1"/>
        <v>2016, Hall Wines, Ellie's, Cab Sauv</v>
      </c>
    </row>
    <row r="117">
      <c r="A117" s="64">
        <v>2016.0</v>
      </c>
      <c r="B117" s="69" t="s">
        <v>84</v>
      </c>
      <c r="C117" s="100" t="s">
        <v>222</v>
      </c>
      <c r="D117" s="69" t="s">
        <v>551</v>
      </c>
      <c r="E117" s="69">
        <v>180.0</v>
      </c>
      <c r="J117" s="66" t="str">
        <f t="shared" si="1"/>
        <v>2016, Hall Wines, Jacks Masterpiece, Cab Sauv</v>
      </c>
    </row>
    <row r="118">
      <c r="A118" s="64">
        <v>2015.0</v>
      </c>
      <c r="B118" s="69" t="s">
        <v>84</v>
      </c>
      <c r="C118" s="100" t="s">
        <v>184</v>
      </c>
      <c r="D118" s="69" t="s">
        <v>551</v>
      </c>
      <c r="E118" s="69">
        <v>180.0</v>
      </c>
      <c r="J118" s="66" t="str">
        <f t="shared" si="1"/>
        <v>2015, Hall Wines, Kathryn Hall, Cab Sauv</v>
      </c>
    </row>
    <row r="119">
      <c r="A119" s="64">
        <v>2014.0</v>
      </c>
      <c r="B119" s="69" t="s">
        <v>84</v>
      </c>
      <c r="C119" s="100" t="s">
        <v>676</v>
      </c>
      <c r="D119" s="69" t="s">
        <v>551</v>
      </c>
      <c r="E119" s="76">
        <v>70.0</v>
      </c>
      <c r="J119" s="66" t="str">
        <f t="shared" si="1"/>
        <v>2014, Hall Wines, The North End , Cab Sauv</v>
      </c>
    </row>
    <row r="120">
      <c r="A120" s="102">
        <v>2013.0</v>
      </c>
      <c r="B120" s="103" t="s">
        <v>638</v>
      </c>
      <c r="C120" s="104" t="s">
        <v>677</v>
      </c>
      <c r="D120" s="103" t="s">
        <v>636</v>
      </c>
      <c r="E120" s="105">
        <v>50.0</v>
      </c>
      <c r="F120" s="106"/>
      <c r="G120" s="106" t="str">
        <f>CONCATENATE(A120," ",B120," ", " ''",C120,"'' ", " - ","$",E120)</f>
        <v>2013 Mondavi  ''Momentum''  - $50</v>
      </c>
      <c r="H120" s="106"/>
      <c r="I120" s="106"/>
      <c r="J120" s="66" t="str">
        <f t="shared" si="1"/>
        <v>2013, Mondavi, Momentum, Red Blend</v>
      </c>
    </row>
    <row r="121">
      <c r="A121" s="64">
        <v>2016.0</v>
      </c>
      <c r="B121" s="69" t="s">
        <v>103</v>
      </c>
      <c r="C121" s="100" t="s">
        <v>267</v>
      </c>
      <c r="D121" s="69" t="s">
        <v>191</v>
      </c>
      <c r="E121" s="69">
        <v>45.0</v>
      </c>
      <c r="J121" s="66" t="str">
        <f t="shared" si="1"/>
        <v>2016, Domaine Carneros, Dijon 777 Clone, Pinot Noir</v>
      </c>
    </row>
    <row r="122">
      <c r="A122" s="64">
        <v>2016.0</v>
      </c>
      <c r="B122" s="69" t="s">
        <v>189</v>
      </c>
      <c r="C122" s="100" t="s">
        <v>678</v>
      </c>
      <c r="D122" s="69" t="s">
        <v>191</v>
      </c>
      <c r="E122" s="69">
        <v>90.0</v>
      </c>
      <c r="J122" s="66" t="str">
        <f t="shared" si="1"/>
        <v>2016, Goldeneye Winery, Gowan Creek, Pinot Noir</v>
      </c>
    </row>
    <row r="123">
      <c r="A123" s="64" t="s">
        <v>75</v>
      </c>
      <c r="B123" s="69" t="s">
        <v>205</v>
      </c>
      <c r="C123" s="100" t="s">
        <v>679</v>
      </c>
      <c r="D123" s="69" t="s">
        <v>680</v>
      </c>
      <c r="E123" s="69">
        <v>55.0</v>
      </c>
      <c r="J123" s="66" t="str">
        <f t="shared" si="1"/>
        <v>-, Silverado, Fantasia, Super Tuscan</v>
      </c>
    </row>
    <row r="124">
      <c r="A124" s="64">
        <v>2015.0</v>
      </c>
      <c r="B124" s="69" t="s">
        <v>205</v>
      </c>
      <c r="C124" s="100" t="s">
        <v>681</v>
      </c>
      <c r="D124" s="69" t="s">
        <v>632</v>
      </c>
      <c r="E124" s="69">
        <v>50.0</v>
      </c>
      <c r="J124" s="66" t="str">
        <f t="shared" si="1"/>
        <v>2015, Silverado, Mt George Cab Franc, Cab Franc</v>
      </c>
    </row>
    <row r="125">
      <c r="A125" s="64">
        <v>2016.0</v>
      </c>
      <c r="B125" s="69" t="s">
        <v>205</v>
      </c>
      <c r="C125" s="100" t="s">
        <v>681</v>
      </c>
      <c r="D125" s="69" t="s">
        <v>632</v>
      </c>
      <c r="E125" s="69">
        <v>45.0</v>
      </c>
      <c r="J125" s="66" t="str">
        <f t="shared" si="1"/>
        <v>2016, Silverado, Mt George Cab Franc, Cab Franc</v>
      </c>
    </row>
    <row r="126">
      <c r="A126" s="64">
        <v>2015.0</v>
      </c>
      <c r="B126" s="69" t="s">
        <v>205</v>
      </c>
      <c r="C126" s="100" t="s">
        <v>598</v>
      </c>
      <c r="D126" s="69" t="s">
        <v>415</v>
      </c>
      <c r="E126" s="69">
        <v>45.0</v>
      </c>
      <c r="J126" s="66" t="str">
        <f t="shared" si="1"/>
        <v>2015, Silverado, Mt. George Malbec, Malbec</v>
      </c>
    </row>
    <row r="127">
      <c r="A127" s="64">
        <v>2015.0</v>
      </c>
      <c r="B127" s="69" t="s">
        <v>99</v>
      </c>
      <c r="C127" s="100" t="s">
        <v>682</v>
      </c>
      <c r="D127" s="69" t="s">
        <v>191</v>
      </c>
      <c r="E127" s="69">
        <v>75.0</v>
      </c>
      <c r="J127" s="66" t="str">
        <f t="shared" si="1"/>
        <v>2015, Sterling Vineyards, Russian River Pinot Noir, Pinot Noir</v>
      </c>
    </row>
    <row r="128">
      <c r="A128" s="64">
        <v>2016.0</v>
      </c>
      <c r="B128" s="69" t="s">
        <v>301</v>
      </c>
      <c r="C128" s="100" t="s">
        <v>302</v>
      </c>
      <c r="D128" s="69" t="s">
        <v>191</v>
      </c>
      <c r="E128" s="69">
        <v>75.0</v>
      </c>
      <c r="J128" s="66" t="str">
        <f t="shared" si="1"/>
        <v>2016, Walt Wines, Sierra Mar, Pinot Noir</v>
      </c>
    </row>
    <row r="129">
      <c r="A129" s="64">
        <v>2016.0</v>
      </c>
      <c r="B129" s="69" t="s">
        <v>84</v>
      </c>
      <c r="C129" s="100" t="s">
        <v>266</v>
      </c>
      <c r="D129" s="69" t="s">
        <v>551</v>
      </c>
      <c r="E129" s="69">
        <v>70.0</v>
      </c>
      <c r="J129" s="66" t="str">
        <f t="shared" si="1"/>
        <v>2016, Hall Wines, Coeur, Cab Sauv</v>
      </c>
    </row>
    <row r="130">
      <c r="A130" s="64">
        <v>2016.0</v>
      </c>
      <c r="B130" s="69" t="s">
        <v>84</v>
      </c>
      <c r="C130" s="100" t="s">
        <v>683</v>
      </c>
      <c r="D130" s="69" t="s">
        <v>551</v>
      </c>
      <c r="E130" s="76">
        <v>70.0</v>
      </c>
      <c r="J130" s="66" t="str">
        <f t="shared" si="1"/>
        <v>2016, Hall Wines, Couer, Cab Sauv</v>
      </c>
    </row>
    <row r="131">
      <c r="A131" s="102">
        <v>2016.0</v>
      </c>
      <c r="B131" s="103" t="s">
        <v>84</v>
      </c>
      <c r="C131" s="104" t="s">
        <v>684</v>
      </c>
      <c r="D131" s="103" t="s">
        <v>129</v>
      </c>
      <c r="E131" s="105">
        <v>40.0</v>
      </c>
      <c r="F131" s="106"/>
      <c r="G131" s="106" t="str">
        <f>CONCATENATE(A131," ",B131," ", " ''",C131,"'' ", " - ","$",E131)</f>
        <v>2016 Hall Wines  ''Darwin''  - $40</v>
      </c>
      <c r="H131" s="106"/>
      <c r="I131" s="106"/>
      <c r="J131" s="66" t="str">
        <f t="shared" si="1"/>
        <v>2016, Hall Wines, Darwin, Syrah</v>
      </c>
    </row>
    <row r="132">
      <c r="A132" s="64">
        <v>2016.0</v>
      </c>
      <c r="B132" s="69" t="s">
        <v>84</v>
      </c>
      <c r="C132" s="100" t="s">
        <v>184</v>
      </c>
      <c r="D132" s="69" t="s">
        <v>551</v>
      </c>
      <c r="E132" s="69">
        <v>185.0</v>
      </c>
      <c r="J132" s="66" t="str">
        <f t="shared" si="1"/>
        <v>2016, Hall Wines, Kathryn Hall, Cab Sauv</v>
      </c>
    </row>
    <row r="133">
      <c r="A133" s="64">
        <v>2015.0</v>
      </c>
      <c r="B133" s="69" t="s">
        <v>197</v>
      </c>
      <c r="C133" s="100" t="s">
        <v>685</v>
      </c>
      <c r="D133" s="69" t="s">
        <v>551</v>
      </c>
      <c r="E133" s="69">
        <v>100.0</v>
      </c>
      <c r="J133" s="66" t="str">
        <f t="shared" si="1"/>
        <v>2015, Sequoia Grove, Oak Knoll District Cab Sauv - Lamoreaux Vineyards, Cab Sauv</v>
      </c>
    </row>
    <row r="134">
      <c r="A134" s="102">
        <v>2016.0</v>
      </c>
      <c r="B134" s="103" t="s">
        <v>197</v>
      </c>
      <c r="C134" s="104" t="s">
        <v>686</v>
      </c>
      <c r="D134" s="103" t="s">
        <v>235</v>
      </c>
      <c r="E134" s="105">
        <v>48.0</v>
      </c>
      <c r="F134" s="106"/>
      <c r="G134" s="106" t="str">
        <f>CONCATENATE(A134," ",B134," ", " ''",C134,"'' ", " - ","$",E134)</f>
        <v>2016 Sequoia Grove  ''Winemaker Series Merlot''  - $48</v>
      </c>
      <c r="H134" s="106"/>
      <c r="I134" s="106"/>
      <c r="J134" s="66" t="str">
        <f t="shared" si="1"/>
        <v>2016, Sequoia Grove, Winemaker Series Merlot, Merlot</v>
      </c>
    </row>
    <row r="135">
      <c r="A135" s="64">
        <v>2016.0</v>
      </c>
      <c r="B135" s="69" t="s">
        <v>197</v>
      </c>
      <c r="C135" s="100" t="s">
        <v>687</v>
      </c>
      <c r="D135" s="69" t="s">
        <v>129</v>
      </c>
      <c r="E135" s="69">
        <v>45.0</v>
      </c>
      <c r="J135" s="66" t="str">
        <f t="shared" si="1"/>
        <v>2016, Sequoia Grove, Winemaker Series Syrah, Syrah</v>
      </c>
    </row>
    <row r="136">
      <c r="A136" s="64">
        <v>2016.0</v>
      </c>
      <c r="B136" s="69" t="s">
        <v>205</v>
      </c>
      <c r="C136" s="100" t="s">
        <v>415</v>
      </c>
      <c r="D136" s="69" t="s">
        <v>415</v>
      </c>
      <c r="E136" s="69">
        <v>45.0</v>
      </c>
      <c r="J136" s="66" t="str">
        <f t="shared" si="1"/>
        <v>2016, Silverado, Malbec, Malbec</v>
      </c>
    </row>
    <row r="137">
      <c r="A137" s="64">
        <v>2016.0</v>
      </c>
      <c r="B137" s="69" t="s">
        <v>205</v>
      </c>
      <c r="C137" s="100" t="s">
        <v>181</v>
      </c>
      <c r="D137" s="69" t="s">
        <v>551</v>
      </c>
      <c r="E137" s="69">
        <v>125.0</v>
      </c>
      <c r="J137" s="66" t="str">
        <f t="shared" si="1"/>
        <v>2016, Silverado, Solo, Cab Sauv</v>
      </c>
    </row>
    <row r="138">
      <c r="A138" s="64">
        <v>2016.0</v>
      </c>
      <c r="B138" s="69" t="s">
        <v>205</v>
      </c>
      <c r="C138" s="100" t="s">
        <v>603</v>
      </c>
      <c r="D138" s="69" t="s">
        <v>235</v>
      </c>
      <c r="E138" s="69">
        <v>60.0</v>
      </c>
      <c r="J138" s="66" t="str">
        <f t="shared" si="1"/>
        <v>2016, Silverado, Stags Leap District Merlot, Merlot</v>
      </c>
    </row>
    <row r="139">
      <c r="A139" s="64">
        <v>2016.0</v>
      </c>
      <c r="B139" s="69" t="s">
        <v>64</v>
      </c>
      <c r="C139" s="100" t="s">
        <v>587</v>
      </c>
      <c r="D139" s="69" t="s">
        <v>551</v>
      </c>
      <c r="E139" s="69">
        <v>60.0</v>
      </c>
      <c r="J139" s="66" t="str">
        <f t="shared" si="1"/>
        <v>2016, Bargetto Wines, Regan Vineyards Reserve Santa Cruz Mountains Cab Sauv, Cab Sauv</v>
      </c>
    </row>
    <row r="140">
      <c r="A140" s="64">
        <v>2017.0</v>
      </c>
      <c r="B140" s="69" t="s">
        <v>229</v>
      </c>
      <c r="C140" s="100" t="s">
        <v>688</v>
      </c>
      <c r="D140" s="69" t="s">
        <v>636</v>
      </c>
      <c r="E140" s="69">
        <v>95.0</v>
      </c>
      <c r="J140" s="66" t="str">
        <f t="shared" si="1"/>
        <v>2017, Chateau Potelle, GSM, Red Blend</v>
      </c>
    </row>
    <row r="141">
      <c r="A141" s="64">
        <v>2016.0</v>
      </c>
      <c r="B141" s="69" t="s">
        <v>229</v>
      </c>
      <c r="C141" s="100" t="s">
        <v>245</v>
      </c>
      <c r="D141" s="69" t="s">
        <v>551</v>
      </c>
      <c r="E141" s="69">
        <v>150.0</v>
      </c>
      <c r="J141" s="66" t="str">
        <f t="shared" si="1"/>
        <v>2016, Chateau Potelle, Terrior Collection Cab Sauv, Cab Sauv</v>
      </c>
    </row>
    <row r="142">
      <c r="A142" s="64">
        <v>2016.0</v>
      </c>
      <c r="B142" s="69" t="s">
        <v>229</v>
      </c>
      <c r="C142" s="100" t="s">
        <v>230</v>
      </c>
      <c r="D142" s="69" t="s">
        <v>632</v>
      </c>
      <c r="E142" s="69">
        <v>125.0</v>
      </c>
      <c r="J142" s="66" t="str">
        <f t="shared" si="1"/>
        <v>2016, Chateau Potelle, Cab Franc Wildcat Mountain Vineyard, Cab Franc</v>
      </c>
    </row>
    <row r="143">
      <c r="A143" s="102">
        <v>2017.0</v>
      </c>
      <c r="B143" s="103" t="s">
        <v>229</v>
      </c>
      <c r="C143" s="104" t="s">
        <v>689</v>
      </c>
      <c r="D143" s="103" t="s">
        <v>390</v>
      </c>
      <c r="E143" s="105">
        <v>75.0</v>
      </c>
      <c r="F143" s="106"/>
      <c r="G143" s="106" t="str">
        <f>CONCATENATE(A143," ",B143," ", " ''",C143,"'' ", " - ","$",E143)</f>
        <v>2017 Chateau Potelle  ''Moon Mountain Zinfandel''  - $75</v>
      </c>
      <c r="H143" s="106"/>
      <c r="I143" s="106"/>
      <c r="J143" s="66" t="str">
        <f t="shared" si="1"/>
        <v>2017, Chateau Potelle, Moon Mountain Zinfandel, Zinfandel</v>
      </c>
    </row>
    <row r="144">
      <c r="A144" s="64">
        <v>2016.0</v>
      </c>
      <c r="B144" s="69" t="s">
        <v>170</v>
      </c>
      <c r="C144" s="100" t="s">
        <v>556</v>
      </c>
      <c r="D144" s="69" t="s">
        <v>390</v>
      </c>
      <c r="E144" s="69">
        <v>125.0</v>
      </c>
      <c r="J144" s="66" t="str">
        <f t="shared" si="1"/>
        <v>2016, Grgich Hills, Miljenkos Selection Old Vine Zinfandel, Zinfandel</v>
      </c>
    </row>
    <row r="145">
      <c r="A145" s="64">
        <v>2018.0</v>
      </c>
      <c r="B145" s="69" t="s">
        <v>170</v>
      </c>
      <c r="C145" s="100" t="s">
        <v>593</v>
      </c>
      <c r="D145" s="69" t="s">
        <v>578</v>
      </c>
      <c r="E145" s="76">
        <v>25.0</v>
      </c>
      <c r="J145" s="66" t="str">
        <f t="shared" si="1"/>
        <v>2018, Grgich Hills, Napa Valley Rosé, Rosé</v>
      </c>
    </row>
    <row r="146">
      <c r="A146" s="64">
        <v>2014.0</v>
      </c>
      <c r="B146" s="69" t="s">
        <v>170</v>
      </c>
      <c r="C146" s="100" t="s">
        <v>171</v>
      </c>
      <c r="D146" s="69" t="s">
        <v>551</v>
      </c>
      <c r="E146" s="76">
        <v>150.0</v>
      </c>
      <c r="J146" s="66" t="str">
        <f t="shared" si="1"/>
        <v>2014, Grgich Hills, Old Vine Cab Sauv, Cab Sauv</v>
      </c>
    </row>
    <row r="147">
      <c r="A147" s="102">
        <v>2017.0</v>
      </c>
      <c r="B147" s="103" t="s">
        <v>588</v>
      </c>
      <c r="C147" s="104" t="s">
        <v>589</v>
      </c>
      <c r="D147" s="103" t="s">
        <v>191</v>
      </c>
      <c r="E147" s="105">
        <v>55.0</v>
      </c>
      <c r="F147" s="106"/>
      <c r="G147" s="106" t="str">
        <f>CONCATENATE(A147," ",B147," ", " ''",C147,"'' ", " - ","$",E147)</f>
        <v>2017 Soquel Vineyards  ''Estate Grown Pinot Noir''  - $55</v>
      </c>
      <c r="H147" s="106"/>
      <c r="I147" s="106"/>
      <c r="J147" s="66" t="str">
        <f t="shared" si="1"/>
        <v>2017, Soquel Vineyards, Estate Grown Pinot Noir, Pinot Noir</v>
      </c>
    </row>
    <row r="148">
      <c r="A148" s="64">
        <v>2017.0</v>
      </c>
      <c r="C148" s="100" t="s">
        <v>590</v>
      </c>
      <c r="D148" s="69" t="s">
        <v>235</v>
      </c>
      <c r="E148" s="69">
        <v>40.0</v>
      </c>
      <c r="J148" s="66" t="str">
        <f t="shared" si="1"/>
        <v>2017, , Regan Vineyards Reserve Santa Cruz Mountains Merlot, Merlot</v>
      </c>
    </row>
    <row r="149">
      <c r="A149" s="64">
        <v>2015.0</v>
      </c>
      <c r="B149" s="69" t="s">
        <v>56</v>
      </c>
      <c r="C149" s="100" t="s">
        <v>544</v>
      </c>
      <c r="D149" s="69" t="s">
        <v>191</v>
      </c>
      <c r="E149" s="69">
        <v>37.0</v>
      </c>
      <c r="J149" s="66" t="str">
        <f t="shared" si="1"/>
        <v>2015, Dowsett Family Wines, Becklin Vineyards Pinor Noir, Pinot Noir</v>
      </c>
    </row>
    <row r="150">
      <c r="A150" s="64">
        <v>2013.0</v>
      </c>
      <c r="B150" s="69" t="s">
        <v>56</v>
      </c>
      <c r="C150" s="100" t="s">
        <v>57</v>
      </c>
      <c r="D150" s="69" t="s">
        <v>660</v>
      </c>
      <c r="E150" s="69">
        <v>34.0</v>
      </c>
      <c r="J150" s="66" t="str">
        <f t="shared" si="1"/>
        <v>2013, Dowsett Family Wines, Heart of the Hill Vineyard Mouvedre, Mourvedre</v>
      </c>
    </row>
    <row r="151">
      <c r="A151" s="64" t="s">
        <v>75</v>
      </c>
      <c r="B151" s="69" t="s">
        <v>103</v>
      </c>
      <c r="C151" s="100" t="s">
        <v>690</v>
      </c>
      <c r="D151" s="69" t="s">
        <v>691</v>
      </c>
      <c r="E151" s="69">
        <v>85.0</v>
      </c>
      <c r="J151" s="66" t="str">
        <f t="shared" si="1"/>
        <v>-, Domaine Carneros, Blanc de Noir 1.5L, Large Format</v>
      </c>
    </row>
    <row r="152">
      <c r="A152" s="64" t="s">
        <v>75</v>
      </c>
      <c r="B152" s="69" t="s">
        <v>103</v>
      </c>
      <c r="C152" s="100" t="s">
        <v>578</v>
      </c>
      <c r="D152" s="69" t="s">
        <v>691</v>
      </c>
      <c r="E152" s="69">
        <v>90.0</v>
      </c>
      <c r="J152" s="66" t="str">
        <f t="shared" si="1"/>
        <v>-, Domaine Carneros, Rosé, Large Format</v>
      </c>
    </row>
    <row r="153">
      <c r="A153" s="64">
        <v>2015.0</v>
      </c>
      <c r="B153" s="69" t="s">
        <v>172</v>
      </c>
      <c r="C153" s="100" t="s">
        <v>524</v>
      </c>
      <c r="D153" s="69" t="s">
        <v>691</v>
      </c>
      <c r="E153" s="69">
        <v>160.0</v>
      </c>
      <c r="J153" s="66" t="str">
        <f t="shared" si="1"/>
        <v>2015, Duckhorn Vineyards, Napa Valley Merlot 3L, Large Format</v>
      </c>
    </row>
    <row r="154">
      <c r="A154" s="64">
        <v>2015.0</v>
      </c>
      <c r="B154" s="69" t="s">
        <v>172</v>
      </c>
      <c r="C154" s="100" t="s">
        <v>525</v>
      </c>
      <c r="D154" s="69" t="s">
        <v>691</v>
      </c>
      <c r="E154" s="69">
        <v>300.0</v>
      </c>
      <c r="J154" s="66" t="str">
        <f t="shared" si="1"/>
        <v>2015, Duckhorn Vineyards, The Discussion 1.5L, Large Format</v>
      </c>
    </row>
    <row r="155">
      <c r="A155" s="64">
        <v>2008.0</v>
      </c>
      <c r="B155" s="69" t="s">
        <v>149</v>
      </c>
      <c r="C155" s="100" t="s">
        <v>150</v>
      </c>
      <c r="D155" s="69" t="s">
        <v>44</v>
      </c>
      <c r="E155" s="69">
        <v>80.0</v>
      </c>
      <c r="J155" s="66" t="str">
        <f t="shared" si="1"/>
        <v>2008, Gloria Ferrer, Carneros Cuvee, Sparkling</v>
      </c>
    </row>
    <row r="156">
      <c r="A156" s="107">
        <v>2016.0</v>
      </c>
      <c r="B156" s="108" t="s">
        <v>149</v>
      </c>
      <c r="C156" s="109" t="s">
        <v>578</v>
      </c>
      <c r="D156" s="108" t="s">
        <v>578</v>
      </c>
      <c r="E156" s="108">
        <v>50.0</v>
      </c>
      <c r="J156" s="66" t="str">
        <f t="shared" si="1"/>
        <v>2016, Gloria Ferrer, Rosé, Rosé</v>
      </c>
    </row>
    <row r="157">
      <c r="A157" s="64">
        <v>2014.0</v>
      </c>
      <c r="B157" s="69" t="s">
        <v>301</v>
      </c>
      <c r="C157" s="100" t="s">
        <v>692</v>
      </c>
      <c r="D157" s="69" t="s">
        <v>691</v>
      </c>
      <c r="E157" s="69">
        <v>329.0</v>
      </c>
      <c r="J157" s="66" t="str">
        <f t="shared" si="1"/>
        <v>2014, Walt Wines, La Brisa, Large Format</v>
      </c>
    </row>
    <row r="158">
      <c r="A158" s="64">
        <v>2016.0</v>
      </c>
      <c r="B158" s="69" t="s">
        <v>205</v>
      </c>
      <c r="C158" s="100" t="s">
        <v>598</v>
      </c>
      <c r="D158" s="69" t="s">
        <v>415</v>
      </c>
      <c r="E158" s="69">
        <v>50.0</v>
      </c>
      <c r="J158" s="66" t="str">
        <f t="shared" si="1"/>
        <v>2016, Silverado, Mt. George Malbec, Malbec</v>
      </c>
    </row>
    <row r="159">
      <c r="A159" s="64">
        <v>2016.0</v>
      </c>
      <c r="B159" s="108" t="s">
        <v>84</v>
      </c>
      <c r="C159" s="109" t="s">
        <v>693</v>
      </c>
      <c r="D159" s="69" t="s">
        <v>551</v>
      </c>
      <c r="E159" s="108">
        <v>45.0</v>
      </c>
      <c r="J159" s="66" t="str">
        <f t="shared" si="1"/>
        <v>2016, Hall Wines, Craigs, Cab Sauv</v>
      </c>
    </row>
    <row r="160">
      <c r="A160" s="64">
        <v>2016.0</v>
      </c>
      <c r="B160" s="69" t="s">
        <v>205</v>
      </c>
      <c r="C160" s="100" t="s">
        <v>206</v>
      </c>
      <c r="D160" s="69" t="s">
        <v>551</v>
      </c>
      <c r="E160" s="69">
        <v>100.0</v>
      </c>
      <c r="J160" s="66" t="str">
        <f t="shared" si="1"/>
        <v>2016, Silverado, Geo, Cab Sauv</v>
      </c>
    </row>
    <row r="161">
      <c r="A161" s="64">
        <v>2017.0</v>
      </c>
      <c r="B161" s="69" t="s">
        <v>527</v>
      </c>
      <c r="C161" s="100" t="s">
        <v>694</v>
      </c>
      <c r="D161" s="69" t="s">
        <v>636</v>
      </c>
      <c r="E161" s="69">
        <v>116.0</v>
      </c>
      <c r="J161" s="66" t="str">
        <f t="shared" si="1"/>
        <v>2017, Almaviva, Almaviva Red Blend, Red Blend</v>
      </c>
    </row>
    <row r="162">
      <c r="A162" s="64">
        <v>2015.0</v>
      </c>
      <c r="B162" s="69" t="s">
        <v>542</v>
      </c>
      <c r="C162" s="100" t="s">
        <v>543</v>
      </c>
      <c r="D162" s="69" t="s">
        <v>92</v>
      </c>
      <c r="E162" s="69">
        <v>56.0</v>
      </c>
      <c r="J162" s="66" t="str">
        <f t="shared" si="1"/>
        <v>2015, Bruna Grimaldi, Badarina, Barolo</v>
      </c>
    </row>
    <row r="163">
      <c r="A163" s="64">
        <v>2016.0</v>
      </c>
      <c r="B163" s="69" t="s">
        <v>56</v>
      </c>
      <c r="C163" s="100" t="s">
        <v>546</v>
      </c>
      <c r="D163" s="112" t="s">
        <v>695</v>
      </c>
      <c r="E163" s="69">
        <v>27.0</v>
      </c>
      <c r="J163" s="66" t="str">
        <f t="shared" si="1"/>
        <v>2016, Dowsett Family Wines, Gewurztraminer Celilo Vineyard, Gewurztraminer</v>
      </c>
    </row>
    <row r="164">
      <c r="A164" s="64">
        <v>2013.0</v>
      </c>
      <c r="B164" s="69" t="s">
        <v>118</v>
      </c>
      <c r="C164" s="100" t="s">
        <v>534</v>
      </c>
      <c r="D164" s="69" t="s">
        <v>92</v>
      </c>
      <c r="E164" s="69">
        <v>99.0</v>
      </c>
      <c r="J164" s="66" t="str">
        <f t="shared" si="1"/>
        <v>2013, Luigi Baudana, Cerretta , Barolo</v>
      </c>
    </row>
    <row r="165">
      <c r="A165" s="64" t="s">
        <v>75</v>
      </c>
      <c r="B165" s="69" t="s">
        <v>557</v>
      </c>
      <c r="C165" s="100" t="s">
        <v>570</v>
      </c>
      <c r="D165" s="69" t="s">
        <v>696</v>
      </c>
      <c r="E165" s="69">
        <v>120.0</v>
      </c>
      <c r="J165" s="66" t="str">
        <f t="shared" si="1"/>
        <v>-, Merry Edwards Winery, Cuvee something, Sparkling Wine</v>
      </c>
    </row>
    <row r="166">
      <c r="A166" s="64">
        <v>2016.0</v>
      </c>
      <c r="B166" s="69" t="s">
        <v>557</v>
      </c>
      <c r="C166" s="100" t="s">
        <v>558</v>
      </c>
      <c r="D166" s="69" t="s">
        <v>191</v>
      </c>
      <c r="E166" s="69">
        <v>66.0</v>
      </c>
      <c r="J166" s="66" t="str">
        <f t="shared" si="1"/>
        <v>2016, Merry Edwards Winery, Georganne Pinot Noir, Pinot Noir</v>
      </c>
    </row>
    <row r="167">
      <c r="A167" s="64">
        <v>2018.0</v>
      </c>
      <c r="B167" s="69" t="s">
        <v>64</v>
      </c>
      <c r="C167" s="100" t="s">
        <v>697</v>
      </c>
      <c r="D167" s="69" t="s">
        <v>591</v>
      </c>
      <c r="E167" s="69">
        <v>25.0</v>
      </c>
      <c r="J167" s="66" t="str">
        <f t="shared" si="1"/>
        <v>2018, Bargetto Wines, Baser Vineyard Viognier, Viognier</v>
      </c>
    </row>
    <row r="168">
      <c r="A168" s="64">
        <v>2017.0</v>
      </c>
      <c r="B168" s="69" t="s">
        <v>64</v>
      </c>
      <c r="C168" s="100" t="s">
        <v>698</v>
      </c>
      <c r="D168" s="69" t="s">
        <v>191</v>
      </c>
      <c r="E168" s="69">
        <v>35.0</v>
      </c>
      <c r="J168" s="66" t="str">
        <f t="shared" si="1"/>
        <v>2017, Bargetto Wines, Regan Vineyards, Dijon Clone Pinot Noir, Pinot Noir</v>
      </c>
    </row>
    <row r="169">
      <c r="A169" s="64">
        <v>2016.0</v>
      </c>
      <c r="B169" s="69" t="s">
        <v>170</v>
      </c>
      <c r="C169" s="100" t="s">
        <v>699</v>
      </c>
      <c r="D169" s="69" t="s">
        <v>700</v>
      </c>
      <c r="E169" s="69">
        <v>65.0</v>
      </c>
      <c r="J169" s="66" t="str">
        <f t="shared" si="1"/>
        <v>2016, Grgich Hills, Miljenkos Selection Petit Verdot, Petite Verdot</v>
      </c>
    </row>
    <row r="170">
      <c r="A170" s="64">
        <v>2016.0</v>
      </c>
      <c r="B170" s="69" t="s">
        <v>84</v>
      </c>
      <c r="C170" s="100">
        <v>1873.0</v>
      </c>
      <c r="D170" s="69" t="s">
        <v>551</v>
      </c>
      <c r="E170" s="69">
        <v>85.0</v>
      </c>
      <c r="J170" s="66" t="str">
        <f t="shared" si="1"/>
        <v>2016, Hall Wines, 1873, Cab Sauv</v>
      </c>
    </row>
    <row r="171">
      <c r="A171" s="102">
        <v>2016.0</v>
      </c>
      <c r="B171" s="103" t="s">
        <v>197</v>
      </c>
      <c r="C171" s="104" t="s">
        <v>701</v>
      </c>
      <c r="D171" s="103" t="s">
        <v>235</v>
      </c>
      <c r="E171" s="105">
        <v>48.0</v>
      </c>
      <c r="F171" s="106"/>
      <c r="G171" s="106" t="str">
        <f t="shared" ref="G171:G172" si="5">CONCATENATE(A171," ",B171," ", " ''",C171,"'' ", " - ","$",E171)</f>
        <v>2016 Sequoia Grove  ''Napa Valley Merlot''  - $48</v>
      </c>
      <c r="H171" s="106"/>
      <c r="I171" s="106"/>
      <c r="J171" s="66" t="str">
        <f t="shared" si="1"/>
        <v>2016, Sequoia Grove, Napa Valley Merlot, Merlot</v>
      </c>
    </row>
    <row r="172">
      <c r="A172" s="102">
        <v>2016.0</v>
      </c>
      <c r="B172" s="103" t="s">
        <v>197</v>
      </c>
      <c r="C172" s="104" t="s">
        <v>702</v>
      </c>
      <c r="D172" s="103" t="s">
        <v>551</v>
      </c>
      <c r="E172" s="105">
        <v>75.0</v>
      </c>
      <c r="F172" s="106"/>
      <c r="G172" s="106" t="str">
        <f t="shared" si="5"/>
        <v>2016 Sequoia Grove  ''Rutherford Bench Reserve Cab Sauv''  - $75</v>
      </c>
      <c r="H172" s="106"/>
      <c r="I172" s="106"/>
      <c r="J172" s="66" t="str">
        <f t="shared" si="1"/>
        <v>2016, Sequoia Grove, Rutherford Bench Reserve Cab Sauv, Cab Sauv</v>
      </c>
    </row>
    <row r="173">
      <c r="A173" s="64">
        <v>2016.0</v>
      </c>
      <c r="B173" s="69" t="s">
        <v>205</v>
      </c>
      <c r="C173" s="100" t="s">
        <v>703</v>
      </c>
      <c r="D173" s="69" t="s">
        <v>75</v>
      </c>
      <c r="E173" s="69">
        <v>25.0</v>
      </c>
      <c r="J173" s="66" t="str">
        <f t="shared" si="1"/>
        <v>2016, Silverado, Club Red, -</v>
      </c>
    </row>
    <row r="174">
      <c r="A174" s="64">
        <v>2016.0</v>
      </c>
      <c r="B174" s="69" t="s">
        <v>205</v>
      </c>
      <c r="C174" s="100" t="s">
        <v>552</v>
      </c>
      <c r="D174" s="69" t="s">
        <v>235</v>
      </c>
      <c r="E174" s="69">
        <v>45.0</v>
      </c>
      <c r="J174" s="66" t="str">
        <f t="shared" si="1"/>
        <v>2016, Silverado, Mt. George Merlot, Merlot</v>
      </c>
    </row>
    <row r="175">
      <c r="A175" s="64">
        <v>2016.0</v>
      </c>
      <c r="B175" s="69" t="s">
        <v>205</v>
      </c>
      <c r="C175" s="100" t="s">
        <v>704</v>
      </c>
      <c r="D175" s="69" t="s">
        <v>636</v>
      </c>
      <c r="E175" s="69">
        <v>30.0</v>
      </c>
      <c r="J175" s="66" t="str">
        <f t="shared" si="1"/>
        <v>2016, Silverado, Poster Series Club Red, Red Blend</v>
      </c>
    </row>
    <row r="176">
      <c r="A176" s="64">
        <v>2016.0</v>
      </c>
      <c r="B176" s="69" t="s">
        <v>205</v>
      </c>
      <c r="C176" s="100" t="s">
        <v>181</v>
      </c>
      <c r="D176" s="69" t="s">
        <v>551</v>
      </c>
      <c r="E176" s="69">
        <v>125.0</v>
      </c>
      <c r="J176" s="66" t="str">
        <f t="shared" si="1"/>
        <v>2016, Silverado, Solo, Cab Sauv</v>
      </c>
    </row>
    <row r="177">
      <c r="A177" s="113"/>
      <c r="B177" s="114"/>
      <c r="C177" s="115"/>
      <c r="D177" s="116"/>
      <c r="E177" s="114"/>
    </row>
    <row r="178">
      <c r="A178" s="117"/>
      <c r="C178" s="118"/>
    </row>
    <row r="179">
      <c r="A179" s="117"/>
      <c r="C179" s="118"/>
    </row>
    <row r="180">
      <c r="A180" s="117"/>
      <c r="C180" s="118"/>
    </row>
    <row r="181">
      <c r="A181" s="117"/>
      <c r="C181" s="118"/>
    </row>
    <row r="182">
      <c r="A182" s="117"/>
      <c r="C182" s="118"/>
    </row>
    <row r="183">
      <c r="A183" s="117"/>
      <c r="C183" s="118"/>
    </row>
    <row r="184">
      <c r="A184" s="117"/>
      <c r="C184" s="118"/>
    </row>
    <row r="185">
      <c r="A185" s="117"/>
      <c r="C185" s="118"/>
    </row>
    <row r="186">
      <c r="A186" s="117"/>
      <c r="C186" s="118"/>
    </row>
    <row r="187">
      <c r="A187" s="117"/>
      <c r="C187" s="118"/>
    </row>
    <row r="188">
      <c r="A188" s="117"/>
      <c r="C188" s="118"/>
    </row>
    <row r="189">
      <c r="A189" s="117"/>
      <c r="C189" s="118"/>
    </row>
    <row r="190">
      <c r="A190" s="117"/>
      <c r="C190" s="118"/>
    </row>
    <row r="191">
      <c r="A191" s="117"/>
      <c r="C191" s="118"/>
    </row>
    <row r="192">
      <c r="A192" s="117"/>
      <c r="C192" s="118"/>
    </row>
    <row r="193">
      <c r="A193" s="117"/>
      <c r="C193" s="118"/>
    </row>
    <row r="194">
      <c r="A194" s="117"/>
      <c r="C194" s="118"/>
    </row>
    <row r="195">
      <c r="A195" s="117"/>
      <c r="C195" s="118"/>
    </row>
    <row r="196">
      <c r="A196" s="117"/>
      <c r="C196" s="118"/>
    </row>
    <row r="197">
      <c r="A197" s="117"/>
      <c r="C197" s="118"/>
    </row>
    <row r="198">
      <c r="A198" s="117"/>
      <c r="C198" s="118"/>
    </row>
    <row r="199">
      <c r="A199" s="117"/>
      <c r="C199" s="118"/>
    </row>
    <row r="200">
      <c r="A200" s="117"/>
      <c r="C200" s="118"/>
    </row>
    <row r="201">
      <c r="A201" s="117"/>
      <c r="C201" s="118"/>
    </row>
    <row r="202">
      <c r="A202" s="117"/>
      <c r="C202" s="118"/>
    </row>
    <row r="203">
      <c r="A203" s="117"/>
      <c r="C203" s="118"/>
    </row>
    <row r="204">
      <c r="A204" s="117"/>
      <c r="C204" s="118"/>
    </row>
    <row r="205">
      <c r="A205" s="117"/>
      <c r="C205" s="118"/>
    </row>
    <row r="206">
      <c r="A206" s="117"/>
      <c r="C206" s="118"/>
    </row>
    <row r="207">
      <c r="A207" s="117"/>
      <c r="C207" s="118"/>
    </row>
    <row r="208">
      <c r="A208" s="117"/>
      <c r="C208" s="118"/>
    </row>
    <row r="209">
      <c r="A209" s="117"/>
      <c r="C209" s="118"/>
    </row>
    <row r="210">
      <c r="A210" s="117"/>
      <c r="C210" s="118"/>
    </row>
    <row r="211">
      <c r="A211" s="117"/>
      <c r="C211" s="118"/>
    </row>
    <row r="212">
      <c r="A212" s="117"/>
      <c r="C212" s="118"/>
    </row>
    <row r="213">
      <c r="A213" s="117"/>
      <c r="C213" s="118"/>
    </row>
    <row r="214">
      <c r="A214" s="117"/>
      <c r="C214" s="118"/>
    </row>
    <row r="215">
      <c r="A215" s="117"/>
      <c r="C215" s="118"/>
    </row>
    <row r="216">
      <c r="A216" s="117"/>
      <c r="C216" s="118"/>
    </row>
    <row r="217">
      <c r="A217" s="117"/>
      <c r="C217" s="118"/>
    </row>
    <row r="218">
      <c r="A218" s="117"/>
      <c r="C218" s="118"/>
    </row>
    <row r="219">
      <c r="A219" s="117"/>
      <c r="C219" s="118"/>
    </row>
    <row r="220">
      <c r="A220" s="117"/>
      <c r="C220" s="118"/>
    </row>
    <row r="221">
      <c r="A221" s="117"/>
      <c r="C221" s="118"/>
    </row>
    <row r="222">
      <c r="A222" s="117"/>
      <c r="C222" s="118"/>
    </row>
    <row r="223">
      <c r="A223" s="117"/>
      <c r="C223" s="118"/>
    </row>
    <row r="224">
      <c r="A224" s="117"/>
      <c r="C224" s="118"/>
    </row>
    <row r="225">
      <c r="A225" s="117"/>
      <c r="C225" s="118"/>
    </row>
    <row r="226">
      <c r="A226" s="117"/>
      <c r="C226" s="118"/>
    </row>
    <row r="227">
      <c r="A227" s="117"/>
      <c r="C227" s="118"/>
    </row>
    <row r="228">
      <c r="A228" s="117"/>
      <c r="C228" s="118"/>
    </row>
    <row r="229">
      <c r="A229" s="117"/>
      <c r="C229" s="118"/>
    </row>
    <row r="230">
      <c r="A230" s="117"/>
      <c r="C230" s="118"/>
    </row>
    <row r="231">
      <c r="A231" s="117"/>
      <c r="C231" s="118"/>
    </row>
    <row r="232">
      <c r="A232" s="117"/>
      <c r="C232" s="118"/>
    </row>
    <row r="233">
      <c r="A233" s="117"/>
      <c r="C233" s="118"/>
    </row>
    <row r="234">
      <c r="A234" s="117"/>
      <c r="C234" s="118"/>
    </row>
    <row r="235">
      <c r="A235" s="117"/>
      <c r="C235" s="118"/>
    </row>
    <row r="236">
      <c r="A236" s="117"/>
      <c r="C236" s="118"/>
    </row>
    <row r="237">
      <c r="A237" s="117"/>
      <c r="C237" s="118"/>
    </row>
    <row r="238">
      <c r="A238" s="117"/>
      <c r="C238" s="118"/>
    </row>
    <row r="239">
      <c r="A239" s="117"/>
      <c r="C239" s="118"/>
    </row>
    <row r="240">
      <c r="A240" s="117"/>
      <c r="C240" s="118"/>
    </row>
    <row r="241">
      <c r="A241" s="117"/>
      <c r="C241" s="118"/>
    </row>
    <row r="242">
      <c r="A242" s="117"/>
      <c r="C242" s="118"/>
    </row>
    <row r="243">
      <c r="A243" s="117"/>
      <c r="C243" s="118"/>
    </row>
    <row r="244">
      <c r="A244" s="117"/>
      <c r="C244" s="118"/>
    </row>
    <row r="245">
      <c r="A245" s="117"/>
      <c r="C245" s="118"/>
    </row>
    <row r="246">
      <c r="A246" s="117"/>
      <c r="C246" s="118"/>
    </row>
    <row r="247">
      <c r="A247" s="117"/>
      <c r="C247" s="118"/>
    </row>
    <row r="248">
      <c r="A248" s="117"/>
      <c r="C248" s="118"/>
    </row>
    <row r="249">
      <c r="A249" s="117"/>
      <c r="C249" s="118"/>
    </row>
    <row r="250">
      <c r="A250" s="117"/>
      <c r="C250" s="118"/>
    </row>
    <row r="251">
      <c r="A251" s="117"/>
      <c r="C251" s="118"/>
    </row>
    <row r="252">
      <c r="A252" s="117"/>
      <c r="C252" s="118"/>
    </row>
    <row r="253">
      <c r="A253" s="117"/>
      <c r="C253" s="118"/>
    </row>
    <row r="254">
      <c r="A254" s="117"/>
      <c r="C254" s="118"/>
    </row>
    <row r="255">
      <c r="A255" s="117"/>
      <c r="C255" s="118"/>
    </row>
    <row r="256">
      <c r="A256" s="117"/>
      <c r="C256" s="118"/>
    </row>
    <row r="257">
      <c r="A257" s="117"/>
      <c r="C257" s="118"/>
    </row>
    <row r="258">
      <c r="A258" s="117"/>
      <c r="C258" s="118"/>
    </row>
    <row r="259">
      <c r="A259" s="117"/>
      <c r="C259" s="118"/>
    </row>
    <row r="260">
      <c r="A260" s="117"/>
      <c r="C260" s="118"/>
    </row>
    <row r="261">
      <c r="A261" s="117"/>
      <c r="C261" s="118"/>
    </row>
    <row r="262">
      <c r="A262" s="117"/>
      <c r="C262" s="118"/>
    </row>
    <row r="263">
      <c r="A263" s="117"/>
      <c r="C263" s="118"/>
    </row>
    <row r="264">
      <c r="A264" s="117"/>
      <c r="C264" s="118"/>
    </row>
    <row r="265">
      <c r="A265" s="117"/>
      <c r="C265" s="118"/>
    </row>
    <row r="266">
      <c r="A266" s="117"/>
      <c r="C266" s="118"/>
    </row>
    <row r="267">
      <c r="A267" s="117"/>
      <c r="C267" s="118"/>
    </row>
    <row r="268">
      <c r="A268" s="117"/>
      <c r="C268" s="118"/>
    </row>
    <row r="269">
      <c r="A269" s="117"/>
      <c r="C269" s="118"/>
    </row>
    <row r="270">
      <c r="A270" s="117"/>
      <c r="C270" s="118"/>
    </row>
    <row r="271">
      <c r="A271" s="117"/>
      <c r="C271" s="118"/>
    </row>
    <row r="272">
      <c r="A272" s="117"/>
      <c r="C272" s="118"/>
    </row>
    <row r="273">
      <c r="A273" s="117"/>
      <c r="C273" s="118"/>
    </row>
    <row r="274">
      <c r="A274" s="117"/>
      <c r="C274" s="118"/>
    </row>
    <row r="275">
      <c r="A275" s="117"/>
      <c r="C275" s="118"/>
    </row>
    <row r="276">
      <c r="A276" s="117"/>
      <c r="C276" s="118"/>
    </row>
    <row r="277">
      <c r="A277" s="117"/>
      <c r="C277" s="118"/>
    </row>
    <row r="278">
      <c r="A278" s="117"/>
      <c r="C278" s="118"/>
    </row>
    <row r="279">
      <c r="A279" s="117"/>
      <c r="C279" s="118"/>
    </row>
    <row r="280">
      <c r="A280" s="117"/>
      <c r="C280" s="118"/>
    </row>
    <row r="281">
      <c r="A281" s="117"/>
      <c r="C281" s="118"/>
    </row>
    <row r="282">
      <c r="A282" s="117"/>
      <c r="C282" s="118"/>
    </row>
    <row r="283">
      <c r="A283" s="117"/>
      <c r="C283" s="118"/>
    </row>
    <row r="284">
      <c r="A284" s="117"/>
      <c r="C284" s="118"/>
    </row>
    <row r="285">
      <c r="A285" s="117"/>
      <c r="C285" s="118"/>
    </row>
    <row r="286">
      <c r="A286" s="117"/>
      <c r="C286" s="118"/>
    </row>
    <row r="287">
      <c r="A287" s="117"/>
      <c r="C287" s="118"/>
    </row>
    <row r="288">
      <c r="A288" s="117"/>
      <c r="C288" s="118"/>
    </row>
    <row r="289">
      <c r="A289" s="117"/>
      <c r="C289" s="118"/>
    </row>
    <row r="290">
      <c r="A290" s="117"/>
      <c r="C290" s="118"/>
    </row>
    <row r="291">
      <c r="A291" s="117"/>
      <c r="C291" s="118"/>
    </row>
    <row r="292">
      <c r="A292" s="117"/>
      <c r="C292" s="118"/>
    </row>
    <row r="293">
      <c r="A293" s="117"/>
      <c r="C293" s="118"/>
    </row>
    <row r="294">
      <c r="A294" s="117"/>
      <c r="C294" s="118"/>
    </row>
    <row r="295">
      <c r="A295" s="117"/>
      <c r="C295" s="118"/>
    </row>
    <row r="296">
      <c r="A296" s="117"/>
      <c r="C296" s="118"/>
    </row>
    <row r="297">
      <c r="A297" s="117"/>
      <c r="C297" s="118"/>
    </row>
    <row r="298">
      <c r="A298" s="117"/>
      <c r="C298" s="118"/>
    </row>
    <row r="299">
      <c r="A299" s="117"/>
      <c r="C299" s="118"/>
    </row>
    <row r="300">
      <c r="A300" s="117"/>
      <c r="C300" s="118"/>
    </row>
    <row r="301">
      <c r="A301" s="117"/>
      <c r="C301" s="118"/>
    </row>
    <row r="302">
      <c r="A302" s="117"/>
      <c r="C302" s="118"/>
    </row>
    <row r="303">
      <c r="A303" s="117"/>
      <c r="C303" s="118"/>
    </row>
    <row r="304">
      <c r="A304" s="117"/>
      <c r="C304" s="118"/>
    </row>
    <row r="305">
      <c r="A305" s="117"/>
      <c r="C305" s="118"/>
    </row>
    <row r="306">
      <c r="A306" s="117"/>
      <c r="C306" s="118"/>
    </row>
    <row r="307">
      <c r="A307" s="117"/>
      <c r="C307" s="118"/>
    </row>
    <row r="308">
      <c r="A308" s="117"/>
      <c r="C308" s="118"/>
    </row>
    <row r="309">
      <c r="A309" s="117"/>
      <c r="C309" s="118"/>
    </row>
    <row r="310">
      <c r="A310" s="117"/>
      <c r="C310" s="118"/>
    </row>
    <row r="311">
      <c r="A311" s="117"/>
      <c r="C311" s="118"/>
    </row>
    <row r="312">
      <c r="A312" s="117"/>
      <c r="C312" s="118"/>
    </row>
    <row r="313">
      <c r="A313" s="117"/>
      <c r="C313" s="118"/>
    </row>
    <row r="314">
      <c r="A314" s="117"/>
      <c r="C314" s="118"/>
    </row>
    <row r="315">
      <c r="A315" s="117"/>
      <c r="C315" s="118"/>
    </row>
    <row r="316">
      <c r="A316" s="117"/>
      <c r="C316" s="118"/>
    </row>
    <row r="317">
      <c r="A317" s="117"/>
      <c r="C317" s="118"/>
    </row>
    <row r="318">
      <c r="A318" s="117"/>
      <c r="C318" s="118"/>
    </row>
    <row r="319">
      <c r="A319" s="117"/>
      <c r="C319" s="118"/>
    </row>
    <row r="320">
      <c r="A320" s="117"/>
      <c r="C320" s="118"/>
    </row>
    <row r="321">
      <c r="A321" s="117"/>
      <c r="C321" s="118"/>
    </row>
    <row r="322">
      <c r="A322" s="117"/>
      <c r="C322" s="118"/>
    </row>
    <row r="323">
      <c r="A323" s="117"/>
      <c r="C323" s="118"/>
    </row>
    <row r="324">
      <c r="A324" s="117"/>
      <c r="C324" s="118"/>
    </row>
    <row r="325">
      <c r="A325" s="117"/>
      <c r="C325" s="118"/>
    </row>
    <row r="326">
      <c r="A326" s="117"/>
      <c r="C326" s="118"/>
    </row>
    <row r="327">
      <c r="A327" s="117"/>
      <c r="C327" s="118"/>
    </row>
    <row r="328">
      <c r="A328" s="117"/>
      <c r="C328" s="118"/>
    </row>
    <row r="329">
      <c r="A329" s="117"/>
      <c r="C329" s="118"/>
    </row>
    <row r="330">
      <c r="A330" s="117"/>
      <c r="C330" s="118"/>
    </row>
    <row r="331">
      <c r="A331" s="117"/>
      <c r="C331" s="118"/>
    </row>
    <row r="332">
      <c r="A332" s="117"/>
      <c r="C332" s="118"/>
    </row>
    <row r="333">
      <c r="A333" s="117"/>
      <c r="C333" s="118"/>
    </row>
    <row r="334">
      <c r="A334" s="117"/>
      <c r="C334" s="118"/>
    </row>
    <row r="335">
      <c r="A335" s="117"/>
      <c r="C335" s="118"/>
    </row>
    <row r="336">
      <c r="A336" s="117"/>
      <c r="C336" s="118"/>
    </row>
    <row r="337">
      <c r="A337" s="117"/>
      <c r="C337" s="118"/>
    </row>
    <row r="338">
      <c r="A338" s="117"/>
      <c r="C338" s="118"/>
    </row>
    <row r="339">
      <c r="A339" s="117"/>
      <c r="C339" s="118"/>
    </row>
    <row r="340">
      <c r="A340" s="117"/>
      <c r="C340" s="118"/>
    </row>
    <row r="341">
      <c r="A341" s="117"/>
      <c r="C341" s="118"/>
    </row>
    <row r="342">
      <c r="A342" s="117"/>
      <c r="C342" s="118"/>
    </row>
    <row r="343">
      <c r="A343" s="117"/>
      <c r="C343" s="118"/>
    </row>
    <row r="344">
      <c r="A344" s="117"/>
      <c r="C344" s="118"/>
    </row>
    <row r="345">
      <c r="A345" s="117"/>
      <c r="C345" s="118"/>
    </row>
    <row r="346">
      <c r="A346" s="117"/>
      <c r="C346" s="118"/>
    </row>
    <row r="347">
      <c r="A347" s="117"/>
      <c r="C347" s="118"/>
    </row>
    <row r="348">
      <c r="A348" s="117"/>
      <c r="C348" s="118"/>
    </row>
    <row r="349">
      <c r="A349" s="117"/>
      <c r="C349" s="118"/>
    </row>
    <row r="350">
      <c r="A350" s="117"/>
      <c r="C350" s="118"/>
    </row>
    <row r="351">
      <c r="A351" s="117"/>
      <c r="C351" s="118"/>
    </row>
    <row r="352">
      <c r="A352" s="117"/>
      <c r="C352" s="118"/>
    </row>
    <row r="353">
      <c r="A353" s="117"/>
      <c r="C353" s="118"/>
    </row>
    <row r="354">
      <c r="A354" s="117"/>
      <c r="C354" s="118"/>
    </row>
    <row r="355">
      <c r="A355" s="117"/>
      <c r="C355" s="118"/>
    </row>
    <row r="356">
      <c r="A356" s="117"/>
      <c r="C356" s="118"/>
    </row>
    <row r="357">
      <c r="A357" s="117"/>
      <c r="C357" s="118"/>
    </row>
    <row r="358">
      <c r="A358" s="117"/>
      <c r="C358" s="118"/>
    </row>
    <row r="359">
      <c r="A359" s="117"/>
      <c r="C359" s="118"/>
    </row>
    <row r="360">
      <c r="A360" s="117"/>
      <c r="C360" s="118"/>
    </row>
    <row r="361">
      <c r="A361" s="117"/>
      <c r="C361" s="118"/>
    </row>
    <row r="362">
      <c r="A362" s="117"/>
      <c r="C362" s="118"/>
    </row>
    <row r="363">
      <c r="A363" s="117"/>
      <c r="C363" s="118"/>
    </row>
    <row r="364">
      <c r="A364" s="117"/>
      <c r="C364" s="118"/>
    </row>
    <row r="365">
      <c r="A365" s="117"/>
      <c r="C365" s="118"/>
    </row>
    <row r="366">
      <c r="A366" s="117"/>
      <c r="C366" s="118"/>
    </row>
    <row r="367">
      <c r="A367" s="117"/>
      <c r="C367" s="118"/>
    </row>
    <row r="368">
      <c r="A368" s="117"/>
      <c r="C368" s="118"/>
    </row>
    <row r="369">
      <c r="A369" s="117"/>
      <c r="C369" s="118"/>
    </row>
    <row r="370">
      <c r="A370" s="117"/>
      <c r="C370" s="118"/>
    </row>
    <row r="371">
      <c r="A371" s="117"/>
      <c r="C371" s="118"/>
    </row>
    <row r="372">
      <c r="A372" s="117"/>
      <c r="C372" s="118"/>
    </row>
    <row r="373">
      <c r="A373" s="117"/>
      <c r="C373" s="118"/>
    </row>
    <row r="374">
      <c r="A374" s="117"/>
      <c r="C374" s="118"/>
    </row>
    <row r="375">
      <c r="A375" s="117"/>
      <c r="C375" s="118"/>
    </row>
    <row r="376">
      <c r="A376" s="117"/>
      <c r="C376" s="118"/>
    </row>
    <row r="377">
      <c r="A377" s="117"/>
      <c r="C377" s="118"/>
    </row>
    <row r="378">
      <c r="A378" s="117"/>
      <c r="C378" s="118"/>
    </row>
    <row r="379">
      <c r="A379" s="117"/>
      <c r="C379" s="118"/>
    </row>
    <row r="380">
      <c r="A380" s="117"/>
      <c r="C380" s="118"/>
    </row>
    <row r="381">
      <c r="A381" s="117"/>
      <c r="C381" s="118"/>
    </row>
    <row r="382">
      <c r="A382" s="117"/>
      <c r="C382" s="118"/>
    </row>
    <row r="383">
      <c r="A383" s="117"/>
      <c r="C383" s="118"/>
    </row>
    <row r="384">
      <c r="A384" s="117"/>
      <c r="C384" s="118"/>
    </row>
    <row r="385">
      <c r="A385" s="117"/>
      <c r="C385" s="118"/>
    </row>
    <row r="386">
      <c r="A386" s="117"/>
      <c r="C386" s="118"/>
    </row>
    <row r="387">
      <c r="A387" s="117"/>
      <c r="C387" s="118"/>
    </row>
    <row r="388">
      <c r="A388" s="117"/>
      <c r="C388" s="118"/>
    </row>
    <row r="389">
      <c r="A389" s="117"/>
      <c r="C389" s="118"/>
    </row>
    <row r="390">
      <c r="A390" s="117"/>
      <c r="C390" s="118"/>
    </row>
    <row r="391">
      <c r="A391" s="117"/>
      <c r="C391" s="118"/>
    </row>
    <row r="392">
      <c r="A392" s="117"/>
      <c r="C392" s="118"/>
    </row>
    <row r="393">
      <c r="A393" s="117"/>
      <c r="C393" s="118"/>
    </row>
    <row r="394">
      <c r="A394" s="117"/>
      <c r="C394" s="118"/>
    </row>
    <row r="395">
      <c r="A395" s="117"/>
      <c r="C395" s="118"/>
    </row>
    <row r="396">
      <c r="A396" s="117"/>
      <c r="C396" s="118"/>
    </row>
    <row r="397">
      <c r="A397" s="117"/>
      <c r="C397" s="118"/>
    </row>
    <row r="398">
      <c r="A398" s="117"/>
      <c r="C398" s="118"/>
    </row>
    <row r="399">
      <c r="A399" s="117"/>
      <c r="C399" s="118"/>
    </row>
    <row r="400">
      <c r="A400" s="117"/>
      <c r="C400" s="118"/>
    </row>
    <row r="401">
      <c r="A401" s="117"/>
      <c r="C401" s="118"/>
    </row>
    <row r="402">
      <c r="A402" s="117"/>
      <c r="C402" s="118"/>
    </row>
    <row r="403">
      <c r="A403" s="117"/>
      <c r="C403" s="118"/>
    </row>
    <row r="404">
      <c r="A404" s="117"/>
      <c r="C404" s="118"/>
    </row>
    <row r="405">
      <c r="A405" s="117"/>
      <c r="C405" s="118"/>
    </row>
    <row r="406">
      <c r="A406" s="117"/>
      <c r="C406" s="118"/>
    </row>
    <row r="407">
      <c r="A407" s="117"/>
      <c r="C407" s="118"/>
    </row>
    <row r="408">
      <c r="A408" s="117"/>
      <c r="C408" s="118"/>
    </row>
    <row r="409">
      <c r="A409" s="117"/>
      <c r="C409" s="118"/>
    </row>
    <row r="410">
      <c r="A410" s="117"/>
      <c r="C410" s="118"/>
    </row>
    <row r="411">
      <c r="A411" s="117"/>
      <c r="C411" s="118"/>
    </row>
    <row r="412">
      <c r="A412" s="117"/>
      <c r="C412" s="118"/>
    </row>
    <row r="413">
      <c r="A413" s="117"/>
      <c r="C413" s="118"/>
    </row>
    <row r="414">
      <c r="A414" s="117"/>
      <c r="C414" s="118"/>
    </row>
    <row r="415">
      <c r="A415" s="117"/>
      <c r="C415" s="118"/>
    </row>
    <row r="416">
      <c r="A416" s="117"/>
      <c r="C416" s="118"/>
    </row>
    <row r="417">
      <c r="A417" s="117"/>
      <c r="C417" s="118"/>
    </row>
    <row r="418">
      <c r="A418" s="117"/>
      <c r="C418" s="118"/>
    </row>
    <row r="419">
      <c r="A419" s="117"/>
      <c r="C419" s="118"/>
    </row>
    <row r="420">
      <c r="A420" s="117"/>
      <c r="C420" s="118"/>
    </row>
    <row r="421">
      <c r="A421" s="117"/>
      <c r="C421" s="118"/>
    </row>
    <row r="422">
      <c r="A422" s="117"/>
      <c r="C422" s="118"/>
    </row>
    <row r="423">
      <c r="A423" s="117"/>
      <c r="C423" s="118"/>
    </row>
    <row r="424">
      <c r="A424" s="117"/>
      <c r="C424" s="118"/>
    </row>
    <row r="425">
      <c r="A425" s="117"/>
      <c r="C425" s="118"/>
    </row>
    <row r="426">
      <c r="A426" s="117"/>
      <c r="C426" s="118"/>
    </row>
    <row r="427">
      <c r="A427" s="117"/>
      <c r="C427" s="118"/>
    </row>
    <row r="428">
      <c r="A428" s="117"/>
      <c r="C428" s="118"/>
    </row>
    <row r="429">
      <c r="A429" s="117"/>
      <c r="C429" s="118"/>
    </row>
    <row r="430">
      <c r="A430" s="117"/>
      <c r="C430" s="118"/>
    </row>
    <row r="431">
      <c r="A431" s="117"/>
      <c r="C431" s="118"/>
    </row>
    <row r="432">
      <c r="A432" s="117"/>
      <c r="C432" s="118"/>
    </row>
    <row r="433">
      <c r="A433" s="117"/>
      <c r="C433" s="118"/>
    </row>
    <row r="434">
      <c r="A434" s="117"/>
      <c r="C434" s="118"/>
    </row>
    <row r="435">
      <c r="A435" s="117"/>
      <c r="C435" s="118"/>
    </row>
    <row r="436">
      <c r="A436" s="117"/>
      <c r="C436" s="118"/>
    </row>
    <row r="437">
      <c r="A437" s="117"/>
      <c r="C437" s="118"/>
    </row>
    <row r="438">
      <c r="A438" s="117"/>
      <c r="C438" s="118"/>
    </row>
    <row r="439">
      <c r="A439" s="117"/>
      <c r="C439" s="118"/>
    </row>
    <row r="440">
      <c r="A440" s="117"/>
      <c r="C440" s="118"/>
    </row>
    <row r="441">
      <c r="A441" s="117"/>
      <c r="C441" s="118"/>
    </row>
    <row r="442">
      <c r="A442" s="117"/>
      <c r="C442" s="118"/>
    </row>
    <row r="443">
      <c r="A443" s="117"/>
      <c r="C443" s="118"/>
    </row>
    <row r="444">
      <c r="A444" s="117"/>
      <c r="C444" s="118"/>
    </row>
    <row r="445">
      <c r="A445" s="117"/>
      <c r="C445" s="118"/>
    </row>
    <row r="446">
      <c r="A446" s="117"/>
      <c r="C446" s="118"/>
    </row>
    <row r="447">
      <c r="A447" s="117"/>
      <c r="C447" s="118"/>
    </row>
    <row r="448">
      <c r="A448" s="117"/>
      <c r="C448" s="118"/>
    </row>
    <row r="449">
      <c r="A449" s="117"/>
      <c r="C449" s="118"/>
    </row>
    <row r="450">
      <c r="A450" s="117"/>
      <c r="C450" s="118"/>
    </row>
    <row r="451">
      <c r="A451" s="117"/>
      <c r="C451" s="118"/>
    </row>
    <row r="452">
      <c r="A452" s="117"/>
      <c r="C452" s="118"/>
    </row>
    <row r="453">
      <c r="A453" s="117"/>
      <c r="C453" s="118"/>
    </row>
    <row r="454">
      <c r="A454" s="117"/>
      <c r="C454" s="118"/>
    </row>
    <row r="455">
      <c r="A455" s="117"/>
      <c r="C455" s="118"/>
    </row>
    <row r="456">
      <c r="A456" s="117"/>
      <c r="C456" s="118"/>
    </row>
    <row r="457">
      <c r="A457" s="117"/>
      <c r="C457" s="118"/>
    </row>
    <row r="458">
      <c r="A458" s="117"/>
      <c r="C458" s="118"/>
    </row>
    <row r="459">
      <c r="A459" s="117"/>
      <c r="C459" s="118"/>
    </row>
    <row r="460">
      <c r="A460" s="117"/>
      <c r="C460" s="118"/>
    </row>
    <row r="461">
      <c r="A461" s="117"/>
      <c r="C461" s="118"/>
    </row>
    <row r="462">
      <c r="A462" s="117"/>
      <c r="C462" s="118"/>
    </row>
    <row r="463">
      <c r="A463" s="117"/>
      <c r="C463" s="118"/>
    </row>
    <row r="464">
      <c r="A464" s="117"/>
      <c r="C464" s="118"/>
    </row>
    <row r="465">
      <c r="A465" s="117"/>
      <c r="C465" s="118"/>
    </row>
    <row r="466">
      <c r="A466" s="117"/>
      <c r="C466" s="118"/>
    </row>
    <row r="467">
      <c r="A467" s="117"/>
      <c r="C467" s="118"/>
    </row>
    <row r="468">
      <c r="A468" s="117"/>
      <c r="C468" s="118"/>
    </row>
    <row r="469">
      <c r="A469" s="117"/>
      <c r="C469" s="118"/>
    </row>
    <row r="470">
      <c r="A470" s="117"/>
      <c r="C470" s="118"/>
    </row>
    <row r="471">
      <c r="A471" s="117"/>
      <c r="C471" s="118"/>
    </row>
    <row r="472">
      <c r="A472" s="117"/>
      <c r="C472" s="118"/>
    </row>
    <row r="473">
      <c r="A473" s="117"/>
      <c r="C473" s="118"/>
    </row>
    <row r="474">
      <c r="A474" s="117"/>
      <c r="C474" s="118"/>
    </row>
    <row r="475">
      <c r="A475" s="117"/>
      <c r="C475" s="118"/>
    </row>
    <row r="476">
      <c r="A476" s="117"/>
      <c r="C476" s="118"/>
    </row>
    <row r="477">
      <c r="A477" s="117"/>
      <c r="C477" s="118"/>
    </row>
    <row r="478">
      <c r="A478" s="117"/>
      <c r="C478" s="118"/>
    </row>
    <row r="479">
      <c r="A479" s="117"/>
      <c r="C479" s="118"/>
    </row>
    <row r="480">
      <c r="A480" s="117"/>
      <c r="C480" s="118"/>
    </row>
    <row r="481">
      <c r="A481" s="117"/>
      <c r="C481" s="118"/>
    </row>
    <row r="482">
      <c r="A482" s="117"/>
      <c r="C482" s="118"/>
    </row>
    <row r="483">
      <c r="A483" s="117"/>
      <c r="C483" s="118"/>
    </row>
    <row r="484">
      <c r="A484" s="117"/>
      <c r="C484" s="118"/>
    </row>
    <row r="485">
      <c r="A485" s="117"/>
      <c r="C485" s="118"/>
    </row>
    <row r="486">
      <c r="A486" s="117"/>
      <c r="C486" s="118"/>
    </row>
    <row r="487">
      <c r="A487" s="117"/>
      <c r="C487" s="118"/>
    </row>
    <row r="488">
      <c r="A488" s="117"/>
      <c r="C488" s="118"/>
    </row>
    <row r="489">
      <c r="A489" s="117"/>
      <c r="C489" s="118"/>
    </row>
    <row r="490">
      <c r="A490" s="117"/>
      <c r="C490" s="118"/>
    </row>
    <row r="491">
      <c r="A491" s="117"/>
      <c r="C491" s="118"/>
    </row>
    <row r="492">
      <c r="A492" s="117"/>
      <c r="C492" s="118"/>
    </row>
    <row r="493">
      <c r="A493" s="117"/>
      <c r="C493" s="118"/>
    </row>
    <row r="494">
      <c r="A494" s="117"/>
      <c r="C494" s="118"/>
    </row>
    <row r="495">
      <c r="A495" s="117"/>
      <c r="C495" s="118"/>
    </row>
    <row r="496">
      <c r="A496" s="117"/>
      <c r="C496" s="118"/>
    </row>
    <row r="497">
      <c r="A497" s="117"/>
      <c r="C497" s="118"/>
    </row>
    <row r="498">
      <c r="A498" s="117"/>
      <c r="C498" s="118"/>
    </row>
    <row r="499">
      <c r="A499" s="117"/>
      <c r="C499" s="118"/>
    </row>
    <row r="500">
      <c r="A500" s="117"/>
      <c r="C500" s="118"/>
    </row>
    <row r="501">
      <c r="A501" s="117"/>
      <c r="C501" s="118"/>
    </row>
    <row r="502">
      <c r="A502" s="117"/>
      <c r="C502" s="118"/>
    </row>
    <row r="503">
      <c r="A503" s="117"/>
      <c r="C503" s="118"/>
    </row>
    <row r="504">
      <c r="A504" s="117"/>
      <c r="C504" s="118"/>
    </row>
    <row r="505">
      <c r="A505" s="117"/>
      <c r="C505" s="118"/>
    </row>
    <row r="506">
      <c r="A506" s="117"/>
      <c r="C506" s="118"/>
    </row>
    <row r="507">
      <c r="A507" s="117"/>
      <c r="C507" s="118"/>
    </row>
    <row r="508">
      <c r="A508" s="117"/>
      <c r="C508" s="118"/>
    </row>
    <row r="509">
      <c r="A509" s="117"/>
      <c r="C509" s="118"/>
    </row>
    <row r="510">
      <c r="A510" s="117"/>
      <c r="C510" s="118"/>
    </row>
    <row r="511">
      <c r="A511" s="117"/>
      <c r="C511" s="118"/>
    </row>
    <row r="512">
      <c r="A512" s="117"/>
      <c r="C512" s="118"/>
    </row>
    <row r="513">
      <c r="A513" s="117"/>
      <c r="C513" s="118"/>
    </row>
    <row r="514">
      <c r="A514" s="117"/>
      <c r="C514" s="118"/>
    </row>
    <row r="515">
      <c r="A515" s="117"/>
      <c r="C515" s="118"/>
    </row>
    <row r="516">
      <c r="A516" s="117"/>
      <c r="C516" s="118"/>
    </row>
    <row r="517">
      <c r="A517" s="117"/>
      <c r="C517" s="118"/>
    </row>
    <row r="518">
      <c r="A518" s="117"/>
      <c r="C518" s="118"/>
    </row>
    <row r="519">
      <c r="A519" s="117"/>
      <c r="C519" s="118"/>
    </row>
    <row r="520">
      <c r="A520" s="117"/>
      <c r="C520" s="118"/>
    </row>
    <row r="521">
      <c r="A521" s="117"/>
      <c r="C521" s="118"/>
    </row>
    <row r="522">
      <c r="A522" s="117"/>
      <c r="C522" s="118"/>
    </row>
    <row r="523">
      <c r="A523" s="117"/>
      <c r="C523" s="118"/>
    </row>
    <row r="524">
      <c r="A524" s="117"/>
      <c r="C524" s="118"/>
    </row>
    <row r="525">
      <c r="A525" s="117"/>
      <c r="C525" s="118"/>
    </row>
    <row r="526">
      <c r="A526" s="117"/>
      <c r="C526" s="118"/>
    </row>
    <row r="527">
      <c r="A527" s="117"/>
      <c r="C527" s="118"/>
    </row>
    <row r="528">
      <c r="A528" s="117"/>
      <c r="C528" s="118"/>
    </row>
    <row r="529">
      <c r="A529" s="117"/>
      <c r="C529" s="118"/>
    </row>
    <row r="530">
      <c r="A530" s="117"/>
      <c r="C530" s="118"/>
    </row>
    <row r="531">
      <c r="A531" s="117"/>
      <c r="C531" s="118"/>
    </row>
    <row r="532">
      <c r="A532" s="117"/>
      <c r="C532" s="118"/>
    </row>
    <row r="533">
      <c r="A533" s="117"/>
      <c r="C533" s="118"/>
    </row>
    <row r="534">
      <c r="A534" s="117"/>
      <c r="C534" s="118"/>
    </row>
    <row r="535">
      <c r="A535" s="117"/>
      <c r="C535" s="118"/>
    </row>
    <row r="536">
      <c r="A536" s="117"/>
      <c r="C536" s="118"/>
    </row>
    <row r="537">
      <c r="A537" s="117"/>
      <c r="C537" s="118"/>
    </row>
    <row r="538">
      <c r="A538" s="117"/>
      <c r="C538" s="118"/>
    </row>
    <row r="539">
      <c r="A539" s="117"/>
      <c r="C539" s="118"/>
    </row>
    <row r="540">
      <c r="A540" s="117"/>
      <c r="C540" s="118"/>
    </row>
    <row r="541">
      <c r="A541" s="117"/>
      <c r="C541" s="118"/>
    </row>
    <row r="542">
      <c r="A542" s="117"/>
      <c r="C542" s="118"/>
    </row>
    <row r="543">
      <c r="A543" s="117"/>
      <c r="C543" s="118"/>
    </row>
    <row r="544">
      <c r="A544" s="117"/>
      <c r="C544" s="118"/>
    </row>
    <row r="545">
      <c r="A545" s="117"/>
      <c r="C545" s="118"/>
    </row>
    <row r="546">
      <c r="A546" s="117"/>
      <c r="C546" s="118"/>
    </row>
    <row r="547">
      <c r="A547" s="117"/>
      <c r="C547" s="118"/>
    </row>
    <row r="548">
      <c r="A548" s="117"/>
      <c r="C548" s="118"/>
    </row>
    <row r="549">
      <c r="A549" s="117"/>
      <c r="C549" s="118"/>
    </row>
    <row r="550">
      <c r="A550" s="117"/>
      <c r="C550" s="118"/>
    </row>
    <row r="551">
      <c r="A551" s="117"/>
      <c r="C551" s="118"/>
    </row>
    <row r="552">
      <c r="A552" s="117"/>
      <c r="C552" s="118"/>
    </row>
    <row r="553">
      <c r="A553" s="117"/>
      <c r="C553" s="118"/>
    </row>
    <row r="554">
      <c r="A554" s="117"/>
      <c r="C554" s="118"/>
    </row>
    <row r="555">
      <c r="A555" s="117"/>
      <c r="C555" s="118"/>
    </row>
    <row r="556">
      <c r="A556" s="117"/>
      <c r="C556" s="118"/>
    </row>
    <row r="557">
      <c r="A557" s="117"/>
      <c r="C557" s="118"/>
    </row>
    <row r="558">
      <c r="A558" s="117"/>
      <c r="C558" s="118"/>
    </row>
    <row r="559">
      <c r="A559" s="117"/>
      <c r="C559" s="118"/>
    </row>
    <row r="560">
      <c r="A560" s="117"/>
      <c r="C560" s="118"/>
    </row>
    <row r="561">
      <c r="A561" s="117"/>
      <c r="C561" s="118"/>
    </row>
    <row r="562">
      <c r="A562" s="117"/>
      <c r="C562" s="118"/>
    </row>
    <row r="563">
      <c r="A563" s="117"/>
      <c r="C563" s="118"/>
    </row>
    <row r="564">
      <c r="A564" s="117"/>
      <c r="C564" s="118"/>
    </row>
    <row r="565">
      <c r="A565" s="117"/>
      <c r="C565" s="118"/>
    </row>
    <row r="566">
      <c r="A566" s="117"/>
      <c r="C566" s="118"/>
    </row>
    <row r="567">
      <c r="A567" s="117"/>
      <c r="C567" s="118"/>
    </row>
    <row r="568">
      <c r="A568" s="117"/>
      <c r="C568" s="118"/>
    </row>
    <row r="569">
      <c r="A569" s="117"/>
      <c r="C569" s="118"/>
    </row>
    <row r="570">
      <c r="A570" s="117"/>
      <c r="C570" s="118"/>
    </row>
    <row r="571">
      <c r="A571" s="117"/>
      <c r="C571" s="118"/>
    </row>
    <row r="572">
      <c r="A572" s="117"/>
      <c r="C572" s="118"/>
    </row>
    <row r="573">
      <c r="A573" s="117"/>
      <c r="C573" s="118"/>
    </row>
    <row r="574">
      <c r="A574" s="117"/>
      <c r="C574" s="118"/>
    </row>
    <row r="575">
      <c r="A575" s="117"/>
      <c r="C575" s="118"/>
    </row>
    <row r="576">
      <c r="A576" s="117"/>
      <c r="C576" s="118"/>
    </row>
    <row r="577">
      <c r="A577" s="117"/>
      <c r="C577" s="118"/>
    </row>
    <row r="578">
      <c r="A578" s="117"/>
      <c r="C578" s="118"/>
    </row>
    <row r="579">
      <c r="A579" s="117"/>
      <c r="C579" s="118"/>
    </row>
    <row r="580">
      <c r="A580" s="117"/>
      <c r="C580" s="118"/>
    </row>
    <row r="581">
      <c r="A581" s="117"/>
      <c r="C581" s="118"/>
    </row>
    <row r="582">
      <c r="A582" s="117"/>
      <c r="C582" s="118"/>
    </row>
    <row r="583">
      <c r="A583" s="117"/>
      <c r="C583" s="118"/>
    </row>
    <row r="584">
      <c r="A584" s="117"/>
      <c r="C584" s="118"/>
    </row>
    <row r="585">
      <c r="A585" s="117"/>
      <c r="C585" s="118"/>
    </row>
    <row r="586">
      <c r="A586" s="117"/>
      <c r="C586" s="118"/>
    </row>
    <row r="587">
      <c r="A587" s="117"/>
      <c r="C587" s="118"/>
    </row>
    <row r="588">
      <c r="A588" s="117"/>
      <c r="C588" s="118"/>
    </row>
    <row r="589">
      <c r="A589" s="117"/>
      <c r="C589" s="118"/>
    </row>
    <row r="590">
      <c r="A590" s="117"/>
      <c r="C590" s="118"/>
    </row>
    <row r="591">
      <c r="A591" s="117"/>
      <c r="C591" s="118"/>
    </row>
    <row r="592">
      <c r="A592" s="117"/>
      <c r="C592" s="118"/>
    </row>
    <row r="593">
      <c r="A593" s="117"/>
      <c r="C593" s="118"/>
    </row>
    <row r="594">
      <c r="A594" s="117"/>
      <c r="C594" s="118"/>
    </row>
    <row r="595">
      <c r="A595" s="117"/>
      <c r="C595" s="118"/>
    </row>
    <row r="596">
      <c r="A596" s="117"/>
      <c r="C596" s="118"/>
    </row>
    <row r="597">
      <c r="A597" s="117"/>
      <c r="C597" s="118"/>
    </row>
    <row r="598">
      <c r="A598" s="117"/>
      <c r="C598" s="118"/>
    </row>
    <row r="599">
      <c r="A599" s="117"/>
      <c r="C599" s="118"/>
    </row>
    <row r="600">
      <c r="A600" s="117"/>
      <c r="C600" s="118"/>
    </row>
    <row r="601">
      <c r="A601" s="117"/>
      <c r="C601" s="118"/>
    </row>
    <row r="602">
      <c r="A602" s="117"/>
      <c r="C602" s="118"/>
    </row>
    <row r="603">
      <c r="A603" s="117"/>
      <c r="C603" s="118"/>
    </row>
    <row r="604">
      <c r="A604" s="117"/>
      <c r="C604" s="118"/>
    </row>
    <row r="605">
      <c r="A605" s="117"/>
      <c r="C605" s="118"/>
    </row>
    <row r="606">
      <c r="A606" s="117"/>
      <c r="C606" s="118"/>
    </row>
    <row r="607">
      <c r="A607" s="117"/>
      <c r="C607" s="118"/>
    </row>
    <row r="608">
      <c r="A608" s="117"/>
      <c r="C608" s="118"/>
    </row>
    <row r="609">
      <c r="A609" s="117"/>
      <c r="C609" s="118"/>
    </row>
    <row r="610">
      <c r="A610" s="117"/>
      <c r="C610" s="118"/>
    </row>
    <row r="611">
      <c r="A611" s="117"/>
      <c r="C611" s="118"/>
    </row>
    <row r="612">
      <c r="A612" s="117"/>
      <c r="C612" s="118"/>
    </row>
    <row r="613">
      <c r="A613" s="117"/>
      <c r="C613" s="118"/>
    </row>
    <row r="614">
      <c r="A614" s="117"/>
      <c r="C614" s="118"/>
    </row>
    <row r="615">
      <c r="A615" s="117"/>
      <c r="C615" s="118"/>
    </row>
    <row r="616">
      <c r="A616" s="117"/>
      <c r="C616" s="118"/>
    </row>
    <row r="617">
      <c r="A617" s="117"/>
      <c r="C617" s="118"/>
    </row>
    <row r="618">
      <c r="A618" s="117"/>
      <c r="C618" s="118"/>
    </row>
    <row r="619">
      <c r="A619" s="117"/>
      <c r="C619" s="118"/>
    </row>
    <row r="620">
      <c r="A620" s="117"/>
      <c r="C620" s="118"/>
    </row>
    <row r="621">
      <c r="A621" s="117"/>
      <c r="C621" s="118"/>
    </row>
    <row r="622">
      <c r="A622" s="117"/>
      <c r="C622" s="118"/>
    </row>
    <row r="623">
      <c r="A623" s="117"/>
      <c r="C623" s="118"/>
    </row>
    <row r="624">
      <c r="A624" s="117"/>
      <c r="C624" s="118"/>
    </row>
    <row r="625">
      <c r="A625" s="117"/>
      <c r="C625" s="118"/>
    </row>
    <row r="626">
      <c r="A626" s="117"/>
      <c r="C626" s="118"/>
    </row>
    <row r="627">
      <c r="A627" s="117"/>
      <c r="C627" s="118"/>
    </row>
    <row r="628">
      <c r="A628" s="117"/>
      <c r="C628" s="118"/>
    </row>
    <row r="629">
      <c r="A629" s="117"/>
      <c r="C629" s="118"/>
    </row>
    <row r="630">
      <c r="A630" s="117"/>
      <c r="C630" s="118"/>
    </row>
    <row r="631">
      <c r="A631" s="117"/>
      <c r="C631" s="118"/>
    </row>
    <row r="632">
      <c r="A632" s="117"/>
      <c r="C632" s="118"/>
    </row>
    <row r="633">
      <c r="A633" s="117"/>
      <c r="C633" s="118"/>
    </row>
    <row r="634">
      <c r="A634" s="117"/>
      <c r="C634" s="118"/>
    </row>
    <row r="635">
      <c r="A635" s="117"/>
      <c r="C635" s="118"/>
    </row>
    <row r="636">
      <c r="A636" s="117"/>
      <c r="C636" s="118"/>
    </row>
    <row r="637">
      <c r="A637" s="117"/>
      <c r="C637" s="118"/>
    </row>
    <row r="638">
      <c r="A638" s="117"/>
      <c r="C638" s="118"/>
    </row>
    <row r="639">
      <c r="A639" s="117"/>
      <c r="C639" s="118"/>
    </row>
    <row r="640">
      <c r="A640" s="117"/>
      <c r="C640" s="118"/>
    </row>
    <row r="641">
      <c r="A641" s="117"/>
      <c r="C641" s="118"/>
    </row>
    <row r="642">
      <c r="A642" s="117"/>
      <c r="C642" s="118"/>
    </row>
    <row r="643">
      <c r="A643" s="117"/>
      <c r="C643" s="118"/>
    </row>
    <row r="644">
      <c r="A644" s="117"/>
      <c r="C644" s="118"/>
    </row>
    <row r="645">
      <c r="A645" s="117"/>
      <c r="C645" s="118"/>
    </row>
    <row r="646">
      <c r="A646" s="117"/>
      <c r="C646" s="118"/>
    </row>
    <row r="647">
      <c r="A647" s="117"/>
      <c r="C647" s="118"/>
    </row>
    <row r="648">
      <c r="A648" s="117"/>
      <c r="C648" s="118"/>
    </row>
    <row r="649">
      <c r="A649" s="117"/>
      <c r="C649" s="118"/>
    </row>
    <row r="650">
      <c r="A650" s="117"/>
      <c r="C650" s="118"/>
    </row>
    <row r="651">
      <c r="A651" s="117"/>
      <c r="C651" s="118"/>
    </row>
    <row r="652">
      <c r="A652" s="117"/>
      <c r="C652" s="118"/>
    </row>
    <row r="653">
      <c r="A653" s="117"/>
      <c r="C653" s="118"/>
    </row>
    <row r="654">
      <c r="A654" s="117"/>
      <c r="C654" s="118"/>
    </row>
    <row r="655">
      <c r="A655" s="117"/>
      <c r="C655" s="118"/>
    </row>
    <row r="656">
      <c r="A656" s="117"/>
      <c r="C656" s="118"/>
    </row>
    <row r="657">
      <c r="A657" s="117"/>
      <c r="C657" s="118"/>
    </row>
    <row r="658">
      <c r="A658" s="117"/>
      <c r="C658" s="118"/>
    </row>
    <row r="659">
      <c r="A659" s="117"/>
      <c r="C659" s="118"/>
    </row>
    <row r="660">
      <c r="A660" s="117"/>
      <c r="C660" s="118"/>
    </row>
    <row r="661">
      <c r="A661" s="117"/>
      <c r="C661" s="118"/>
    </row>
    <row r="662">
      <c r="A662" s="117"/>
      <c r="C662" s="118"/>
    </row>
    <row r="663">
      <c r="A663" s="117"/>
      <c r="C663" s="118"/>
    </row>
    <row r="664">
      <c r="A664" s="117"/>
      <c r="C664" s="118"/>
    </row>
    <row r="665">
      <c r="A665" s="117"/>
      <c r="C665" s="118"/>
    </row>
    <row r="666">
      <c r="A666" s="117"/>
      <c r="C666" s="118"/>
    </row>
    <row r="667">
      <c r="A667" s="117"/>
      <c r="C667" s="118"/>
    </row>
    <row r="668">
      <c r="A668" s="117"/>
      <c r="C668" s="118"/>
    </row>
    <row r="669">
      <c r="A669" s="117"/>
      <c r="C669" s="118"/>
    </row>
    <row r="670">
      <c r="A670" s="117"/>
      <c r="C670" s="118"/>
    </row>
    <row r="671">
      <c r="A671" s="117"/>
      <c r="C671" s="118"/>
    </row>
    <row r="672">
      <c r="A672" s="117"/>
      <c r="C672" s="118"/>
    </row>
    <row r="673">
      <c r="A673" s="117"/>
      <c r="C673" s="118"/>
    </row>
    <row r="674">
      <c r="A674" s="117"/>
      <c r="C674" s="118"/>
    </row>
    <row r="675">
      <c r="A675" s="117"/>
      <c r="C675" s="118"/>
    </row>
    <row r="676">
      <c r="A676" s="117"/>
      <c r="C676" s="118"/>
    </row>
    <row r="677">
      <c r="A677" s="117"/>
      <c r="C677" s="118"/>
    </row>
    <row r="678">
      <c r="A678" s="117"/>
      <c r="C678" s="118"/>
    </row>
    <row r="679">
      <c r="A679" s="117"/>
      <c r="C679" s="118"/>
    </row>
    <row r="680">
      <c r="A680" s="117"/>
      <c r="C680" s="118"/>
    </row>
    <row r="681">
      <c r="A681" s="117"/>
      <c r="C681" s="118"/>
    </row>
    <row r="682">
      <c r="A682" s="117"/>
      <c r="C682" s="118"/>
    </row>
    <row r="683">
      <c r="A683" s="117"/>
      <c r="C683" s="118"/>
    </row>
    <row r="684">
      <c r="A684" s="117"/>
      <c r="C684" s="118"/>
    </row>
    <row r="685">
      <c r="A685" s="117"/>
      <c r="C685" s="118"/>
    </row>
    <row r="686">
      <c r="A686" s="117"/>
      <c r="C686" s="118"/>
    </row>
    <row r="687">
      <c r="A687" s="117"/>
      <c r="C687" s="118"/>
    </row>
    <row r="688">
      <c r="A688" s="117"/>
      <c r="C688" s="118"/>
    </row>
    <row r="689">
      <c r="A689" s="117"/>
      <c r="C689" s="118"/>
    </row>
    <row r="690">
      <c r="A690" s="117"/>
      <c r="C690" s="118"/>
    </row>
    <row r="691">
      <c r="A691" s="117"/>
      <c r="C691" s="118"/>
    </row>
    <row r="692">
      <c r="A692" s="117"/>
      <c r="C692" s="118"/>
    </row>
    <row r="693">
      <c r="A693" s="117"/>
      <c r="C693" s="118"/>
    </row>
    <row r="694">
      <c r="A694" s="117"/>
      <c r="C694" s="118"/>
    </row>
    <row r="695">
      <c r="A695" s="117"/>
      <c r="C695" s="118"/>
    </row>
    <row r="696">
      <c r="A696" s="117"/>
      <c r="C696" s="118"/>
    </row>
    <row r="697">
      <c r="A697" s="117"/>
      <c r="C697" s="118"/>
    </row>
    <row r="698">
      <c r="A698" s="117"/>
      <c r="C698" s="118"/>
    </row>
    <row r="699">
      <c r="A699" s="117"/>
      <c r="C699" s="118"/>
    </row>
    <row r="700">
      <c r="A700" s="117"/>
      <c r="C700" s="118"/>
    </row>
    <row r="701">
      <c r="A701" s="117"/>
      <c r="C701" s="118"/>
    </row>
    <row r="702">
      <c r="A702" s="117"/>
      <c r="C702" s="118"/>
    </row>
    <row r="703">
      <c r="A703" s="117"/>
      <c r="C703" s="118"/>
    </row>
    <row r="704">
      <c r="A704" s="117"/>
      <c r="C704" s="118"/>
    </row>
    <row r="705">
      <c r="A705" s="117"/>
      <c r="C705" s="118"/>
    </row>
    <row r="706">
      <c r="A706" s="117"/>
      <c r="C706" s="118"/>
    </row>
    <row r="707">
      <c r="A707" s="117"/>
      <c r="C707" s="118"/>
    </row>
    <row r="708">
      <c r="A708" s="117"/>
      <c r="C708" s="118"/>
    </row>
    <row r="709">
      <c r="A709" s="117"/>
      <c r="C709" s="118"/>
    </row>
    <row r="710">
      <c r="A710" s="117"/>
      <c r="C710" s="118"/>
    </row>
    <row r="711">
      <c r="A711" s="117"/>
      <c r="C711" s="118"/>
    </row>
    <row r="712">
      <c r="A712" s="117"/>
      <c r="C712" s="118"/>
    </row>
    <row r="713">
      <c r="A713" s="117"/>
      <c r="C713" s="118"/>
    </row>
    <row r="714">
      <c r="A714" s="117"/>
      <c r="C714" s="118"/>
    </row>
    <row r="715">
      <c r="A715" s="117"/>
      <c r="C715" s="118"/>
    </row>
    <row r="716">
      <c r="A716" s="117"/>
      <c r="C716" s="118"/>
    </row>
    <row r="717">
      <c r="A717" s="117"/>
      <c r="C717" s="118"/>
    </row>
    <row r="718">
      <c r="A718" s="117"/>
      <c r="C718" s="118"/>
    </row>
    <row r="719">
      <c r="A719" s="117"/>
      <c r="C719" s="118"/>
    </row>
    <row r="720">
      <c r="A720" s="117"/>
      <c r="C720" s="118"/>
    </row>
    <row r="721">
      <c r="A721" s="117"/>
      <c r="C721" s="118"/>
    </row>
    <row r="722">
      <c r="A722" s="117"/>
      <c r="C722" s="118"/>
    </row>
    <row r="723">
      <c r="A723" s="117"/>
      <c r="C723" s="118"/>
    </row>
    <row r="724">
      <c r="A724" s="117"/>
      <c r="C724" s="118"/>
    </row>
    <row r="725">
      <c r="A725" s="117"/>
      <c r="C725" s="118"/>
    </row>
    <row r="726">
      <c r="A726" s="117"/>
      <c r="C726" s="118"/>
    </row>
    <row r="727">
      <c r="A727" s="117"/>
      <c r="C727" s="118"/>
    </row>
    <row r="728">
      <c r="A728" s="117"/>
      <c r="C728" s="118"/>
    </row>
    <row r="729">
      <c r="A729" s="117"/>
      <c r="C729" s="118"/>
    </row>
    <row r="730">
      <c r="A730" s="117"/>
      <c r="C730" s="118"/>
    </row>
    <row r="731">
      <c r="A731" s="117"/>
      <c r="C731" s="118"/>
    </row>
    <row r="732">
      <c r="A732" s="117"/>
      <c r="C732" s="118"/>
    </row>
    <row r="733">
      <c r="A733" s="117"/>
      <c r="C733" s="118"/>
    </row>
    <row r="734">
      <c r="A734" s="117"/>
      <c r="C734" s="118"/>
    </row>
    <row r="735">
      <c r="A735" s="117"/>
      <c r="C735" s="118"/>
    </row>
    <row r="736">
      <c r="A736" s="117"/>
      <c r="C736" s="118"/>
    </row>
    <row r="737">
      <c r="A737" s="117"/>
      <c r="C737" s="118"/>
    </row>
    <row r="738">
      <c r="A738" s="117"/>
      <c r="C738" s="118"/>
    </row>
    <row r="739">
      <c r="A739" s="117"/>
      <c r="C739" s="118"/>
    </row>
    <row r="740">
      <c r="A740" s="117"/>
      <c r="C740" s="118"/>
    </row>
    <row r="741">
      <c r="A741" s="117"/>
      <c r="C741" s="118"/>
    </row>
    <row r="742">
      <c r="A742" s="117"/>
      <c r="C742" s="118"/>
    </row>
    <row r="743">
      <c r="A743" s="117"/>
      <c r="C743" s="118"/>
    </row>
    <row r="744">
      <c r="A744" s="117"/>
      <c r="C744" s="118"/>
    </row>
    <row r="745">
      <c r="A745" s="117"/>
      <c r="C745" s="118"/>
    </row>
    <row r="746">
      <c r="A746" s="117"/>
      <c r="C746" s="118"/>
    </row>
    <row r="747">
      <c r="A747" s="117"/>
      <c r="C747" s="118"/>
    </row>
    <row r="748">
      <c r="A748" s="117"/>
      <c r="C748" s="118"/>
    </row>
    <row r="749">
      <c r="A749" s="117"/>
      <c r="C749" s="118"/>
    </row>
    <row r="750">
      <c r="A750" s="117"/>
      <c r="C750" s="118"/>
    </row>
    <row r="751">
      <c r="A751" s="117"/>
      <c r="C751" s="118"/>
    </row>
    <row r="752">
      <c r="A752" s="117"/>
      <c r="C752" s="118"/>
    </row>
    <row r="753">
      <c r="A753" s="117"/>
      <c r="C753" s="118"/>
    </row>
    <row r="754">
      <c r="A754" s="117"/>
      <c r="C754" s="118"/>
    </row>
    <row r="755">
      <c r="A755" s="117"/>
      <c r="C755" s="118"/>
    </row>
    <row r="756">
      <c r="A756" s="117"/>
      <c r="C756" s="118"/>
    </row>
    <row r="757">
      <c r="A757" s="117"/>
      <c r="C757" s="118"/>
    </row>
    <row r="758">
      <c r="A758" s="117"/>
      <c r="C758" s="118"/>
    </row>
    <row r="759">
      <c r="A759" s="117"/>
      <c r="C759" s="118"/>
    </row>
    <row r="760">
      <c r="A760" s="117"/>
      <c r="C760" s="118"/>
    </row>
    <row r="761">
      <c r="A761" s="117"/>
      <c r="C761" s="118"/>
    </row>
    <row r="762">
      <c r="A762" s="117"/>
      <c r="C762" s="118"/>
    </row>
    <row r="763">
      <c r="A763" s="117"/>
      <c r="C763" s="118"/>
    </row>
    <row r="764">
      <c r="A764" s="117"/>
      <c r="C764" s="118"/>
    </row>
    <row r="765">
      <c r="A765" s="117"/>
      <c r="C765" s="118"/>
    </row>
    <row r="766">
      <c r="A766" s="117"/>
      <c r="C766" s="118"/>
    </row>
    <row r="767">
      <c r="A767" s="117"/>
      <c r="C767" s="118"/>
    </row>
    <row r="768">
      <c r="A768" s="117"/>
      <c r="C768" s="118"/>
    </row>
    <row r="769">
      <c r="A769" s="117"/>
      <c r="C769" s="118"/>
    </row>
    <row r="770">
      <c r="A770" s="117"/>
      <c r="C770" s="118"/>
    </row>
    <row r="771">
      <c r="A771" s="117"/>
      <c r="C771" s="118"/>
    </row>
    <row r="772">
      <c r="A772" s="117"/>
      <c r="C772" s="118"/>
    </row>
    <row r="773">
      <c r="A773" s="117"/>
      <c r="C773" s="118"/>
    </row>
    <row r="774">
      <c r="A774" s="117"/>
      <c r="C774" s="118"/>
    </row>
    <row r="775">
      <c r="A775" s="117"/>
      <c r="C775" s="118"/>
    </row>
    <row r="776">
      <c r="A776" s="117"/>
      <c r="C776" s="118"/>
    </row>
    <row r="777">
      <c r="A777" s="117"/>
      <c r="C777" s="118"/>
    </row>
    <row r="778">
      <c r="A778" s="117"/>
      <c r="C778" s="118"/>
    </row>
    <row r="779">
      <c r="A779" s="117"/>
      <c r="C779" s="118"/>
    </row>
    <row r="780">
      <c r="A780" s="117"/>
      <c r="C780" s="118"/>
    </row>
    <row r="781">
      <c r="A781" s="117"/>
      <c r="C781" s="118"/>
    </row>
    <row r="782">
      <c r="A782" s="117"/>
      <c r="C782" s="118"/>
    </row>
    <row r="783">
      <c r="A783" s="117"/>
      <c r="C783" s="118"/>
    </row>
    <row r="784">
      <c r="A784" s="117"/>
      <c r="C784" s="118"/>
    </row>
    <row r="785">
      <c r="A785" s="117"/>
      <c r="C785" s="118"/>
    </row>
    <row r="786">
      <c r="A786" s="117"/>
      <c r="C786" s="118"/>
    </row>
    <row r="787">
      <c r="A787" s="117"/>
      <c r="C787" s="118"/>
    </row>
    <row r="788">
      <c r="A788" s="117"/>
      <c r="C788" s="118"/>
    </row>
    <row r="789">
      <c r="A789" s="117"/>
      <c r="C789" s="118"/>
    </row>
    <row r="790">
      <c r="A790" s="117"/>
      <c r="C790" s="118"/>
    </row>
    <row r="791">
      <c r="A791" s="117"/>
      <c r="C791" s="118"/>
    </row>
    <row r="792">
      <c r="A792" s="117"/>
      <c r="C792" s="118"/>
    </row>
    <row r="793">
      <c r="A793" s="117"/>
      <c r="C793" s="118"/>
    </row>
    <row r="794">
      <c r="A794" s="117"/>
      <c r="C794" s="118"/>
    </row>
    <row r="795">
      <c r="A795" s="117"/>
      <c r="C795" s="118"/>
    </row>
    <row r="796">
      <c r="A796" s="117"/>
      <c r="C796" s="118"/>
    </row>
    <row r="797">
      <c r="A797" s="117"/>
      <c r="C797" s="118"/>
    </row>
    <row r="798">
      <c r="A798" s="117"/>
      <c r="C798" s="118"/>
    </row>
    <row r="799">
      <c r="A799" s="117"/>
      <c r="C799" s="118"/>
    </row>
    <row r="800">
      <c r="A800" s="117"/>
      <c r="C800" s="118"/>
    </row>
    <row r="801">
      <c r="A801" s="117"/>
      <c r="C801" s="118"/>
    </row>
    <row r="802">
      <c r="A802" s="117"/>
      <c r="C802" s="118"/>
    </row>
    <row r="803">
      <c r="A803" s="117"/>
      <c r="C803" s="118"/>
    </row>
    <row r="804">
      <c r="A804" s="117"/>
      <c r="C804" s="118"/>
    </row>
    <row r="805">
      <c r="A805" s="117"/>
      <c r="C805" s="118"/>
    </row>
    <row r="806">
      <c r="A806" s="117"/>
      <c r="C806" s="118"/>
    </row>
    <row r="807">
      <c r="A807" s="117"/>
      <c r="C807" s="118"/>
    </row>
    <row r="808">
      <c r="A808" s="117"/>
      <c r="C808" s="118"/>
    </row>
    <row r="809">
      <c r="A809" s="117"/>
      <c r="C809" s="118"/>
    </row>
    <row r="810">
      <c r="A810" s="117"/>
      <c r="C810" s="118"/>
    </row>
    <row r="811">
      <c r="A811" s="117"/>
      <c r="C811" s="118"/>
    </row>
    <row r="812">
      <c r="A812" s="117"/>
      <c r="C812" s="118"/>
    </row>
    <row r="813">
      <c r="A813" s="117"/>
      <c r="C813" s="118"/>
    </row>
    <row r="814">
      <c r="A814" s="117"/>
      <c r="C814" s="118"/>
    </row>
    <row r="815">
      <c r="A815" s="117"/>
      <c r="C815" s="118"/>
    </row>
    <row r="816">
      <c r="A816" s="117"/>
      <c r="C816" s="118"/>
    </row>
    <row r="817">
      <c r="A817" s="117"/>
      <c r="C817" s="118"/>
    </row>
    <row r="818">
      <c r="A818" s="117"/>
      <c r="C818" s="118"/>
    </row>
    <row r="819">
      <c r="A819" s="117"/>
      <c r="C819" s="118"/>
    </row>
    <row r="820">
      <c r="A820" s="117"/>
      <c r="C820" s="118"/>
    </row>
    <row r="821">
      <c r="A821" s="117"/>
      <c r="C821" s="118"/>
    </row>
    <row r="822">
      <c r="A822" s="117"/>
      <c r="C822" s="118"/>
    </row>
    <row r="823">
      <c r="A823" s="117"/>
      <c r="C823" s="118"/>
    </row>
    <row r="824">
      <c r="A824" s="117"/>
      <c r="C824" s="118"/>
    </row>
    <row r="825">
      <c r="A825" s="117"/>
      <c r="C825" s="118"/>
    </row>
    <row r="826">
      <c r="A826" s="117"/>
      <c r="C826" s="118"/>
    </row>
    <row r="827">
      <c r="A827" s="117"/>
      <c r="C827" s="118"/>
    </row>
    <row r="828">
      <c r="A828" s="117"/>
      <c r="C828" s="118"/>
    </row>
    <row r="829">
      <c r="A829" s="117"/>
      <c r="C829" s="118"/>
    </row>
    <row r="830">
      <c r="A830" s="117"/>
      <c r="C830" s="118"/>
    </row>
    <row r="831">
      <c r="A831" s="117"/>
      <c r="C831" s="118"/>
    </row>
    <row r="832">
      <c r="A832" s="117"/>
      <c r="C832" s="118"/>
    </row>
    <row r="833">
      <c r="A833" s="117"/>
      <c r="C833" s="118"/>
    </row>
    <row r="834">
      <c r="A834" s="117"/>
      <c r="C834" s="118"/>
    </row>
    <row r="835">
      <c r="A835" s="117"/>
      <c r="C835" s="118"/>
    </row>
    <row r="836">
      <c r="A836" s="117"/>
      <c r="C836" s="118"/>
    </row>
    <row r="837">
      <c r="A837" s="117"/>
      <c r="C837" s="118"/>
    </row>
    <row r="838">
      <c r="A838" s="117"/>
      <c r="C838" s="118"/>
    </row>
    <row r="839">
      <c r="A839" s="117"/>
      <c r="C839" s="118"/>
    </row>
    <row r="840">
      <c r="A840" s="117"/>
      <c r="C840" s="118"/>
    </row>
    <row r="841">
      <c r="A841" s="117"/>
      <c r="C841" s="118"/>
    </row>
    <row r="842">
      <c r="A842" s="117"/>
      <c r="C842" s="118"/>
    </row>
    <row r="843">
      <c r="A843" s="117"/>
      <c r="C843" s="118"/>
    </row>
    <row r="844">
      <c r="A844" s="117"/>
      <c r="C844" s="118"/>
    </row>
    <row r="845">
      <c r="A845" s="117"/>
      <c r="C845" s="118"/>
    </row>
    <row r="846">
      <c r="A846" s="117"/>
      <c r="C846" s="118"/>
    </row>
    <row r="847">
      <c r="A847" s="117"/>
      <c r="C847" s="118"/>
    </row>
    <row r="848">
      <c r="A848" s="117"/>
      <c r="C848" s="118"/>
    </row>
    <row r="849">
      <c r="A849" s="117"/>
      <c r="C849" s="118"/>
    </row>
    <row r="850">
      <c r="A850" s="117"/>
      <c r="C850" s="118"/>
    </row>
    <row r="851">
      <c r="A851" s="117"/>
      <c r="C851" s="118"/>
    </row>
    <row r="852">
      <c r="A852" s="117"/>
      <c r="C852" s="118"/>
    </row>
    <row r="853">
      <c r="A853" s="117"/>
      <c r="C853" s="118"/>
    </row>
    <row r="854">
      <c r="A854" s="117"/>
      <c r="C854" s="118"/>
    </row>
    <row r="855">
      <c r="A855" s="117"/>
      <c r="C855" s="118"/>
    </row>
    <row r="856">
      <c r="A856" s="117"/>
      <c r="C856" s="118"/>
    </row>
    <row r="857">
      <c r="A857" s="117"/>
      <c r="C857" s="118"/>
    </row>
    <row r="858">
      <c r="A858" s="117"/>
      <c r="C858" s="118"/>
    </row>
    <row r="859">
      <c r="A859" s="117"/>
      <c r="C859" s="118"/>
    </row>
    <row r="860">
      <c r="A860" s="117"/>
      <c r="C860" s="118"/>
    </row>
    <row r="861">
      <c r="A861" s="117"/>
      <c r="C861" s="118"/>
    </row>
    <row r="862">
      <c r="A862" s="117"/>
      <c r="C862" s="118"/>
    </row>
    <row r="863">
      <c r="A863" s="117"/>
      <c r="C863" s="118"/>
    </row>
    <row r="864">
      <c r="A864" s="117"/>
      <c r="C864" s="118"/>
    </row>
    <row r="865">
      <c r="A865" s="117"/>
      <c r="C865" s="118"/>
    </row>
    <row r="866">
      <c r="A866" s="117"/>
      <c r="C866" s="118"/>
    </row>
    <row r="867">
      <c r="A867" s="117"/>
      <c r="C867" s="118"/>
    </row>
    <row r="868">
      <c r="A868" s="117"/>
      <c r="C868" s="118"/>
    </row>
    <row r="869">
      <c r="A869" s="117"/>
      <c r="C869" s="118"/>
    </row>
    <row r="870">
      <c r="A870" s="117"/>
      <c r="C870" s="118"/>
    </row>
    <row r="871">
      <c r="A871" s="117"/>
      <c r="C871" s="118"/>
    </row>
    <row r="872">
      <c r="A872" s="117"/>
      <c r="C872" s="118"/>
    </row>
    <row r="873">
      <c r="A873" s="117"/>
      <c r="C873" s="118"/>
    </row>
    <row r="874">
      <c r="A874" s="117"/>
      <c r="C874" s="118"/>
    </row>
    <row r="875">
      <c r="A875" s="117"/>
      <c r="C875" s="118"/>
    </row>
    <row r="876">
      <c r="A876" s="117"/>
      <c r="C876" s="118"/>
    </row>
    <row r="877">
      <c r="A877" s="117"/>
      <c r="C877" s="118"/>
    </row>
    <row r="878">
      <c r="A878" s="117"/>
      <c r="C878" s="118"/>
    </row>
    <row r="879">
      <c r="A879" s="117"/>
      <c r="C879" s="118"/>
    </row>
    <row r="880">
      <c r="A880" s="117"/>
      <c r="C880" s="118"/>
    </row>
    <row r="881">
      <c r="A881" s="117"/>
      <c r="C881" s="118"/>
    </row>
    <row r="882">
      <c r="A882" s="117"/>
      <c r="C882" s="118"/>
    </row>
    <row r="883">
      <c r="A883" s="117"/>
      <c r="C883" s="118"/>
    </row>
    <row r="884">
      <c r="A884" s="117"/>
      <c r="C884" s="118"/>
    </row>
    <row r="885">
      <c r="A885" s="117"/>
      <c r="C885" s="118"/>
    </row>
    <row r="886">
      <c r="A886" s="117"/>
      <c r="C886" s="118"/>
    </row>
    <row r="887">
      <c r="A887" s="117"/>
      <c r="C887" s="118"/>
    </row>
    <row r="888">
      <c r="A888" s="117"/>
      <c r="C888" s="118"/>
    </row>
    <row r="889">
      <c r="A889" s="117"/>
      <c r="C889" s="118"/>
    </row>
    <row r="890">
      <c r="A890" s="117"/>
      <c r="C890" s="118"/>
    </row>
    <row r="891">
      <c r="A891" s="117"/>
      <c r="C891" s="118"/>
    </row>
    <row r="892">
      <c r="A892" s="117"/>
      <c r="C892" s="118"/>
    </row>
    <row r="893">
      <c r="A893" s="117"/>
      <c r="C893" s="118"/>
    </row>
    <row r="894">
      <c r="A894" s="117"/>
      <c r="C894" s="118"/>
    </row>
    <row r="895">
      <c r="A895" s="117"/>
      <c r="C895" s="118"/>
    </row>
    <row r="896">
      <c r="A896" s="117"/>
      <c r="C896" s="118"/>
    </row>
    <row r="897">
      <c r="A897" s="117"/>
      <c r="C897" s="118"/>
    </row>
    <row r="898">
      <c r="A898" s="117"/>
      <c r="C898" s="118"/>
    </row>
    <row r="899">
      <c r="A899" s="117"/>
      <c r="C899" s="118"/>
    </row>
    <row r="900">
      <c r="A900" s="117"/>
      <c r="C900" s="118"/>
    </row>
    <row r="901">
      <c r="A901" s="117"/>
      <c r="C901" s="118"/>
    </row>
    <row r="902">
      <c r="A902" s="117"/>
      <c r="C902" s="118"/>
    </row>
    <row r="903">
      <c r="A903" s="117"/>
      <c r="C903" s="118"/>
    </row>
    <row r="904">
      <c r="A904" s="117"/>
      <c r="C904" s="118"/>
    </row>
    <row r="905">
      <c r="A905" s="117"/>
      <c r="C905" s="118"/>
    </row>
    <row r="906">
      <c r="A906" s="117"/>
      <c r="C906" s="118"/>
    </row>
    <row r="907">
      <c r="A907" s="117"/>
      <c r="C907" s="118"/>
    </row>
    <row r="908">
      <c r="A908" s="117"/>
      <c r="C908" s="118"/>
    </row>
    <row r="909">
      <c r="A909" s="117"/>
      <c r="C909" s="118"/>
    </row>
    <row r="910">
      <c r="A910" s="117"/>
      <c r="C910" s="118"/>
    </row>
    <row r="911">
      <c r="A911" s="117"/>
      <c r="C911" s="118"/>
    </row>
    <row r="912">
      <c r="A912" s="117"/>
      <c r="C912" s="118"/>
    </row>
    <row r="913">
      <c r="A913" s="117"/>
      <c r="C913" s="118"/>
    </row>
    <row r="914">
      <c r="A914" s="117"/>
      <c r="C914" s="118"/>
    </row>
    <row r="915">
      <c r="A915" s="117"/>
      <c r="C915" s="118"/>
    </row>
    <row r="916">
      <c r="A916" s="117"/>
      <c r="C916" s="118"/>
    </row>
    <row r="917">
      <c r="A917" s="117"/>
      <c r="C917" s="118"/>
    </row>
    <row r="918">
      <c r="A918" s="117"/>
      <c r="C918" s="118"/>
    </row>
    <row r="919">
      <c r="A919" s="117"/>
      <c r="C919" s="118"/>
    </row>
    <row r="920">
      <c r="A920" s="117"/>
      <c r="C920" s="118"/>
    </row>
    <row r="921">
      <c r="A921" s="117"/>
      <c r="C921" s="118"/>
    </row>
    <row r="922">
      <c r="A922" s="117"/>
      <c r="C922" s="118"/>
    </row>
    <row r="923">
      <c r="A923" s="117"/>
      <c r="C923" s="118"/>
    </row>
    <row r="924">
      <c r="A924" s="117"/>
      <c r="C924" s="118"/>
    </row>
    <row r="925">
      <c r="A925" s="117"/>
      <c r="C925" s="118"/>
    </row>
    <row r="926">
      <c r="A926" s="117"/>
      <c r="C926" s="118"/>
    </row>
    <row r="927">
      <c r="A927" s="117"/>
      <c r="C927" s="118"/>
    </row>
    <row r="928">
      <c r="A928" s="117"/>
      <c r="C928" s="118"/>
    </row>
    <row r="929">
      <c r="A929" s="117"/>
      <c r="C929" s="118"/>
    </row>
    <row r="930">
      <c r="A930" s="117"/>
      <c r="C930" s="118"/>
    </row>
    <row r="931">
      <c r="A931" s="117"/>
      <c r="C931" s="118"/>
    </row>
    <row r="932">
      <c r="A932" s="117"/>
      <c r="C932" s="118"/>
    </row>
    <row r="933">
      <c r="A933" s="117"/>
      <c r="C933" s="118"/>
    </row>
    <row r="934">
      <c r="A934" s="117"/>
      <c r="C934" s="118"/>
    </row>
    <row r="935">
      <c r="A935" s="117"/>
      <c r="C935" s="118"/>
    </row>
    <row r="936">
      <c r="A936" s="117"/>
      <c r="C936" s="118"/>
    </row>
    <row r="937">
      <c r="A937" s="117"/>
      <c r="C937" s="118"/>
    </row>
    <row r="938">
      <c r="A938" s="117"/>
      <c r="C938" s="118"/>
    </row>
    <row r="939">
      <c r="A939" s="117"/>
      <c r="C939" s="118"/>
    </row>
    <row r="940">
      <c r="A940" s="117"/>
      <c r="C940" s="118"/>
    </row>
    <row r="941">
      <c r="A941" s="117"/>
      <c r="C941" s="118"/>
    </row>
    <row r="942">
      <c r="A942" s="117"/>
      <c r="C942" s="118"/>
    </row>
    <row r="943">
      <c r="A943" s="117"/>
      <c r="C943" s="118"/>
    </row>
    <row r="944">
      <c r="A944" s="117"/>
      <c r="C944" s="118"/>
    </row>
    <row r="945">
      <c r="A945" s="117"/>
      <c r="C945" s="118"/>
    </row>
    <row r="946">
      <c r="A946" s="117"/>
      <c r="C946" s="118"/>
    </row>
    <row r="947">
      <c r="A947" s="117"/>
      <c r="C947" s="118"/>
    </row>
    <row r="948">
      <c r="A948" s="117"/>
      <c r="C948" s="118"/>
    </row>
    <row r="949">
      <c r="A949" s="117"/>
      <c r="C949" s="118"/>
    </row>
    <row r="950">
      <c r="A950" s="117"/>
      <c r="C950" s="118"/>
    </row>
    <row r="951">
      <c r="A951" s="117"/>
      <c r="C951" s="118"/>
    </row>
    <row r="952">
      <c r="A952" s="117"/>
      <c r="C952" s="118"/>
    </row>
    <row r="953">
      <c r="A953" s="117"/>
      <c r="C953" s="118"/>
    </row>
    <row r="954">
      <c r="A954" s="117"/>
      <c r="C954" s="118"/>
    </row>
    <row r="955">
      <c r="A955" s="117"/>
      <c r="C955" s="118"/>
    </row>
    <row r="956">
      <c r="A956" s="117"/>
      <c r="C956" s="118"/>
    </row>
    <row r="957">
      <c r="A957" s="117"/>
      <c r="C957" s="118"/>
    </row>
    <row r="958">
      <c r="A958" s="117"/>
      <c r="C958" s="118"/>
    </row>
    <row r="959">
      <c r="A959" s="117"/>
      <c r="C959" s="118"/>
    </row>
    <row r="960">
      <c r="A960" s="117"/>
      <c r="C960" s="118"/>
    </row>
    <row r="961">
      <c r="A961" s="117"/>
      <c r="C961" s="118"/>
    </row>
    <row r="962">
      <c r="A962" s="117"/>
      <c r="C962" s="118"/>
    </row>
    <row r="963">
      <c r="A963" s="117"/>
      <c r="C963" s="118"/>
    </row>
    <row r="964">
      <c r="A964" s="117"/>
      <c r="C964" s="118"/>
    </row>
    <row r="965">
      <c r="A965" s="117"/>
      <c r="C965" s="118"/>
    </row>
    <row r="966">
      <c r="A966" s="117"/>
      <c r="C966" s="118"/>
    </row>
    <row r="967">
      <c r="A967" s="117"/>
      <c r="C967" s="118"/>
    </row>
    <row r="968">
      <c r="A968" s="117"/>
      <c r="C968" s="118"/>
    </row>
    <row r="969">
      <c r="A969" s="117"/>
      <c r="C969" s="118"/>
    </row>
    <row r="970">
      <c r="A970" s="117"/>
      <c r="C970" s="118"/>
    </row>
    <row r="971">
      <c r="A971" s="117"/>
      <c r="C971" s="118"/>
    </row>
    <row r="972">
      <c r="A972" s="117"/>
      <c r="C972" s="118"/>
    </row>
    <row r="973">
      <c r="A973" s="117"/>
      <c r="C973" s="118"/>
    </row>
    <row r="974">
      <c r="A974" s="117"/>
      <c r="C974" s="118"/>
    </row>
    <row r="975">
      <c r="A975" s="117"/>
      <c r="C975" s="118"/>
    </row>
    <row r="976">
      <c r="A976" s="117"/>
      <c r="C976" s="118"/>
    </row>
    <row r="977">
      <c r="A977" s="117"/>
      <c r="C977" s="118"/>
    </row>
    <row r="978">
      <c r="A978" s="117"/>
      <c r="C978" s="118"/>
    </row>
    <row r="979">
      <c r="A979" s="117"/>
      <c r="C979" s="118"/>
    </row>
    <row r="980">
      <c r="A980" s="117"/>
      <c r="C980" s="118"/>
    </row>
    <row r="981">
      <c r="A981" s="117"/>
      <c r="C981" s="118"/>
    </row>
    <row r="982">
      <c r="A982" s="117"/>
      <c r="C982" s="118"/>
    </row>
    <row r="983">
      <c r="A983" s="117"/>
      <c r="C983" s="118"/>
    </row>
    <row r="984">
      <c r="A984" s="117"/>
      <c r="C984" s="118"/>
    </row>
    <row r="985">
      <c r="A985" s="117"/>
      <c r="C985" s="118"/>
    </row>
    <row r="986">
      <c r="A986" s="117"/>
      <c r="C986" s="118"/>
    </row>
    <row r="987">
      <c r="A987" s="117"/>
      <c r="C987" s="118"/>
    </row>
    <row r="988">
      <c r="A988" s="117"/>
      <c r="C988" s="118"/>
    </row>
    <row r="989">
      <c r="A989" s="117"/>
      <c r="C989" s="118"/>
    </row>
    <row r="990">
      <c r="A990" s="117"/>
      <c r="C990" s="118"/>
    </row>
    <row r="991">
      <c r="A991" s="117"/>
      <c r="C991" s="118"/>
    </row>
    <row r="992">
      <c r="A992" s="117"/>
      <c r="C992" s="118"/>
    </row>
    <row r="993">
      <c r="A993" s="117"/>
      <c r="C993" s="118"/>
    </row>
    <row r="994">
      <c r="A994" s="117"/>
      <c r="C994" s="118"/>
    </row>
    <row r="995">
      <c r="A995" s="117"/>
      <c r="C995" s="118"/>
    </row>
    <row r="996">
      <c r="A996" s="117"/>
      <c r="C996" s="118"/>
    </row>
    <row r="997">
      <c r="A997" s="117"/>
      <c r="C997" s="118"/>
    </row>
    <row r="998">
      <c r="A998" s="117"/>
      <c r="C998" s="118"/>
    </row>
    <row r="999">
      <c r="A999" s="117"/>
      <c r="C999" s="118"/>
    </row>
    <row r="1000">
      <c r="A1000" s="117"/>
      <c r="C1000" s="118"/>
    </row>
    <row r="1001">
      <c r="A1001" s="117"/>
      <c r="C1001" s="118"/>
    </row>
    <row r="1002">
      <c r="A1002" s="117"/>
      <c r="C1002" s="118"/>
    </row>
    <row r="1003">
      <c r="A1003" s="117"/>
      <c r="C1003" s="118"/>
    </row>
    <row r="1004">
      <c r="A1004" s="117"/>
      <c r="C1004" s="118"/>
    </row>
    <row r="1005">
      <c r="A1005" s="117"/>
      <c r="C1005" s="118"/>
    </row>
    <row r="1006">
      <c r="A1006" s="117"/>
      <c r="C1006" s="118"/>
    </row>
    <row r="1007">
      <c r="A1007" s="117"/>
      <c r="C1007" s="118"/>
    </row>
    <row r="1008">
      <c r="A1008" s="117"/>
      <c r="C1008" s="118"/>
    </row>
    <row r="1009">
      <c r="A1009" s="117"/>
      <c r="C1009" s="118"/>
    </row>
    <row r="1010">
      <c r="A1010" s="117"/>
      <c r="C1010" s="118"/>
    </row>
    <row r="1011">
      <c r="A1011" s="117"/>
      <c r="C1011" s="118"/>
    </row>
    <row r="1012">
      <c r="A1012" s="117"/>
      <c r="C1012" s="118"/>
    </row>
    <row r="1013">
      <c r="A1013" s="117"/>
      <c r="C1013" s="118"/>
    </row>
    <row r="1014">
      <c r="A1014" s="117"/>
      <c r="C1014" s="118"/>
    </row>
    <row r="1015">
      <c r="A1015" s="117"/>
      <c r="C1015" s="118"/>
    </row>
    <row r="1016">
      <c r="A1016" s="117"/>
      <c r="C1016" s="118"/>
    </row>
    <row r="1017">
      <c r="A1017" s="117"/>
      <c r="C1017" s="118"/>
    </row>
    <row r="1018">
      <c r="A1018" s="117"/>
      <c r="C1018" s="118"/>
    </row>
    <row r="1019">
      <c r="A1019" s="117"/>
      <c r="C1019" s="118"/>
    </row>
    <row r="1020">
      <c r="A1020" s="117"/>
      <c r="C1020" s="118"/>
    </row>
    <row r="1021">
      <c r="A1021" s="117"/>
      <c r="C1021" s="118"/>
    </row>
    <row r="1022">
      <c r="A1022" s="117"/>
      <c r="C1022" s="118"/>
    </row>
    <row r="1023">
      <c r="A1023" s="117"/>
      <c r="C1023" s="118"/>
    </row>
    <row r="1024">
      <c r="A1024" s="117"/>
      <c r="C1024" s="118"/>
    </row>
    <row r="1025">
      <c r="A1025" s="117"/>
      <c r="C1025" s="118"/>
    </row>
    <row r="1026">
      <c r="A1026" s="117"/>
      <c r="C1026" s="118"/>
    </row>
    <row r="1027">
      <c r="A1027" s="117"/>
      <c r="C1027" s="118"/>
    </row>
    <row r="1028">
      <c r="A1028" s="117"/>
      <c r="C1028" s="118"/>
    </row>
    <row r="1029">
      <c r="A1029" s="117"/>
      <c r="C1029" s="118"/>
    </row>
    <row r="1030">
      <c r="A1030" s="117"/>
      <c r="C1030" s="118"/>
    </row>
    <row r="1031">
      <c r="A1031" s="117"/>
      <c r="C1031" s="118"/>
    </row>
    <row r="1032">
      <c r="A1032" s="117"/>
      <c r="C1032" s="118"/>
    </row>
    <row r="1033">
      <c r="A1033" s="117"/>
      <c r="C1033" s="118"/>
    </row>
    <row r="1034">
      <c r="A1034" s="117"/>
      <c r="C1034" s="118"/>
    </row>
    <row r="1035">
      <c r="A1035" s="117"/>
      <c r="C1035" s="118"/>
    </row>
    <row r="1036">
      <c r="A1036" s="117"/>
      <c r="C1036" s="118"/>
    </row>
    <row r="1037">
      <c r="A1037" s="117"/>
      <c r="C1037" s="118"/>
    </row>
    <row r="1038">
      <c r="A1038" s="117"/>
      <c r="C1038" s="118"/>
    </row>
    <row r="1039">
      <c r="A1039" s="117"/>
      <c r="C1039" s="118"/>
    </row>
    <row r="1040">
      <c r="A1040" s="117"/>
      <c r="C1040" s="118"/>
    </row>
    <row r="1041">
      <c r="A1041" s="117"/>
      <c r="C1041" s="118"/>
    </row>
    <row r="1042">
      <c r="A1042" s="117"/>
      <c r="C1042" s="118"/>
    </row>
    <row r="1043">
      <c r="A1043" s="117"/>
      <c r="C1043" s="1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61.43"/>
    <col customWidth="1" min="2" max="3" width="8.57"/>
    <col customWidth="1" min="4" max="4" width="11.43"/>
  </cols>
  <sheetData>
    <row r="1">
      <c r="A1" s="119" t="s">
        <v>705</v>
      </c>
      <c r="B1" s="120" t="s">
        <v>625</v>
      </c>
      <c r="C1" s="120"/>
      <c r="D1" s="121" t="s">
        <v>706</v>
      </c>
    </row>
    <row r="2">
      <c r="A2" s="122" t="s">
        <v>707</v>
      </c>
      <c r="B2" s="123">
        <v>80.0</v>
      </c>
      <c r="C2" s="123">
        <f t="shared" ref="C2:C11" si="1">B2-(B2*0.2)</f>
        <v>64</v>
      </c>
      <c r="D2" s="124">
        <f t="shared" ref="D2:D11" si="2">roundup(C2/6)</f>
        <v>11</v>
      </c>
    </row>
    <row r="3">
      <c r="A3" s="122" t="s">
        <v>708</v>
      </c>
      <c r="B3" s="123">
        <v>50.0</v>
      </c>
      <c r="C3" s="123">
        <f t="shared" si="1"/>
        <v>40</v>
      </c>
      <c r="D3" s="124">
        <f t="shared" si="2"/>
        <v>7</v>
      </c>
    </row>
    <row r="4">
      <c r="A4" s="125" t="s">
        <v>709</v>
      </c>
      <c r="B4" s="123">
        <v>45.0</v>
      </c>
      <c r="C4" s="123">
        <f t="shared" si="1"/>
        <v>36</v>
      </c>
      <c r="D4" s="124">
        <f t="shared" si="2"/>
        <v>6</v>
      </c>
    </row>
    <row r="5">
      <c r="A5" s="125" t="s">
        <v>710</v>
      </c>
      <c r="B5" s="123">
        <v>45.0</v>
      </c>
      <c r="C5" s="123">
        <f t="shared" si="1"/>
        <v>36</v>
      </c>
      <c r="D5" s="124">
        <f t="shared" si="2"/>
        <v>6</v>
      </c>
    </row>
    <row r="6">
      <c r="A6" s="78" t="s">
        <v>711</v>
      </c>
      <c r="B6" s="123">
        <v>42.0</v>
      </c>
      <c r="C6" s="123">
        <f t="shared" si="1"/>
        <v>33.6</v>
      </c>
      <c r="D6" s="124">
        <f t="shared" si="2"/>
        <v>6</v>
      </c>
    </row>
    <row r="7">
      <c r="A7" s="125" t="s">
        <v>712</v>
      </c>
      <c r="B7" s="123">
        <v>57.0</v>
      </c>
      <c r="C7" s="123">
        <f t="shared" si="1"/>
        <v>45.6</v>
      </c>
      <c r="D7" s="124">
        <f t="shared" si="2"/>
        <v>8</v>
      </c>
    </row>
    <row r="8">
      <c r="A8" s="78" t="s">
        <v>711</v>
      </c>
      <c r="B8" s="123">
        <v>42.0</v>
      </c>
      <c r="C8" s="123">
        <f t="shared" si="1"/>
        <v>33.6</v>
      </c>
      <c r="D8" s="124">
        <f t="shared" si="2"/>
        <v>6</v>
      </c>
    </row>
    <row r="9">
      <c r="A9" s="125" t="s">
        <v>713</v>
      </c>
      <c r="B9" s="123">
        <v>45.0</v>
      </c>
      <c r="C9" s="123">
        <f t="shared" si="1"/>
        <v>36</v>
      </c>
      <c r="D9" s="124">
        <f t="shared" si="2"/>
        <v>6</v>
      </c>
    </row>
    <row r="10">
      <c r="A10" s="125" t="s">
        <v>714</v>
      </c>
      <c r="B10" s="123">
        <v>55.0</v>
      </c>
      <c r="C10" s="123">
        <f t="shared" si="1"/>
        <v>44</v>
      </c>
      <c r="D10" s="124">
        <f t="shared" si="2"/>
        <v>8</v>
      </c>
    </row>
    <row r="11">
      <c r="A11" s="125" t="s">
        <v>715</v>
      </c>
      <c r="B11" s="123">
        <v>49.0</v>
      </c>
      <c r="C11" s="123">
        <f t="shared" si="1"/>
        <v>39.2</v>
      </c>
      <c r="D11" s="124">
        <f t="shared" si="2"/>
        <v>7</v>
      </c>
    </row>
    <row r="12">
      <c r="A12" s="125" t="s">
        <v>716</v>
      </c>
      <c r="B12" s="123">
        <v>45.0</v>
      </c>
      <c r="C12" s="123" t="s">
        <v>75</v>
      </c>
      <c r="D12" s="124">
        <f>roundup(B12/6)</f>
        <v>8</v>
      </c>
    </row>
    <row r="13">
      <c r="A13" s="125" t="s">
        <v>717</v>
      </c>
      <c r="B13" s="123">
        <v>85.0</v>
      </c>
      <c r="C13" s="123">
        <f t="shared" ref="C13:C19" si="3">B13-(B13*0.2)</f>
        <v>68</v>
      </c>
      <c r="D13" s="124">
        <f t="shared" ref="D13:D19" si="4">roundup(C13/6)</f>
        <v>12</v>
      </c>
    </row>
    <row r="14">
      <c r="A14" s="125" t="s">
        <v>718</v>
      </c>
      <c r="B14" s="123">
        <v>60.0</v>
      </c>
      <c r="C14" s="123">
        <f t="shared" si="3"/>
        <v>48</v>
      </c>
      <c r="D14" s="124">
        <f t="shared" si="4"/>
        <v>8</v>
      </c>
    </row>
    <row r="15">
      <c r="A15" s="125" t="s">
        <v>719</v>
      </c>
      <c r="B15" s="123">
        <v>37.0</v>
      </c>
      <c r="C15" s="123">
        <f t="shared" si="3"/>
        <v>29.6</v>
      </c>
      <c r="D15" s="124">
        <f t="shared" si="4"/>
        <v>5</v>
      </c>
    </row>
    <row r="16">
      <c r="A16" s="78" t="s">
        <v>720</v>
      </c>
      <c r="B16" s="123">
        <v>18.5</v>
      </c>
      <c r="C16" s="123">
        <f t="shared" si="3"/>
        <v>14.8</v>
      </c>
      <c r="D16" s="124">
        <f t="shared" si="4"/>
        <v>3</v>
      </c>
    </row>
    <row r="17">
      <c r="A17" s="125" t="s">
        <v>721</v>
      </c>
      <c r="B17" s="123">
        <v>16.5</v>
      </c>
      <c r="C17" s="123">
        <f t="shared" si="3"/>
        <v>13.2</v>
      </c>
      <c r="D17" s="124">
        <f t="shared" si="4"/>
        <v>3</v>
      </c>
    </row>
    <row r="18">
      <c r="A18" s="78" t="s">
        <v>722</v>
      </c>
      <c r="B18" s="123">
        <v>25.0</v>
      </c>
      <c r="C18" s="123">
        <f t="shared" si="3"/>
        <v>20</v>
      </c>
      <c r="D18" s="124">
        <f t="shared" si="4"/>
        <v>4</v>
      </c>
    </row>
    <row r="19">
      <c r="A19" s="125" t="s">
        <v>723</v>
      </c>
      <c r="B19" s="123">
        <v>45.0</v>
      </c>
      <c r="C19" s="123">
        <f t="shared" si="3"/>
        <v>36</v>
      </c>
      <c r="D19" s="124">
        <f t="shared" si="4"/>
        <v>6</v>
      </c>
    </row>
    <row r="20">
      <c r="A20" s="125" t="s">
        <v>724</v>
      </c>
      <c r="B20" s="123">
        <v>35.0</v>
      </c>
      <c r="C20" s="123" t="s">
        <v>75</v>
      </c>
      <c r="D20" s="124">
        <f>roundup(B20/6)</f>
        <v>6</v>
      </c>
    </row>
    <row r="21">
      <c r="A21" s="125" t="s">
        <v>725</v>
      </c>
      <c r="B21" s="123">
        <v>60.0</v>
      </c>
      <c r="C21" s="123">
        <f>B21-(B21*0.2)</f>
        <v>48</v>
      </c>
      <c r="D21" s="124">
        <f t="shared" ref="D21:D28" si="5">roundup(C21/6)</f>
        <v>8</v>
      </c>
    </row>
    <row r="22">
      <c r="A22" s="125" t="s">
        <v>726</v>
      </c>
      <c r="B22" s="123">
        <v>50.0</v>
      </c>
      <c r="C22" s="123">
        <v>25.0</v>
      </c>
      <c r="D22" s="124">
        <f t="shared" si="5"/>
        <v>5</v>
      </c>
    </row>
    <row r="23">
      <c r="A23" s="125" t="s">
        <v>727</v>
      </c>
      <c r="B23" s="123">
        <v>40.0</v>
      </c>
      <c r="C23" s="123">
        <f t="shared" ref="C23:C28" si="6">B23-(B23*0.2)</f>
        <v>32</v>
      </c>
      <c r="D23" s="124">
        <f t="shared" si="5"/>
        <v>6</v>
      </c>
    </row>
    <row r="24">
      <c r="A24" s="125" t="s">
        <v>728</v>
      </c>
      <c r="B24" s="123">
        <v>48.0</v>
      </c>
      <c r="C24" s="123">
        <f t="shared" si="6"/>
        <v>38.4</v>
      </c>
      <c r="D24" s="124">
        <f t="shared" si="5"/>
        <v>7</v>
      </c>
    </row>
    <row r="25">
      <c r="A25" s="125" t="s">
        <v>729</v>
      </c>
      <c r="B25" s="123">
        <v>75.0</v>
      </c>
      <c r="C25" s="123">
        <f t="shared" si="6"/>
        <v>60</v>
      </c>
      <c r="D25" s="124">
        <f t="shared" si="5"/>
        <v>10</v>
      </c>
    </row>
    <row r="26">
      <c r="A26" s="125" t="s">
        <v>730</v>
      </c>
      <c r="B26" s="123">
        <v>40.0</v>
      </c>
      <c r="C26" s="123">
        <f t="shared" si="6"/>
        <v>32</v>
      </c>
      <c r="D26" s="124">
        <f t="shared" si="5"/>
        <v>6</v>
      </c>
    </row>
    <row r="27">
      <c r="A27" s="125" t="s">
        <v>731</v>
      </c>
      <c r="B27" s="123">
        <v>50.0</v>
      </c>
      <c r="C27" s="123">
        <f t="shared" si="6"/>
        <v>40</v>
      </c>
      <c r="D27" s="124">
        <f t="shared" si="5"/>
        <v>7</v>
      </c>
    </row>
    <row r="28">
      <c r="A28" s="125" t="s">
        <v>732</v>
      </c>
      <c r="B28" s="123">
        <v>75.0</v>
      </c>
      <c r="C28" s="123">
        <f t="shared" si="6"/>
        <v>60</v>
      </c>
      <c r="D28" s="124">
        <f t="shared" si="5"/>
        <v>10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