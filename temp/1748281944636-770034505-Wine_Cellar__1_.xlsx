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 2025" sheetId="1" r:id="rId4"/>
    <sheet state="visible" name="May 2025 Boise Fridge" sheetId="2" r:id="rId5"/>
    <sheet state="visible" name="May 2025 Dylans basement" sheetId="3" r:id="rId6"/>
    <sheet state="visible" name="May 2025 Scotts Valley" sheetId="4" r:id="rId7"/>
    <sheet state="visible" name="Master New" sheetId="5" r:id="rId8"/>
    <sheet state="visible" name="Location Key" sheetId="6" r:id="rId9"/>
    <sheet state="visible" name="Master Wine Inventory - Septemb" sheetId="7" r:id="rId10"/>
    <sheet state="visible" name="Master Old" sheetId="8" r:id="rId11"/>
    <sheet state="visible" name="Sheet59" sheetId="9" r:id="rId12"/>
    <sheet state="hidden" name="Private Sell" sheetId="10" r:id="rId13"/>
    <sheet state="hidden" name="Auction 2023" sheetId="11" r:id="rId14"/>
    <sheet state="hidden" name="Glassware" sheetId="12" r:id="rId15"/>
    <sheet state="visible" name="Cabernet" sheetId="13" r:id="rId16"/>
    <sheet state="visible" name="Pinot" sheetId="14" r:id="rId17"/>
    <sheet state="visible" name="Merlot" sheetId="15" r:id="rId18"/>
    <sheet state="visible" name="Zinfandel" sheetId="16" r:id="rId19"/>
    <sheet state="visible" name="Rhone" sheetId="17" r:id="rId20"/>
    <sheet state="visible" name="Cab Franc" sheetId="18" r:id="rId21"/>
    <sheet state="visible" name="Sangiovese" sheetId="19" r:id="rId22"/>
    <sheet state="visible" name="Red" sheetId="20" r:id="rId23"/>
    <sheet state="visible" name="White" sheetId="21" r:id="rId24"/>
    <sheet state="visible" name="Rosé" sheetId="22" r:id="rId25"/>
    <sheet state="visible" name="Sparkling" sheetId="23" r:id="rId26"/>
    <sheet state="visible" name="Dessert " sheetId="24" r:id="rId27"/>
    <sheet state="visible" name="Large Format" sheetId="25" r:id="rId28"/>
    <sheet state="visible" name="French" sheetId="26" r:id="rId29"/>
    <sheet state="visible" name="Italian" sheetId="27" r:id="rId30"/>
  </sheets>
  <definedNames>
    <definedName hidden="1" localSheetId="2" name="_xlnm._FilterDatabase">'May 2025 Dylans basement'!$C$1:$AE$998</definedName>
    <definedName hidden="1" localSheetId="4" name="_xlnm._FilterDatabase">'Master New'!$A$1:$Y$990</definedName>
    <definedName hidden="1" localSheetId="7" name="_xlnm._FilterDatabase">'Master Old'!$A$1:$Y$781</definedName>
    <definedName hidden="1" localSheetId="25" name="_xlnm._FilterDatabase">French!$A$1:$Q$990</definedName>
    <definedName hidden="1" localSheetId="26" name="_xlnm._FilterDatabase">Italian!$A$1:$Q$990</definedName>
    <definedName hidden="1" localSheetId="7" name="Z_797CB2D3_6B25_4DB6_AA54_B821F984E079_.wvu.FilterData">'Master Old'!$B$1:$R$7</definedName>
    <definedName hidden="1" localSheetId="7" name="Z_A637F95A_B861_47C6_8751_AAE115E3ED0A_.wvu.FilterData">'Master Old'!$K$6:$K$9</definedName>
  </definedNames>
  <calcPr/>
  <customWorkbookViews>
    <customWorkbookView activeSheetId="0" maximized="1" windowHeight="0" windowWidth="0" guid="{A637F95A-B861-47C6-8751-AAE115E3ED0A}" name="Filter 2"/>
    <customWorkbookView activeSheetId="0" maximized="1" windowHeight="0" windowWidth="0" guid="{797CB2D3-6B25-4DB6-AA54-B821F984E079}" name="Filter 1"/>
  </customWorkbookViews>
</workbook>
</file>

<file path=xl/sharedStrings.xml><?xml version="1.0" encoding="utf-8"?>
<sst xmlns="http://schemas.openxmlformats.org/spreadsheetml/2006/main" count="4050" uniqueCount="777">
  <si>
    <t>Storage Location</t>
  </si>
  <si>
    <t>Bin</t>
  </si>
  <si>
    <t>Quantity</t>
  </si>
  <si>
    <t>Vintage</t>
  </si>
  <si>
    <t>Producer</t>
  </si>
  <si>
    <t>Wine</t>
  </si>
  <si>
    <t>Bottle Size</t>
  </si>
  <si>
    <t>Scotts Valley</t>
  </si>
  <si>
    <t>Vina Robles</t>
  </si>
  <si>
    <t xml:space="preserve">Cabernet Sauviugnon </t>
  </si>
  <si>
    <t>Robert Mondavi Winery</t>
  </si>
  <si>
    <t>Napa Valley Chardonnay</t>
  </si>
  <si>
    <t>Testarossa Winery</t>
  </si>
  <si>
    <t>Santa Lucia Highlands Chardonnay</t>
  </si>
  <si>
    <t>Frank Family Vineyards</t>
  </si>
  <si>
    <t>Lewis Vineyard Chardonnay</t>
  </si>
  <si>
    <t>Saison</t>
  </si>
  <si>
    <t>Brosseau Vineyards Chardonnay</t>
  </si>
  <si>
    <t>Regan Vineyards Chardonnay</t>
  </si>
  <si>
    <t>Louis Michael and Fils</t>
  </si>
  <si>
    <t>Chablis Premier Cru Montmain</t>
  </si>
  <si>
    <t xml:space="preserve">Madson </t>
  </si>
  <si>
    <t>Chenin Blanc</t>
  </si>
  <si>
    <t>Big Basin Vineyards</t>
  </si>
  <si>
    <t>NV</t>
  </si>
  <si>
    <t>Villa Sparina</t>
  </si>
  <si>
    <t>Brut Gavi</t>
  </si>
  <si>
    <t>Veuve Cliqout</t>
  </si>
  <si>
    <t>Mumm</t>
  </si>
  <si>
    <t>Blanc de Noir</t>
  </si>
  <si>
    <t>Devauex Reserve Rose</t>
  </si>
  <si>
    <t>Brut Prestige</t>
  </si>
  <si>
    <t>Schramsberg</t>
  </si>
  <si>
    <t>Brut</t>
  </si>
  <si>
    <t>Bargetto Winery</t>
  </si>
  <si>
    <t>Merlot</t>
  </si>
  <si>
    <t xml:space="preserve">Canvasback </t>
  </si>
  <si>
    <t>Red Mountain Cabernet Sauvignon</t>
  </si>
  <si>
    <t>Husch</t>
  </si>
  <si>
    <t>Cabernet Sauvignon</t>
  </si>
  <si>
    <t xml:space="preserve">Mazzoco </t>
  </si>
  <si>
    <t>Verano Zinfandel</t>
  </si>
  <si>
    <t>Castoro</t>
  </si>
  <si>
    <t>Reserve Charbono</t>
  </si>
  <si>
    <t>Klinker Brick</t>
  </si>
  <si>
    <t>Mourvedre Lodi</t>
  </si>
  <si>
    <t>Treana</t>
  </si>
  <si>
    <t>Bargetto</t>
  </si>
  <si>
    <t>Tempranillo Gali</t>
  </si>
  <si>
    <t xml:space="preserve">Spiral </t>
  </si>
  <si>
    <t>Big Basin Vineyard</t>
  </si>
  <si>
    <t>Bordeaux Blend</t>
  </si>
  <si>
    <t>VGS</t>
  </si>
  <si>
    <t>Alta Vista Zinfandel</t>
  </si>
  <si>
    <t xml:space="preserve">Dave Harvey </t>
  </si>
  <si>
    <t>Upriver Washington Cabernet Sauvignon</t>
  </si>
  <si>
    <t>Dune and Mountain Pinot Noir</t>
  </si>
  <si>
    <t>GSM</t>
  </si>
  <si>
    <t>Odeon</t>
  </si>
  <si>
    <t>Coastview Syrah</t>
  </si>
  <si>
    <t>Wirz Carignan</t>
  </si>
  <si>
    <t>Steven Millier</t>
  </si>
  <si>
    <t>Lodi Cabernet</t>
  </si>
  <si>
    <t>Farmstead</t>
  </si>
  <si>
    <t>Anderson Valley Pinot Noir</t>
  </si>
  <si>
    <t>Hook and Ladder</t>
  </si>
  <si>
    <t>Praterea Sangiovese</t>
  </si>
  <si>
    <t>Simi Vineyards</t>
  </si>
  <si>
    <t>Pinot Noir Russian River</t>
  </si>
  <si>
    <t>Keenan</t>
  </si>
  <si>
    <t>Carneros Merlot</t>
  </si>
  <si>
    <t>Ridicci</t>
  </si>
  <si>
    <t>Taurasi</t>
  </si>
  <si>
    <t>Soda Rock</t>
  </si>
  <si>
    <t>Warm Springs Merlot</t>
  </si>
  <si>
    <t>J Dusi</t>
  </si>
  <si>
    <t>The Other Brother</t>
  </si>
  <si>
    <t>Escondelosa</t>
  </si>
  <si>
    <t>Spur Hill Cabernet</t>
  </si>
  <si>
    <t>Warm Springs Cabernet Franc</t>
  </si>
  <si>
    <t>Sly</t>
  </si>
  <si>
    <t>Fiorento</t>
  </si>
  <si>
    <t>Ridge</t>
  </si>
  <si>
    <t>Estate Cabernet</t>
  </si>
  <si>
    <t>Cune</t>
  </si>
  <si>
    <t>Reserva Rioja</t>
  </si>
  <si>
    <t>Lurton</t>
  </si>
  <si>
    <t>Santa Cruz Mountain Syrah</t>
  </si>
  <si>
    <t>Cortonese</t>
  </si>
  <si>
    <t xml:space="preserve">Brunello </t>
  </si>
  <si>
    <t>Dufort Vivens</t>
  </si>
  <si>
    <t>Le Relais Margeux</t>
  </si>
  <si>
    <t>Gaja</t>
  </si>
  <si>
    <t>Sito Maresco</t>
  </si>
  <si>
    <t>Emolo</t>
  </si>
  <si>
    <t>Regan</t>
  </si>
  <si>
    <t>Nebiolo</t>
  </si>
  <si>
    <t>Martinet Menut</t>
  </si>
  <si>
    <t xml:space="preserve">Priorat </t>
  </si>
  <si>
    <t>Birrichino</t>
  </si>
  <si>
    <t>St George Pinot</t>
  </si>
  <si>
    <t>JCB</t>
  </si>
  <si>
    <t>No 37 Pinot Noir</t>
  </si>
  <si>
    <t>no 7 pinot noir</t>
  </si>
  <si>
    <t>Red Blend</t>
  </si>
  <si>
    <t>Bella Glos</t>
  </si>
  <si>
    <t>Clark and Telephone Pinot Noir</t>
  </si>
  <si>
    <t>Merlot Chalk Hill</t>
  </si>
  <si>
    <t>Kirkland</t>
  </si>
  <si>
    <t>Malbec</t>
  </si>
  <si>
    <t>Old Corrall Pinot</t>
  </si>
  <si>
    <t>Old corall Syrah</t>
  </si>
  <si>
    <t>SCM Syrah</t>
  </si>
  <si>
    <t>Baronni Madeline</t>
  </si>
  <si>
    <t>Chinon</t>
  </si>
  <si>
    <t>Stefano D Blasi</t>
  </si>
  <si>
    <t>Rosso Sciciliani</t>
  </si>
  <si>
    <t>K Vintners</t>
  </si>
  <si>
    <t>The Deal</t>
  </si>
  <si>
    <t>Tablas Creek</t>
  </si>
  <si>
    <t>Esprit De Tablas</t>
  </si>
  <si>
    <t>Arabella</t>
  </si>
  <si>
    <t xml:space="preserve">Merlot </t>
  </si>
  <si>
    <t>Carmen Stevens</t>
  </si>
  <si>
    <t>Angels Reserve Shiraz</t>
  </si>
  <si>
    <t>Mauricio Lorca</t>
  </si>
  <si>
    <t>Angels Selection Malbec Mendoza</t>
  </si>
  <si>
    <t>Baglias</t>
  </si>
  <si>
    <t>Petitie Sirah Lodi</t>
  </si>
  <si>
    <t>Austin Hope</t>
  </si>
  <si>
    <t>GSM Templeton Gap</t>
  </si>
  <si>
    <t>White Rock</t>
  </si>
  <si>
    <t xml:space="preserve">Red </t>
  </si>
  <si>
    <t>Zinfandel Dante Dusi</t>
  </si>
  <si>
    <t>Hearth</t>
  </si>
  <si>
    <t>Robert Mondavi</t>
  </si>
  <si>
    <t>Momentum</t>
  </si>
  <si>
    <t>Stelzner</t>
  </si>
  <si>
    <t>Sangiovese</t>
  </si>
  <si>
    <t>Simi</t>
  </si>
  <si>
    <t>Block 2 Malbec</t>
  </si>
  <si>
    <t>Merlot Regan vineyards</t>
  </si>
  <si>
    <t>Quest</t>
  </si>
  <si>
    <t>Reserve Merlot</t>
  </si>
  <si>
    <t>Reserve Malbec</t>
  </si>
  <si>
    <t>Pax</t>
  </si>
  <si>
    <t>Syrah</t>
  </si>
  <si>
    <t>Soquel</t>
  </si>
  <si>
    <t>Domaine Charvin</t>
  </si>
  <si>
    <t>Cote du Rhone</t>
  </si>
  <si>
    <t>Chateau St Cosme</t>
  </si>
  <si>
    <t>Domaine Grand Venuer</t>
  </si>
  <si>
    <t>Chateneuf du Pape Les Origin</t>
  </si>
  <si>
    <t>DeLoach</t>
  </si>
  <si>
    <t>Pinot</t>
  </si>
  <si>
    <t>Nelson Syrah</t>
  </si>
  <si>
    <t>Lester</t>
  </si>
  <si>
    <t>Peter Gajuski</t>
  </si>
  <si>
    <t>Shiraz</t>
  </si>
  <si>
    <t>Big Basin</t>
  </si>
  <si>
    <t>Syrah SCM</t>
  </si>
  <si>
    <t xml:space="preserve">Quevedo Family </t>
  </si>
  <si>
    <t>Red Wine</t>
  </si>
  <si>
    <t>Sauvito</t>
  </si>
  <si>
    <t>Castoro Cellars</t>
  </si>
  <si>
    <t>Late Harvest Zin</t>
  </si>
  <si>
    <t>Segredo</t>
  </si>
  <si>
    <t>Gavi</t>
  </si>
  <si>
    <t>Late Harvest Gewurtraminer</t>
  </si>
  <si>
    <t>Boise</t>
  </si>
  <si>
    <t>Wine Fridge</t>
  </si>
  <si>
    <t>Viticcio</t>
  </si>
  <si>
    <t>Chianti Classico Riserva</t>
  </si>
  <si>
    <t>Sassetti</t>
  </si>
  <si>
    <t>Montecucco Rosso Maremma Toscana DOC</t>
  </si>
  <si>
    <t>Seghesio</t>
  </si>
  <si>
    <t>Barbera</t>
  </si>
  <si>
    <t>Hook &amp; Ladder</t>
  </si>
  <si>
    <t>sangiovese</t>
  </si>
  <si>
    <t>Carignane Sandy Lane</t>
  </si>
  <si>
    <t>Farella</t>
  </si>
  <si>
    <t>Napa Valley Cabernet</t>
  </si>
  <si>
    <t>Carneros Cabernet</t>
  </si>
  <si>
    <t>Carneros Red Blend</t>
  </si>
  <si>
    <t>Zinfandel</t>
  </si>
  <si>
    <t>Brut Rose</t>
  </si>
  <si>
    <t>Suendero</t>
  </si>
  <si>
    <t>Imagine Wine</t>
  </si>
  <si>
    <t>Fume Blanc Oakville</t>
  </si>
  <si>
    <t>Dylan's Basement</t>
  </si>
  <si>
    <t>Soda Rock Alexander Valley</t>
  </si>
  <si>
    <t>Switchback Ridge</t>
  </si>
  <si>
    <t>Chalk Hill Cabernet Franc</t>
  </si>
  <si>
    <t>Venom Sangiovese</t>
  </si>
  <si>
    <t>Cabernet Franc</t>
  </si>
  <si>
    <t>Odeon Cabernet Syrah</t>
  </si>
  <si>
    <t>Beringer</t>
  </si>
  <si>
    <t>Silverado</t>
  </si>
  <si>
    <t>Ridge Vineyards</t>
  </si>
  <si>
    <t>Estate Cabernet Sauviugnon</t>
  </si>
  <si>
    <t>Carignane</t>
  </si>
  <si>
    <t>Di Constanza</t>
  </si>
  <si>
    <t>Di Co Cabernet Sauvignon</t>
  </si>
  <si>
    <t>Napa Valley Cabernet Sauvignon</t>
  </si>
  <si>
    <t>Jimsomare Zinfandel</t>
  </si>
  <si>
    <t>Mt George Merlot</t>
  </si>
  <si>
    <t>Heitz Cellars</t>
  </si>
  <si>
    <t>Los Amigos Ranch Cabernet Franc</t>
  </si>
  <si>
    <t>Oakville Cabernet Sauvignon</t>
  </si>
  <si>
    <t>Elusa</t>
  </si>
  <si>
    <t>Petite Sirah</t>
  </si>
  <si>
    <t>Pinot Noir</t>
  </si>
  <si>
    <t>Horse Heaven Hills</t>
  </si>
  <si>
    <t xml:space="preserve">Nebbiolo </t>
  </si>
  <si>
    <t>Brut Reserve Rose 1.5</t>
  </si>
  <si>
    <t>Acaibo 1.5</t>
  </si>
  <si>
    <t>Estate Cabernet Sauviugnon 1.5</t>
  </si>
  <si>
    <t>Booker</t>
  </si>
  <si>
    <t>Oublie 1.5</t>
  </si>
  <si>
    <t>Rattlesnake Rock Syrah 1.5</t>
  </si>
  <si>
    <t>Chateau de Cayx</t>
  </si>
  <si>
    <t xml:space="preserve">Cahors </t>
  </si>
  <si>
    <t>Duckhorn</t>
  </si>
  <si>
    <t>Monitor Ledge Cabernet Sauvignon</t>
  </si>
  <si>
    <t>Chatea la Prade</t>
  </si>
  <si>
    <t>Bordeaux</t>
  </si>
  <si>
    <t>Schramsberg Brut Rose</t>
  </si>
  <si>
    <t>Mount Veeder</t>
  </si>
  <si>
    <t>Rattlesnack Rock Syrah</t>
  </si>
  <si>
    <t>Coastview Vineyard Syrah</t>
  </si>
  <si>
    <t>Larkmead Winery</t>
  </si>
  <si>
    <t>Firebelle</t>
  </si>
  <si>
    <t>Geyserville</t>
  </si>
  <si>
    <t>Joseph Phelps Winery</t>
  </si>
  <si>
    <t>Monte Bello</t>
  </si>
  <si>
    <t xml:space="preserve">Schramsberg </t>
  </si>
  <si>
    <t>Blanc de Blanc</t>
  </si>
  <si>
    <t>Upper Bowl Vineyard Cabernet Franc</t>
  </si>
  <si>
    <t>Freestone Vineyard Pinot Noir</t>
  </si>
  <si>
    <t>Husch Vineyards</t>
  </si>
  <si>
    <t>Domaine Serene</t>
  </si>
  <si>
    <t>Evanston Reserve Pinot Magnum</t>
  </si>
  <si>
    <t>Domaine Carneros</t>
  </si>
  <si>
    <t>Blanc de Noir Magnum</t>
  </si>
  <si>
    <t>Blanc de Blanc Magnum</t>
  </si>
  <si>
    <t xml:space="preserve">Geyserville </t>
  </si>
  <si>
    <t>Lytton Springs</t>
  </si>
  <si>
    <t xml:space="preserve">Tablas </t>
  </si>
  <si>
    <t>Esprit de Tablas</t>
  </si>
  <si>
    <t>En Gobelet</t>
  </si>
  <si>
    <t>Piedrassi</t>
  </si>
  <si>
    <t>Bien Nacido Syrah</t>
  </si>
  <si>
    <t>K Vitners</t>
  </si>
  <si>
    <t>Walhuke Slope Syrah</t>
  </si>
  <si>
    <t>Wilson</t>
  </si>
  <si>
    <t>Dorothy Syrah</t>
  </si>
  <si>
    <t>Caterinas Syrah</t>
  </si>
  <si>
    <t>Domaine Eden</t>
  </si>
  <si>
    <t>Golsalves Mataro</t>
  </si>
  <si>
    <t>Altitude</t>
  </si>
  <si>
    <t>Sasetti</t>
  </si>
  <si>
    <t>Montecucco Rosso</t>
  </si>
  <si>
    <t xml:space="preserve">Carneros Red </t>
  </si>
  <si>
    <t xml:space="preserve">Keenan </t>
  </si>
  <si>
    <t>Benito Dusi zinfandel</t>
  </si>
  <si>
    <t>Mathiasson</t>
  </si>
  <si>
    <t>Merlot Pheonix</t>
  </si>
  <si>
    <t xml:space="preserve">Birichino </t>
  </si>
  <si>
    <t>Grenache Beson</t>
  </si>
  <si>
    <t>Qty</t>
  </si>
  <si>
    <t xml:space="preserve">Vintage </t>
  </si>
  <si>
    <t xml:space="preserve">Wine </t>
  </si>
  <si>
    <t>Size</t>
  </si>
  <si>
    <t>Esprit</t>
  </si>
  <si>
    <t>Winery</t>
  </si>
  <si>
    <t xml:space="preserve">wine </t>
  </si>
  <si>
    <t>Dave Harvey</t>
  </si>
  <si>
    <t>Upriver Cabernet</t>
  </si>
  <si>
    <t>Dune Pinot</t>
  </si>
  <si>
    <t>Category</t>
  </si>
  <si>
    <t xml:space="preserve">Winery </t>
  </si>
  <si>
    <t>Varietal(s)</t>
  </si>
  <si>
    <t xml:space="preserve">Country </t>
  </si>
  <si>
    <t xml:space="preserve">State </t>
  </si>
  <si>
    <t xml:space="preserve">Region </t>
  </si>
  <si>
    <t>Appelation</t>
  </si>
  <si>
    <t>Sub AVA</t>
  </si>
  <si>
    <t>Vineyard</t>
  </si>
  <si>
    <t xml:space="preserve">Retail Price </t>
  </si>
  <si>
    <t>Volume</t>
  </si>
  <si>
    <t xml:space="preserve">Basement Fridge 1 </t>
  </si>
  <si>
    <t>Red</t>
  </si>
  <si>
    <t>CUNE</t>
  </si>
  <si>
    <t>Imperial Reserva Rioja</t>
  </si>
  <si>
    <t xml:space="preserve">Tempranillo </t>
  </si>
  <si>
    <t>SP</t>
  </si>
  <si>
    <t>Basement Fridge 1, Office</t>
  </si>
  <si>
    <t xml:space="preserve">Cortonesi </t>
  </si>
  <si>
    <t>La Mannella Brunello di Montalcino</t>
  </si>
  <si>
    <t>IT</t>
  </si>
  <si>
    <t xml:space="preserve">Tuscany </t>
  </si>
  <si>
    <t>Montalcino</t>
  </si>
  <si>
    <t>Basement Fridge 1</t>
  </si>
  <si>
    <t>Pio Cesare</t>
  </si>
  <si>
    <t>Barbera D'Alba</t>
  </si>
  <si>
    <t xml:space="preserve">Montecucco </t>
  </si>
  <si>
    <t>Rosso di Montalcino</t>
  </si>
  <si>
    <t>Basement Fridge 2</t>
  </si>
  <si>
    <t>G &amp; C Lurton Vineyards</t>
  </si>
  <si>
    <t>Acaibo</t>
  </si>
  <si>
    <t>Cabernet Blend</t>
  </si>
  <si>
    <t xml:space="preserve">USA </t>
  </si>
  <si>
    <t>CA</t>
  </si>
  <si>
    <t xml:space="preserve">North Coast </t>
  </si>
  <si>
    <t xml:space="preserve">Sonoma County </t>
  </si>
  <si>
    <t xml:space="preserve">Chalk Hill </t>
  </si>
  <si>
    <t xml:space="preserve">Robert Mondavi Winery </t>
  </si>
  <si>
    <t xml:space="preserve">The Reserve </t>
  </si>
  <si>
    <t>North Coast</t>
  </si>
  <si>
    <t>Napa Valley</t>
  </si>
  <si>
    <t xml:space="preserve">Oakville </t>
  </si>
  <si>
    <t xml:space="preserve">To Kalon </t>
  </si>
  <si>
    <t>Sito Moresco Barbaresco</t>
  </si>
  <si>
    <t>Nebbiolo</t>
  </si>
  <si>
    <t>Piedmont</t>
  </si>
  <si>
    <t>Langhe</t>
  </si>
  <si>
    <t xml:space="preserve">Viticcio </t>
  </si>
  <si>
    <t>Chianti</t>
  </si>
  <si>
    <t xml:space="preserve">Alain Graillot </t>
  </si>
  <si>
    <t>Crozes-Hermitage</t>
  </si>
  <si>
    <t>FR</t>
  </si>
  <si>
    <t>Rhone Valley</t>
  </si>
  <si>
    <t>Basement Fridge 3</t>
  </si>
  <si>
    <t>Santa Cruz Mountain Merlot</t>
  </si>
  <si>
    <t xml:space="preserve">Central Coast </t>
  </si>
  <si>
    <t>Santa Cruz Mountains</t>
  </si>
  <si>
    <t xml:space="preserve">Regan </t>
  </si>
  <si>
    <t xml:space="preserve">Bargetto Winery </t>
  </si>
  <si>
    <t>Santa Cruz County</t>
  </si>
  <si>
    <t>Estate Merlot</t>
  </si>
  <si>
    <t>USA</t>
  </si>
  <si>
    <t xml:space="preserve">Paso Robles </t>
  </si>
  <si>
    <t xml:space="preserve">Templeton Gap </t>
  </si>
  <si>
    <t>Charbono</t>
  </si>
  <si>
    <t xml:space="preserve">Whale Rock </t>
  </si>
  <si>
    <t>Regan Vineyards Winery</t>
  </si>
  <si>
    <t>Regan Vineyards</t>
  </si>
  <si>
    <t xml:space="preserve">CA </t>
  </si>
  <si>
    <t>Central Coast</t>
  </si>
  <si>
    <t>Corralitos</t>
  </si>
  <si>
    <t>Basement Fridge 4</t>
  </si>
  <si>
    <t>Old Corral Pinot Noir</t>
  </si>
  <si>
    <t xml:space="preserve">Big Basin Vineyards </t>
  </si>
  <si>
    <t>Dune &amp; Mountain Pinot Noir</t>
  </si>
  <si>
    <t>Birichino</t>
  </si>
  <si>
    <t>Monterey County</t>
  </si>
  <si>
    <t xml:space="preserve">SAINT GEORGES </t>
  </si>
  <si>
    <t>No. 37 Pinot Noir</t>
  </si>
  <si>
    <t>Sonoma County</t>
  </si>
  <si>
    <t>No. 7 Pinot Noir</t>
  </si>
  <si>
    <t>DeLoach Vineyards</t>
  </si>
  <si>
    <t>Green Valley</t>
  </si>
  <si>
    <t xml:space="preserve">Bella Glos </t>
  </si>
  <si>
    <t xml:space="preserve">Clark &amp; Telephone </t>
  </si>
  <si>
    <t xml:space="preserve">Santa Barbara County </t>
  </si>
  <si>
    <t>Alfaro Family</t>
  </si>
  <si>
    <t>A Pinot Noir</t>
  </si>
  <si>
    <t>?</t>
  </si>
  <si>
    <t>Simi Winery</t>
  </si>
  <si>
    <t xml:space="preserve">Russian River Valley </t>
  </si>
  <si>
    <t>Domaine Grand Veneur</t>
  </si>
  <si>
    <t>Les Origines</t>
  </si>
  <si>
    <t>Chateneuf</t>
  </si>
  <si>
    <t>Chateau Durfort-Vivens</t>
  </si>
  <si>
    <t>Le Relais de Dufort-Vivens</t>
  </si>
  <si>
    <t>Margeaux</t>
  </si>
  <si>
    <t xml:space="preserve">Treana </t>
  </si>
  <si>
    <t>Cabernet/Syrah</t>
  </si>
  <si>
    <t>White Rock Winery</t>
  </si>
  <si>
    <t xml:space="preserve">Momentum </t>
  </si>
  <si>
    <t>Merlot Red Blend</t>
  </si>
  <si>
    <t>Stags Leap District</t>
  </si>
  <si>
    <t xml:space="preserve">Schweitzer </t>
  </si>
  <si>
    <t>Seghesio Family Vineyards</t>
  </si>
  <si>
    <t xml:space="preserve">Venom Sangiovese </t>
  </si>
  <si>
    <t xml:space="preserve">Barbera </t>
  </si>
  <si>
    <t>Alexander Valley</t>
  </si>
  <si>
    <t>Home Ranch Vineyard</t>
  </si>
  <si>
    <t>Beringer Vineyards</t>
  </si>
  <si>
    <t>Napa Valley Cabnernet Sauvignon</t>
  </si>
  <si>
    <t xml:space="preserve">Basement Fridge 2 </t>
  </si>
  <si>
    <t>Opus One</t>
  </si>
  <si>
    <t>Overture</t>
  </si>
  <si>
    <t>Bordeaux Red Blend</t>
  </si>
  <si>
    <t>Oakville</t>
  </si>
  <si>
    <t>Estate Cabernet Sauvignon</t>
  </si>
  <si>
    <t>Chalk Hill</t>
  </si>
  <si>
    <t>Tempranillo</t>
  </si>
  <si>
    <t xml:space="preserve">Los Amigos Sangiovese </t>
  </si>
  <si>
    <t>Dry Creek Valley</t>
  </si>
  <si>
    <t>Warm Springs</t>
  </si>
  <si>
    <t>Right Bank Blend</t>
  </si>
  <si>
    <t>Basement Fridge 2, Office</t>
  </si>
  <si>
    <t>Keenan Winery</t>
  </si>
  <si>
    <t xml:space="preserve">Cabernet Franc </t>
  </si>
  <si>
    <t xml:space="preserve">Napa Valley </t>
  </si>
  <si>
    <t xml:space="preserve">Spring Mountain </t>
  </si>
  <si>
    <t xml:space="preserve">Upper Bowl </t>
  </si>
  <si>
    <t>Spur Hill Cabernet Sauvignon</t>
  </si>
  <si>
    <t>Spur Hill</t>
  </si>
  <si>
    <t>Silverado Vineyards</t>
  </si>
  <si>
    <t>Mt. George Merlot</t>
  </si>
  <si>
    <t>Coombsville</t>
  </si>
  <si>
    <t>Cabnernet Sauvignon</t>
  </si>
  <si>
    <t xml:space="preserve">Austin Hope </t>
  </si>
  <si>
    <t>Rhone Blend</t>
  </si>
  <si>
    <t xml:space="preserve">Domaine Eden </t>
  </si>
  <si>
    <t>Santa Clara County</t>
  </si>
  <si>
    <t>Buchignani Ranch</t>
  </si>
  <si>
    <t>Mataro</t>
  </si>
  <si>
    <t>Mouvedre</t>
  </si>
  <si>
    <t>Contra Costa County</t>
  </si>
  <si>
    <t>Gonzalvez</t>
  </si>
  <si>
    <t>Praeterea "Brunello"</t>
  </si>
  <si>
    <t>Basement Fridge 3, Office</t>
  </si>
  <si>
    <t>Canvasback</t>
  </si>
  <si>
    <t>WA</t>
  </si>
  <si>
    <t xml:space="preserve">Columbia Valley </t>
  </si>
  <si>
    <t xml:space="preserve">Red Mountain </t>
  </si>
  <si>
    <t xml:space="preserve">Husch Vineyards </t>
  </si>
  <si>
    <t>Mendocino County</t>
  </si>
  <si>
    <t>Anderson Valley</t>
  </si>
  <si>
    <t>Stelzner Vineyards</t>
  </si>
  <si>
    <t xml:space="preserve">Sangiovese </t>
  </si>
  <si>
    <t>Ashes &amp; Diamonds</t>
  </si>
  <si>
    <t>Oak Knoll</t>
  </si>
  <si>
    <t xml:space="preserve">Los Amigos Ranch </t>
  </si>
  <si>
    <t>Matthiasson Winery</t>
  </si>
  <si>
    <t>Phoenix Vineyard</t>
  </si>
  <si>
    <t>Carneros</t>
  </si>
  <si>
    <t>Office</t>
  </si>
  <si>
    <t>Ramey Wine Cellars</t>
  </si>
  <si>
    <t xml:space="preserve">St. Helena </t>
  </si>
  <si>
    <t>To Kalon Vineyard</t>
  </si>
  <si>
    <t xml:space="preserve">Harvest of Joy </t>
  </si>
  <si>
    <t>Joseph Phelps Vineyards</t>
  </si>
  <si>
    <t>J Dusi Winery</t>
  </si>
  <si>
    <t>San Luis Obispo County</t>
  </si>
  <si>
    <t>Paso Robles</t>
  </si>
  <si>
    <t xml:space="preserve">Reserve Malbec </t>
  </si>
  <si>
    <t>Block No. 2 Malbec</t>
  </si>
  <si>
    <t>Benito Zinfandel</t>
  </si>
  <si>
    <t>Benito Dusi Ranch</t>
  </si>
  <si>
    <t xml:space="preserve">Dante Dusi </t>
  </si>
  <si>
    <t xml:space="preserve">Caterina's Syrah </t>
  </si>
  <si>
    <t>Heitz Cellar</t>
  </si>
  <si>
    <t>Reynolds Family Winery</t>
  </si>
  <si>
    <t>Persistance Red Blend</t>
  </si>
  <si>
    <t xml:space="preserve">K Vitners </t>
  </si>
  <si>
    <t>Columbia Valley</t>
  </si>
  <si>
    <t>Wahluke Slope</t>
  </si>
  <si>
    <t xml:space="preserve">Sundance </t>
  </si>
  <si>
    <t xml:space="preserve">Chateau de Saint Cosme </t>
  </si>
  <si>
    <t>Cotes-Du-Rhone</t>
  </si>
  <si>
    <t>Tablas Creek Vineyard</t>
  </si>
  <si>
    <t>Esprit de Tablas (Beaucastel)</t>
  </si>
  <si>
    <t xml:space="preserve">Adelaida District </t>
  </si>
  <si>
    <t xml:space="preserve">En Gobelet </t>
  </si>
  <si>
    <t>Emmolo</t>
  </si>
  <si>
    <t>Basement Fridge 3?</t>
  </si>
  <si>
    <t>Odeon Cabernet Sauvignon</t>
  </si>
  <si>
    <t>Betchart Vineyards</t>
  </si>
  <si>
    <t>Old Vine Carignane</t>
  </si>
  <si>
    <t>Gabilan Mountains</t>
  </si>
  <si>
    <t xml:space="preserve">Coastview </t>
  </si>
  <si>
    <t>Grenache, Sryah, Mouvedre</t>
  </si>
  <si>
    <t xml:space="preserve">Santa Cruz Mountains Sryah </t>
  </si>
  <si>
    <t>Ondine Chattan</t>
  </si>
  <si>
    <t>Russian River Valley</t>
  </si>
  <si>
    <t>Benjamin Darnault</t>
  </si>
  <si>
    <t>Roussillon Villages</t>
  </si>
  <si>
    <t>Roussilion</t>
  </si>
  <si>
    <t xml:space="preserve">Domaine Charvin </t>
  </si>
  <si>
    <t>Le Poutet' Cotes Du Rhone</t>
  </si>
  <si>
    <t>Domaine La Rougeante</t>
  </si>
  <si>
    <t>Corbières</t>
  </si>
  <si>
    <t>Languedoc-Roussillon</t>
  </si>
  <si>
    <t>Mas Martinet</t>
  </si>
  <si>
    <t>Priorat Menut</t>
  </si>
  <si>
    <t>Peter Juicy Gajewski</t>
  </si>
  <si>
    <t>AU</t>
  </si>
  <si>
    <t>Quevedo Family</t>
  </si>
  <si>
    <t>Xisto Red</t>
  </si>
  <si>
    <t>PO</t>
  </si>
  <si>
    <t>Stefano di Blasi</t>
  </si>
  <si>
    <t>IGT Sicilia Syrah</t>
  </si>
  <si>
    <t xml:space="preserve">Arabella </t>
  </si>
  <si>
    <t>SA</t>
  </si>
  <si>
    <t xml:space="preserve">Malbec </t>
  </si>
  <si>
    <t>AR</t>
  </si>
  <si>
    <t>Round Pond</t>
  </si>
  <si>
    <t>Rutherford</t>
  </si>
  <si>
    <t xml:space="preserve">Estate Merlot </t>
  </si>
  <si>
    <t xml:space="preserve">Bel Colle </t>
  </si>
  <si>
    <t>Barbaresco</t>
  </si>
  <si>
    <t>Office?</t>
  </si>
  <si>
    <t>Cavalier Bartolomeo</t>
  </si>
  <si>
    <t>Barolo Altenasso</t>
  </si>
  <si>
    <t xml:space="preserve">Domaine de la Janasse </t>
  </si>
  <si>
    <t>Châteauneuf-du-Pape</t>
  </si>
  <si>
    <t xml:space="preserve">Domaine Giraud </t>
  </si>
  <si>
    <t>Chateau-nauf-du-pape</t>
  </si>
  <si>
    <t>Domaine Durand</t>
  </si>
  <si>
    <t xml:space="preserve">Emprientes Cornas </t>
  </si>
  <si>
    <t xml:space="preserve">Cornas </t>
  </si>
  <si>
    <t>Spring Mountain District</t>
  </si>
  <si>
    <t>Duckhorn Vineyards</t>
  </si>
  <si>
    <t xml:space="preserve">The Discussion </t>
  </si>
  <si>
    <t xml:space="preserve">Oakville Station </t>
  </si>
  <si>
    <t>Oakville Station, UC Davis</t>
  </si>
  <si>
    <t xml:space="preserve">Carneros Merlot </t>
  </si>
  <si>
    <t>Claret</t>
  </si>
  <si>
    <t>Domaine Durieu</t>
  </si>
  <si>
    <t xml:space="preserve">Lucile Avril Chateneuf Du Pape </t>
  </si>
  <si>
    <t>Lester Vineyards</t>
  </si>
  <si>
    <t>Pax Mahle</t>
  </si>
  <si>
    <t>North Coast Syrah</t>
  </si>
  <si>
    <t>Chappallet Winery</t>
  </si>
  <si>
    <t>Cabnernet Franc</t>
  </si>
  <si>
    <t xml:space="preserve">Syrah </t>
  </si>
  <si>
    <t>Santa Barbara County</t>
  </si>
  <si>
    <t>Santa Maria Valley</t>
  </si>
  <si>
    <t xml:space="preserve">Bien Nacido </t>
  </si>
  <si>
    <t xml:space="preserve">Rattlesnake Rock Syrah </t>
  </si>
  <si>
    <t xml:space="preserve">Nelson  </t>
  </si>
  <si>
    <t>Wilson Winery</t>
  </si>
  <si>
    <t xml:space="preserve">Dorothy's Syrah </t>
  </si>
  <si>
    <t>Chateau Gigognan</t>
  </si>
  <si>
    <t xml:space="preserve">Chateauneuf du Pape </t>
  </si>
  <si>
    <t xml:space="preserve">Chateau de Beaucastel </t>
  </si>
  <si>
    <t>André Brunel</t>
  </si>
  <si>
    <t>Les Cailloux Châteauneuf-du-Pape</t>
  </si>
  <si>
    <t xml:space="preserve">Cabernet Sauvignon </t>
  </si>
  <si>
    <t>Pride Mountain Vineyards</t>
  </si>
  <si>
    <t>Vintners Select Merlot</t>
  </si>
  <si>
    <t>Spring Mountain</t>
  </si>
  <si>
    <t xml:space="preserve">Cabernet-Franc </t>
  </si>
  <si>
    <t xml:space="preserve">Mastroberardino </t>
  </si>
  <si>
    <t xml:space="preserve">"Radici" Taurasi </t>
  </si>
  <si>
    <t>Aglianico</t>
  </si>
  <si>
    <t>Campania</t>
  </si>
  <si>
    <t xml:space="preserve">Irpinia </t>
  </si>
  <si>
    <t>Saison Winery</t>
  </si>
  <si>
    <t>Hearth Blend</t>
  </si>
  <si>
    <t>Di Costanzo</t>
  </si>
  <si>
    <t>Di Co Cabernet</t>
  </si>
  <si>
    <t>Snowden Winery</t>
  </si>
  <si>
    <t>Melchior Kemper</t>
  </si>
  <si>
    <t>Basement</t>
  </si>
  <si>
    <t>Old World</t>
  </si>
  <si>
    <t xml:space="preserve">Basement Fridge 3 </t>
  </si>
  <si>
    <t xml:space="preserve">Basement Fridge 4 </t>
  </si>
  <si>
    <t>Pinot Noir/White</t>
  </si>
  <si>
    <t xml:space="preserve">Dylan's Basement </t>
  </si>
  <si>
    <t>Office Fridge 1 - Stainless Steel</t>
  </si>
  <si>
    <t>Office Fridge 2 - Black</t>
  </si>
  <si>
    <t>Storage</t>
  </si>
  <si>
    <t xml:space="preserve"> </t>
  </si>
  <si>
    <t>Fridge</t>
  </si>
  <si>
    <t>Box #</t>
  </si>
  <si>
    <t>Notes</t>
  </si>
  <si>
    <t xml:space="preserve">Ancient Hill </t>
  </si>
  <si>
    <t>Lazarus</t>
  </si>
  <si>
    <t>Lemberger</t>
  </si>
  <si>
    <t>BC</t>
  </si>
  <si>
    <t>Okanagan Valley</t>
  </si>
  <si>
    <t>Dessert</t>
  </si>
  <si>
    <t>Port</t>
  </si>
  <si>
    <t xml:space="preserve">Segredo </t>
  </si>
  <si>
    <t xml:space="preserve">Petite Sirah </t>
  </si>
  <si>
    <t xml:space="preserve">Estate Zinfandel </t>
  </si>
  <si>
    <t>Ravens Wood</t>
  </si>
  <si>
    <t xml:space="preserve">Dry Creek Valley </t>
  </si>
  <si>
    <t xml:space="preserve">Teldeschi </t>
  </si>
  <si>
    <t>2 in #12</t>
  </si>
  <si>
    <t>White</t>
  </si>
  <si>
    <t xml:space="preserve">Vina Robles </t>
  </si>
  <si>
    <t>Sauvignon Blanc</t>
  </si>
  <si>
    <t>SIMI Winery</t>
  </si>
  <si>
    <t>Reserve Chardonnay</t>
  </si>
  <si>
    <t>Chardonnay</t>
  </si>
  <si>
    <t>Late Harvest Zinfandel</t>
  </si>
  <si>
    <t>Imagine Wines</t>
  </si>
  <si>
    <t xml:space="preserve">Paradise Mountain Syrah  </t>
  </si>
  <si>
    <t>Santa Ynez Valley</t>
  </si>
  <si>
    <t>Chateau La Prade</t>
  </si>
  <si>
    <t>Cotes de Francs</t>
  </si>
  <si>
    <t xml:space="preserve">85% Merlot </t>
  </si>
  <si>
    <t>Château de Cayx</t>
  </si>
  <si>
    <t>Cahors</t>
  </si>
  <si>
    <t xml:space="preserve">Chateau Dauzac </t>
  </si>
  <si>
    <t>Labastide Dauzac Margeaux</t>
  </si>
  <si>
    <t>Ukiah Valley</t>
  </si>
  <si>
    <t xml:space="preserve">Geyserville Zinfandel </t>
  </si>
  <si>
    <t>Zinfandel Blend</t>
  </si>
  <si>
    <t>68% Zinfandel, 20% Carignane, 10% Petite Sirah, 2% Alicante Bouschet</t>
  </si>
  <si>
    <t>Chaurcer's</t>
  </si>
  <si>
    <t>Mead</t>
  </si>
  <si>
    <t>Honey Mead</t>
  </si>
  <si>
    <t>Late Harvest Gewurztraminer</t>
  </si>
  <si>
    <t>Gewurztraminer</t>
  </si>
  <si>
    <t xml:space="preserve">Anderson Valley </t>
  </si>
  <si>
    <t xml:space="preserve">Moscato D' Oro </t>
  </si>
  <si>
    <t xml:space="preserve">Moscato </t>
  </si>
  <si>
    <t>1 in #12</t>
  </si>
  <si>
    <t xml:space="preserve">Vermentino </t>
  </si>
  <si>
    <t xml:space="preserve">Huerhuero </t>
  </si>
  <si>
    <t>1 in Office</t>
  </si>
  <si>
    <t>2 in #11</t>
  </si>
  <si>
    <t xml:space="preserve">Wild Horse Winery </t>
  </si>
  <si>
    <t>Reserve Mourvedre</t>
  </si>
  <si>
    <t>Mourvedre</t>
  </si>
  <si>
    <t>Oublié</t>
  </si>
  <si>
    <t>Escondalosa</t>
  </si>
  <si>
    <t>40% Paper Street Zinfandel, 40% Mourvèdre, 20% Petite Sirah</t>
  </si>
  <si>
    <t>Sequioa Grove</t>
  </si>
  <si>
    <t>Monitor Ledge Cabernet</t>
  </si>
  <si>
    <t>22, 2</t>
  </si>
  <si>
    <t>1 in #22, 2 in #6, 1 in cellar fridge</t>
  </si>
  <si>
    <t>66% Merlot, 31% Cabernet Sauvignon, 2% Malbec, 1% Petite Verdot</t>
  </si>
  <si>
    <t>65% Petit Verdot, 35% Tannat</t>
  </si>
  <si>
    <t>Estate, Boulder Creek</t>
  </si>
  <si>
    <t>19, 17</t>
  </si>
  <si>
    <t xml:space="preserve">VGS Chateau Potelle </t>
  </si>
  <si>
    <t xml:space="preserve">Zinfandel </t>
  </si>
  <si>
    <t xml:space="preserve">Moon Mountain </t>
  </si>
  <si>
    <t xml:space="preserve">Alta Vista </t>
  </si>
  <si>
    <t>Prisoner Wine Company</t>
  </si>
  <si>
    <t>The Prisoner</t>
  </si>
  <si>
    <t>Mount Veeder Winery</t>
  </si>
  <si>
    <t>Domaine Anderson</t>
  </si>
  <si>
    <t xml:space="preserve">Acaibo </t>
  </si>
  <si>
    <t>2 in Office</t>
  </si>
  <si>
    <t>Los Amigos Ranch</t>
  </si>
  <si>
    <t>49% Grenache, 28% Tempranillo, 23% Syrah</t>
  </si>
  <si>
    <t>Spiral Cellars</t>
  </si>
  <si>
    <t>Spring Mountain, Calistoga</t>
  </si>
  <si>
    <t>2 in #13</t>
  </si>
  <si>
    <t>l</t>
  </si>
  <si>
    <t xml:space="preserve">Liberty School </t>
  </si>
  <si>
    <t xml:space="preserve">Fantasia </t>
  </si>
  <si>
    <t>Sangiovese/Cabernet</t>
  </si>
  <si>
    <t>Jaxon Keys</t>
  </si>
  <si>
    <t xml:space="preserve">Estate Grenache </t>
  </si>
  <si>
    <t>Grenache</t>
  </si>
  <si>
    <t xml:space="preserve">Ravazzi  </t>
  </si>
  <si>
    <t>Mt. George Malbec</t>
  </si>
  <si>
    <t>Coombsbille</t>
  </si>
  <si>
    <t xml:space="preserve">Mt. George </t>
  </si>
  <si>
    <t>Drink by 2025</t>
  </si>
  <si>
    <t xml:space="preserve">Runway Reserve Malbec </t>
  </si>
  <si>
    <t>Malbec, Cabernet</t>
  </si>
  <si>
    <t>Tom Gore</t>
  </si>
  <si>
    <t>Domaine Couly Dutheil</t>
  </si>
  <si>
    <t>Baronnie Madeleine Chinon</t>
  </si>
  <si>
    <t xml:space="preserve">St Helena </t>
  </si>
  <si>
    <t>Freestone Pinot Noir</t>
  </si>
  <si>
    <t>Sonoma Coast</t>
  </si>
  <si>
    <t>Alias</t>
  </si>
  <si>
    <t>Cabernet</t>
  </si>
  <si>
    <t>Stag's Leap Wine Cellars</t>
  </si>
  <si>
    <t>Karia Chardonnay</t>
  </si>
  <si>
    <t>Rose</t>
  </si>
  <si>
    <t>Duke's Merlot (30th Anniversary)</t>
  </si>
  <si>
    <t xml:space="preserve">Odeon </t>
  </si>
  <si>
    <t>Cabernet Sauvignon/Syrah</t>
  </si>
  <si>
    <t>Estate Vineyards</t>
  </si>
  <si>
    <t>Coastview Vineyard</t>
  </si>
  <si>
    <t>Larkmead</t>
  </si>
  <si>
    <t>Calistoga</t>
  </si>
  <si>
    <t>Old Corral Syrah</t>
  </si>
  <si>
    <t>Purchase</t>
  </si>
  <si>
    <t>Retail</t>
  </si>
  <si>
    <t>Off</t>
  </si>
  <si>
    <t xml:space="preserve">2022 Ridge Estate Chardonnay </t>
  </si>
  <si>
    <t>Monte Bello Vinyeyard, Santa Cruz Mountains</t>
  </si>
  <si>
    <t xml:space="preserve">2022 Ernest Sonoma Coast Chardonnay </t>
  </si>
  <si>
    <t>Freestone-Occidental Vineyard, Sonoma Coast</t>
  </si>
  <si>
    <t xml:space="preserve">2022 Pride Mountain Napa-Sonoma Counties Chardonnay </t>
  </si>
  <si>
    <t>2022 Beringer "Private Reserve" Napa Valley Chardonnay</t>
  </si>
  <si>
    <t>Napa Valley (Oakville/Oak Knoll)</t>
  </si>
  <si>
    <t>2022 Brewer Clifton Estate</t>
  </si>
  <si>
    <t>Santa Rita Hills</t>
  </si>
  <si>
    <t>Chablis</t>
  </si>
  <si>
    <t>2023 Massican "Hyde Vineyard" Napa Valley Chardonnay</t>
  </si>
  <si>
    <t>Hyde Vineyard, Carneros</t>
  </si>
  <si>
    <t>2020 Eric Kent "Barrel Climber" Sonoma Coast Chardonnay (Previously $50)</t>
  </si>
  <si>
    <t xml:space="preserve">Sangiacomo Green Acres, Sonoma </t>
  </si>
  <si>
    <t>2019 Calera "Bien Nacido Vineyard" Santa Maria Valley Chardonnay (Previously $40)</t>
  </si>
  <si>
    <t>Bien Nacido Vineyard, Santa Maria Valley</t>
  </si>
  <si>
    <t>Appellation</t>
  </si>
  <si>
    <t>mL</t>
  </si>
  <si>
    <t>MV(2016)</t>
  </si>
  <si>
    <t>Region</t>
  </si>
  <si>
    <t>Link</t>
  </si>
  <si>
    <t>Ridge Estates</t>
  </si>
  <si>
    <t>Monte Bello Vineyard</t>
  </si>
  <si>
    <t>Joseph Phelps Vineyards Freestone Pinot Noir</t>
  </si>
  <si>
    <t>Good</t>
  </si>
  <si>
    <t>2 cm</t>
  </si>
  <si>
    <t>small scuff on bottom right of front label</t>
  </si>
  <si>
    <t>perfect</t>
  </si>
  <si>
    <t>temp controlled wine fridge in basement</t>
  </si>
  <si>
    <t>Purchased at winery, never shipped</t>
  </si>
  <si>
    <t>https://josephphelps.com/wines/2019-pinot-noir-freestone-vineyard-magnum/</t>
  </si>
  <si>
    <t>https://tablascreek.com/wines/2017_en_gobelet_</t>
  </si>
  <si>
    <t>horizantal</t>
  </si>
  <si>
    <t>https://tablascreek.com/wines/2017_esprit_de_tablas_</t>
  </si>
  <si>
    <t>Cabnernet Blend</t>
  </si>
  <si>
    <t>cellar fridge 2</t>
  </si>
  <si>
    <t>https://silveradovineyards.com/shop/item/2015-cabernet-sauvignon-oakville-station</t>
  </si>
  <si>
    <t>https://www.duckhornwineshop.com/product/2015-duckhorn-vineyards-the-discussion-napa-valley-red-wine</t>
  </si>
  <si>
    <t>Joseph Phelps</t>
  </si>
  <si>
    <t>Ramey</t>
  </si>
  <si>
    <t>82% Cabernet Sauvignon, 8% Merlot, 6% Petit Verdot, 2% Malbec, 2% Cab Franc</t>
  </si>
  <si>
    <t>basement</t>
  </si>
  <si>
    <t>75% Cabernet Franc, 15% Cabernet Sauvignon, 6% Malbec, 4% Petit Verdot</t>
  </si>
  <si>
    <t>1.5L Bottles =</t>
  </si>
  <si>
    <t>Brand</t>
  </si>
  <si>
    <t>Series</t>
  </si>
  <si>
    <t>Style</t>
  </si>
  <si>
    <t>Model #</t>
  </si>
  <si>
    <t>Riedel</t>
  </si>
  <si>
    <t>Decanter</t>
  </si>
  <si>
    <t>Cabernet Magnum</t>
  </si>
  <si>
    <t>1440/26</t>
  </si>
  <si>
    <t>keep</t>
  </si>
  <si>
    <t>1480/13</t>
  </si>
  <si>
    <t>Ouverture</t>
  </si>
  <si>
    <t>Spirit</t>
  </si>
  <si>
    <t>6408/19</t>
  </si>
  <si>
    <t>Sell 2</t>
  </si>
  <si>
    <t>Sell 4</t>
  </si>
  <si>
    <t>O</t>
  </si>
  <si>
    <t>Stemless</t>
  </si>
  <si>
    <t>Veritas</t>
  </si>
  <si>
    <t xml:space="preserve">Champagne </t>
  </si>
  <si>
    <t>6449/28</t>
  </si>
  <si>
    <t>Buy 2</t>
  </si>
  <si>
    <t>Extreme</t>
  </si>
  <si>
    <t>Oaked Chardonnay</t>
  </si>
  <si>
    <t>4441/97</t>
  </si>
  <si>
    <t>Sell 6</t>
  </si>
  <si>
    <t xml:space="preserve">Rosé </t>
  </si>
  <si>
    <t>4441/55</t>
  </si>
  <si>
    <t>buy 4</t>
  </si>
  <si>
    <t>Vinum</t>
  </si>
  <si>
    <t>Chardonnay/Viognier</t>
  </si>
  <si>
    <t>7416/05</t>
  </si>
  <si>
    <t>NEW</t>
  </si>
  <si>
    <t>Gift for Ari and Laura</t>
  </si>
  <si>
    <t>Restaurant</t>
  </si>
  <si>
    <t>VIOGNIER/CHARDONNAY</t>
  </si>
  <si>
    <t>0446/05</t>
  </si>
  <si>
    <t>6408/48</t>
  </si>
  <si>
    <t>Heart to Heart</t>
  </si>
  <si>
    <t>6409/0</t>
  </si>
  <si>
    <t>6408/05</t>
  </si>
  <si>
    <t>Pinot Noir/Nebbiolo</t>
  </si>
  <si>
    <t>446/07</t>
  </si>
  <si>
    <t>Magnum Red</t>
  </si>
  <si>
    <t>6408/90</t>
  </si>
  <si>
    <t>Water</t>
  </si>
  <si>
    <t>0446/02</t>
  </si>
  <si>
    <t>Degustazione</t>
  </si>
  <si>
    <t>0489/0</t>
  </si>
  <si>
    <t>Missing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</si>
</sst>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0.0%"/>
  </numFmts>
  <fonts count="2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venir"/>
    </font>
    <font>
      <sz val="10.0"/>
      <color theme="1"/>
      <name val="Avenir"/>
    </font>
    <font>
      <sz val="10.0"/>
      <color rgb="FF1B2120"/>
      <name val="Avenir"/>
    </font>
    <font>
      <sz val="10.0"/>
      <color rgb="FF000000"/>
      <name val="Avenir"/>
    </font>
    <font>
      <b/>
      <color rgb="FF000000"/>
      <name val="Docs-Avenir"/>
    </font>
    <font>
      <b/>
      <color rgb="FF000000"/>
      <name val="Avenir"/>
    </font>
    <font>
      <color theme="1"/>
      <name val="Avenir"/>
    </font>
    <font>
      <color rgb="FF000000"/>
      <name val="Arial"/>
    </font>
    <font>
      <sz val="12.0"/>
      <color rgb="FF000000"/>
      <name val="Calibri"/>
    </font>
    <font>
      <u/>
      <sz val="11.0"/>
      <color rgb="FF0000FF"/>
      <name val="Calibri"/>
    </font>
    <font>
      <u/>
      <sz val="10.0"/>
      <color theme="1"/>
      <name val="Avenir"/>
    </font>
    <font>
      <u/>
      <sz val="12.0"/>
      <color rgb="FF000000"/>
      <name val="Calibri"/>
    </font>
    <font>
      <u/>
      <color rgb="FF0000FF"/>
    </font>
    <font>
      <b/>
      <color theme="1"/>
      <name val="Arial"/>
    </font>
    <font>
      <color theme="1"/>
      <name val="Arial"/>
    </font>
    <font>
      <b/>
      <color theme="1"/>
      <name val="Avenir"/>
    </font>
    <font>
      <b/>
      <sz val="12.0"/>
      <color theme="1"/>
      <name val="Avenir"/>
    </font>
    <font>
      <sz val="12.0"/>
      <color theme="1"/>
      <name val="Avenir"/>
    </font>
    <font>
      <b/>
      <sz val="12.0"/>
      <color rgb="FF000000"/>
      <name val="Avenir"/>
    </font>
    <font>
      <b/>
      <sz val="11.0"/>
      <color rgb="FF000000"/>
      <name val="Avenir"/>
    </font>
    <font>
      <b/>
      <sz val="10.0"/>
      <color rgb="FF000000"/>
      <name val="Aveni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shrinkToFit="0" wrapText="0"/>
    </xf>
    <xf borderId="0" fillId="0" fontId="3" numFmtId="164" xfId="0" applyAlignment="1" applyFont="1" applyNumberFormat="1">
      <alignment horizontal="left" shrinkToFit="0" wrapText="0"/>
    </xf>
    <xf borderId="0" fillId="0" fontId="3" numFmtId="0" xfId="0" applyAlignment="1" applyFont="1">
      <alignment horizontal="left" shrinkToFit="0" wrapText="0"/>
    </xf>
    <xf borderId="0" fillId="0" fontId="3" numFmtId="1" xfId="0" applyAlignment="1" applyFont="1" applyNumberFormat="1">
      <alignment horizontal="left" shrinkToFit="0" wrapText="0"/>
    </xf>
    <xf borderId="0" fillId="0" fontId="4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shrinkToFit="0" wrapText="0"/>
    </xf>
    <xf borderId="0" fillId="0" fontId="4" numFmtId="164" xfId="0" applyAlignment="1" applyFont="1" applyNumberFormat="1">
      <alignment horizontal="left" readingOrder="0" shrinkToFit="0" wrapText="0"/>
    </xf>
    <xf borderId="0" fillId="0" fontId="4" numFmtId="1" xfId="0" applyAlignment="1" applyFont="1" applyNumberFormat="1">
      <alignment horizontal="left" shrinkToFit="0" wrapText="0"/>
    </xf>
    <xf borderId="0" fillId="0" fontId="4" numFmtId="0" xfId="0" applyAlignment="1" applyFont="1">
      <alignment horizontal="left" shrinkToFit="0" wrapText="0"/>
    </xf>
    <xf borderId="1" fillId="0" fontId="4" numFmtId="0" xfId="0" applyAlignment="1" applyBorder="1" applyFont="1">
      <alignment horizontal="left" readingOrder="0" shrinkToFit="0" wrapText="0"/>
    </xf>
    <xf borderId="1" fillId="0" fontId="4" numFmtId="1" xfId="0" applyAlignment="1" applyBorder="1" applyFont="1" applyNumberFormat="1">
      <alignment horizontal="left" shrinkToFit="0" wrapText="0"/>
    </xf>
    <xf borderId="0" fillId="0" fontId="4" numFmtId="164" xfId="0" applyAlignment="1" applyFont="1" applyNumberFormat="1">
      <alignment horizontal="left" shrinkToFit="0" wrapText="0"/>
    </xf>
    <xf borderId="0" fillId="0" fontId="4" numFmtId="0" xfId="0" applyAlignment="1" applyFont="1">
      <alignment horizontal="right" shrinkToFit="0" wrapText="0"/>
    </xf>
    <xf quotePrefix="1" borderId="0" fillId="0" fontId="4" numFmtId="0" xfId="0" applyAlignment="1" applyFont="1">
      <alignment horizontal="left" readingOrder="0" shrinkToFit="0" wrapText="0"/>
    </xf>
    <xf borderId="0" fillId="2" fontId="5" numFmtId="0" xfId="0" applyAlignment="1" applyFill="1" applyFont="1">
      <alignment horizontal="left" readingOrder="0" shrinkToFit="0" wrapText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1" xfId="0" applyFont="1" applyNumberFormat="1"/>
    <xf borderId="1" fillId="0" fontId="4" numFmtId="0" xfId="0" applyAlignment="1" applyBorder="1" applyFont="1">
      <alignment horizontal="right" readingOrder="0" shrinkToFit="0" wrapText="0"/>
    </xf>
    <xf borderId="0" fillId="2" fontId="6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0" fontId="3" numFmtId="0" xfId="0" applyAlignment="1" applyFont="1">
      <alignment horizontal="right" shrinkToFit="0" wrapText="0"/>
    </xf>
    <xf borderId="1" fillId="0" fontId="3" numFmtId="164" xfId="0" applyAlignment="1" applyBorder="1" applyFont="1" applyNumberFormat="1">
      <alignment horizontal="left" shrinkToFit="0" wrapText="0"/>
    </xf>
    <xf borderId="1" fillId="0" fontId="3" numFmtId="3" xfId="0" applyAlignment="1" applyBorder="1" applyFont="1" applyNumberFormat="1">
      <alignment horizontal="left" shrinkToFit="0" wrapText="0"/>
    </xf>
    <xf borderId="0" fillId="0" fontId="4" numFmtId="0" xfId="0" applyAlignment="1" applyFont="1">
      <alignment horizontal="right" readingOrder="0" shrinkToFit="0" wrapText="0"/>
    </xf>
    <xf borderId="0" fillId="0" fontId="9" numFmtId="164" xfId="0" applyAlignment="1" applyFont="1" applyNumberFormat="1">
      <alignment horizontal="left" readingOrder="0"/>
    </xf>
    <xf borderId="0" fillId="0" fontId="9" numFmtId="0" xfId="0" applyAlignment="1" applyFont="1">
      <alignment readingOrder="0"/>
    </xf>
    <xf borderId="0" fillId="0" fontId="3" numFmtId="0" xfId="0" applyFont="1"/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0" fillId="0" fontId="10" numFmtId="0" xfId="0" applyAlignment="1" applyFont="1">
      <alignment horizontal="left"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11" numFmtId="0" xfId="0" applyAlignment="1" applyFont="1">
      <alignment horizontal="left" readingOrder="0" shrinkToFit="0" vertical="top" wrapText="0"/>
    </xf>
    <xf borderId="0" fillId="0" fontId="11" numFmtId="0" xfId="0" applyAlignment="1" applyFont="1">
      <alignment horizontal="center" readingOrder="0" shrinkToFit="0" vertical="top" wrapText="0"/>
    </xf>
    <xf borderId="0" fillId="0" fontId="11" numFmtId="164" xfId="0" applyAlignment="1" applyFont="1" applyNumberFormat="1">
      <alignment horizontal="left" readingOrder="0" shrinkToFit="0" vertical="top" wrapText="0"/>
    </xf>
    <xf borderId="0" fillId="0" fontId="11" numFmtId="0" xfId="0" applyAlignment="1" applyFont="1">
      <alignment horizontal="left" shrinkToFit="0" vertical="top" wrapText="0"/>
    </xf>
    <xf borderId="0" fillId="0" fontId="12" numFmtId="0" xfId="0" applyAlignment="1" applyFont="1">
      <alignment horizontal="left" readingOrder="0" shrinkToFit="0" vertical="top" wrapText="0"/>
    </xf>
    <xf borderId="0" fillId="0" fontId="13" numFmtId="0" xfId="0" applyAlignment="1" applyFont="1">
      <alignment horizontal="left" readingOrder="0" shrinkToFit="0" wrapText="0"/>
    </xf>
    <xf borderId="0" fillId="0" fontId="14" numFmtId="0" xfId="0" applyAlignment="1" applyFont="1">
      <alignment horizontal="left" readingOrder="0" shrinkToFit="0" vertical="top" wrapText="0"/>
    </xf>
    <xf borderId="0" fillId="0" fontId="4" numFmtId="165" xfId="0" applyAlignment="1" applyFont="1" applyNumberFormat="1">
      <alignment horizontal="left" shrinkToFit="0" wrapText="0"/>
    </xf>
    <xf borderId="0" fillId="0" fontId="15" numFmtId="0" xfId="0" applyAlignment="1" applyFont="1">
      <alignment readingOrder="0"/>
    </xf>
    <xf borderId="0" fillId="0" fontId="11" numFmtId="164" xfId="0" applyAlignment="1" applyFont="1" applyNumberFormat="1">
      <alignment horizontal="left" shrinkToFit="0" vertical="top" wrapText="0"/>
    </xf>
    <xf borderId="0" fillId="0" fontId="11" numFmtId="0" xfId="0" applyAlignment="1" applyFont="1">
      <alignment horizontal="left" shrinkToFit="0" vertical="top" wrapText="0"/>
    </xf>
    <xf borderId="0" fillId="0" fontId="4" numFmtId="165" xfId="0" applyAlignment="1" applyFont="1" applyNumberFormat="1">
      <alignment horizontal="left" readingOrder="0" shrinkToFit="0" wrapText="0"/>
    </xf>
    <xf borderId="0" fillId="0" fontId="11" numFmtId="0" xfId="0" applyAlignment="1" applyFont="1">
      <alignment horizontal="center" shrinkToFit="0" vertical="top" wrapText="0"/>
    </xf>
    <xf borderId="1" fillId="0" fontId="3" numFmtId="1" xfId="0" applyAlignment="1" applyBorder="1" applyFont="1" applyNumberFormat="1">
      <alignment horizontal="left" shrinkToFit="0" wrapText="0"/>
    </xf>
    <xf borderId="0" fillId="0" fontId="16" numFmtId="0" xfId="0" applyAlignment="1" applyFont="1">
      <alignment horizontal="left" vertical="bottom"/>
    </xf>
    <xf borderId="0" fillId="0" fontId="16" numFmtId="49" xfId="0" applyAlignment="1" applyFont="1" applyNumberFormat="1">
      <alignment horizontal="left" vertical="bottom"/>
    </xf>
    <xf borderId="0" fillId="0" fontId="17" numFmtId="0" xfId="0" applyAlignment="1" applyFont="1">
      <alignment horizontal="left" vertical="bottom"/>
    </xf>
    <xf borderId="0" fillId="0" fontId="2" numFmtId="0" xfId="0" applyAlignment="1" applyFont="1">
      <alignment horizontal="left"/>
    </xf>
    <xf borderId="0" fillId="2" fontId="10" numFmtId="0" xfId="0" applyAlignment="1" applyFont="1">
      <alignment horizontal="left" vertical="bottom"/>
    </xf>
    <xf borderId="0" fillId="0" fontId="17" numFmtId="49" xfId="0" applyAlignment="1" applyFont="1" applyNumberFormat="1">
      <alignment horizontal="left" vertical="bottom"/>
    </xf>
    <xf borderId="0" fillId="0" fontId="17" numFmtId="0" xfId="0" applyAlignment="1" applyFont="1">
      <alignment horizontal="left" readingOrder="0" vertical="bottom"/>
    </xf>
    <xf borderId="0" fillId="3" fontId="10" numFmtId="0" xfId="0" applyAlignment="1" applyFill="1" applyFont="1">
      <alignment horizontal="left" vertical="bottom"/>
    </xf>
    <xf borderId="0" fillId="3" fontId="17" numFmtId="0" xfId="0" applyAlignment="1" applyFont="1">
      <alignment horizontal="left" vertical="bottom"/>
    </xf>
    <xf borderId="0" fillId="3" fontId="17" numFmtId="0" xfId="0" applyAlignment="1" applyFont="1">
      <alignment horizontal="left" readingOrder="0" vertical="bottom"/>
    </xf>
    <xf borderId="0" fillId="3" fontId="10" numFmtId="49" xfId="0" applyAlignment="1" applyFont="1" applyNumberFormat="1">
      <alignment horizontal="left" vertical="bottom"/>
    </xf>
    <xf borderId="0" fillId="3" fontId="2" numFmtId="0" xfId="0" applyAlignment="1" applyFont="1">
      <alignment horizontal="left" readingOrder="0"/>
    </xf>
    <xf borderId="0" fillId="3" fontId="2" numFmtId="49" xfId="0" applyAlignment="1" applyFont="1" applyNumberFormat="1">
      <alignment horizontal="left"/>
    </xf>
    <xf borderId="0" fillId="0" fontId="2" numFmtId="0" xfId="0" applyAlignment="1" applyFont="1">
      <alignment horizontal="left" readingOrder="0"/>
    </xf>
    <xf borderId="0" fillId="0" fontId="2" numFmtId="49" xfId="0" applyAlignment="1" applyFont="1" applyNumberFormat="1">
      <alignment horizontal="left"/>
    </xf>
    <xf borderId="0" fillId="3" fontId="17" numFmtId="49" xfId="0" applyAlignment="1" applyFont="1" applyNumberFormat="1">
      <alignment horizontal="left" vertical="bottom"/>
    </xf>
    <xf borderId="0" fillId="0" fontId="17" numFmtId="49" xfId="0" applyAlignment="1" applyFont="1" applyNumberFormat="1">
      <alignment horizontal="left" readingOrder="0" vertical="bottom"/>
    </xf>
    <xf borderId="0" fillId="2" fontId="10" numFmtId="49" xfId="0" applyAlignment="1" applyFont="1" applyNumberFormat="1">
      <alignment horizontal="left" vertical="bottom"/>
    </xf>
    <xf borderId="0" fillId="0" fontId="2" numFmtId="49" xfId="0" applyAlignment="1" applyFont="1" applyNumberFormat="1">
      <alignment horizontal="left" readingOrder="0"/>
    </xf>
    <xf borderId="0" fillId="0" fontId="4" numFmtId="164" xfId="0" applyFont="1" applyNumberFormat="1"/>
    <xf borderId="0" fillId="0" fontId="18" numFmtId="0" xfId="0" applyFont="1"/>
    <xf borderId="0" fillId="0" fontId="9" numFmtId="0" xfId="0" applyFont="1"/>
    <xf borderId="0" fillId="0" fontId="9" numFmtId="164" xfId="0" applyFont="1" applyNumberFormat="1"/>
    <xf borderId="0" fillId="0" fontId="3" numFmtId="0" xfId="0" applyAlignment="1" applyFont="1">
      <alignment horizontal="center"/>
    </xf>
    <xf borderId="0" fillId="0" fontId="3" numFmtId="164" xfId="0" applyFont="1" applyNumberFormat="1"/>
    <xf borderId="0" fillId="0" fontId="3" numFmtId="165" xfId="0" applyFont="1" applyNumberFormat="1"/>
    <xf borderId="0" fillId="0" fontId="4" numFmtId="0" xfId="0" applyAlignment="1" applyFont="1">
      <alignment horizontal="center"/>
    </xf>
    <xf borderId="0" fillId="0" fontId="19" numFmtId="0" xfId="0" applyFont="1"/>
    <xf borderId="0" fillId="0" fontId="19" numFmtId="0" xfId="0" applyAlignment="1" applyFont="1">
      <alignment horizontal="center"/>
    </xf>
    <xf borderId="0" fillId="0" fontId="20" numFmtId="0" xfId="0" applyFont="1"/>
    <xf borderId="0" fillId="0" fontId="20" numFmtId="0" xfId="0" applyAlignment="1" applyFont="1">
      <alignment horizontal="center"/>
    </xf>
    <xf borderId="0" fillId="2" fontId="21" numFmtId="0" xfId="0" applyFont="1"/>
    <xf borderId="0" fillId="2" fontId="22" numFmtId="0" xfId="0" applyFont="1"/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2" fontId="23" numFmtId="0" xfId="0" applyFont="1"/>
    <xf borderId="0" fillId="0" fontId="20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josephphelps.com/wines/2019-pinot-noir-freestone-vineyard-magnum/" TargetMode="External"/><Relationship Id="rId2" Type="http://schemas.openxmlformats.org/officeDocument/2006/relationships/hyperlink" Target="https://tablascreek.com/wines/2017_en_gobelet_" TargetMode="External"/><Relationship Id="rId3" Type="http://schemas.openxmlformats.org/officeDocument/2006/relationships/hyperlink" Target="https://tablascreek.com/wines/2017_esprit_de_tablas_" TargetMode="External"/><Relationship Id="rId4" Type="http://schemas.openxmlformats.org/officeDocument/2006/relationships/hyperlink" Target="https://silveradovineyards.com/shop/item/2015-cabernet-sauvignon-oakville-station" TargetMode="External"/><Relationship Id="rId5" Type="http://schemas.openxmlformats.org/officeDocument/2006/relationships/hyperlink" Target="https://www.duckhornwineshop.com/product/2015-duckhorn-vineyards-the-discussion-napa-valley-red-wine" TargetMode="External"/><Relationship Id="rId6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5" max="5" width="25.63"/>
    <col customWidth="1" min="6" max="6" width="3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3" t="s">
        <v>7</v>
      </c>
      <c r="B2" s="3"/>
      <c r="C2" s="3">
        <v>1.0</v>
      </c>
      <c r="D2" s="3">
        <v>2017.0</v>
      </c>
      <c r="E2" s="3" t="s">
        <v>8</v>
      </c>
      <c r="F2" s="3" t="s">
        <v>9</v>
      </c>
      <c r="G2" s="3">
        <v>1500.0</v>
      </c>
    </row>
    <row r="3">
      <c r="A3" s="3" t="s">
        <v>7</v>
      </c>
      <c r="B3" s="3"/>
      <c r="C3" s="3">
        <v>9.0</v>
      </c>
      <c r="D3" s="3">
        <v>2018.0</v>
      </c>
      <c r="E3" s="3" t="s">
        <v>10</v>
      </c>
      <c r="F3" s="3" t="s">
        <v>11</v>
      </c>
      <c r="G3" s="3">
        <v>750.0</v>
      </c>
    </row>
    <row r="4">
      <c r="A4" s="3" t="s">
        <v>7</v>
      </c>
      <c r="B4" s="3"/>
      <c r="C4" s="3">
        <v>1.0</v>
      </c>
      <c r="D4" s="3">
        <v>2021.0</v>
      </c>
      <c r="E4" s="3" t="s">
        <v>10</v>
      </c>
      <c r="F4" s="3" t="s">
        <v>11</v>
      </c>
      <c r="G4" s="3">
        <v>750.0</v>
      </c>
    </row>
    <row r="5">
      <c r="A5" s="3" t="s">
        <v>7</v>
      </c>
      <c r="B5" s="3"/>
      <c r="C5" s="3">
        <v>1.0</v>
      </c>
      <c r="D5" s="3">
        <v>2021.0</v>
      </c>
      <c r="E5" s="3" t="s">
        <v>12</v>
      </c>
      <c r="F5" s="3" t="s">
        <v>13</v>
      </c>
      <c r="G5" s="3">
        <v>750.0</v>
      </c>
    </row>
    <row r="6">
      <c r="A6" s="3" t="s">
        <v>7</v>
      </c>
      <c r="B6" s="3"/>
      <c r="C6" s="3">
        <v>1.0</v>
      </c>
      <c r="D6" s="3">
        <v>2021.0</v>
      </c>
      <c r="E6" s="3" t="s">
        <v>14</v>
      </c>
      <c r="F6" s="3" t="s">
        <v>15</v>
      </c>
      <c r="G6" s="3">
        <v>750.0</v>
      </c>
    </row>
    <row r="7">
      <c r="A7" s="3" t="s">
        <v>7</v>
      </c>
      <c r="B7" s="3"/>
      <c r="C7" s="3">
        <v>1.0</v>
      </c>
      <c r="D7" s="3">
        <v>2020.0</v>
      </c>
      <c r="E7" s="3" t="s">
        <v>16</v>
      </c>
      <c r="F7" s="3" t="s">
        <v>17</v>
      </c>
      <c r="G7" s="3">
        <v>750.0</v>
      </c>
    </row>
    <row r="8">
      <c r="A8" s="3" t="s">
        <v>7</v>
      </c>
      <c r="B8" s="3"/>
      <c r="C8" s="3">
        <v>1.0</v>
      </c>
      <c r="D8" s="3">
        <v>2020.0</v>
      </c>
      <c r="E8" s="3" t="s">
        <v>16</v>
      </c>
      <c r="F8" s="3" t="s">
        <v>18</v>
      </c>
      <c r="G8" s="3">
        <v>750.0</v>
      </c>
    </row>
    <row r="9">
      <c r="A9" s="3" t="s">
        <v>7</v>
      </c>
      <c r="B9" s="3"/>
      <c r="C9" s="3">
        <v>1.0</v>
      </c>
      <c r="D9" s="3">
        <v>2020.0</v>
      </c>
      <c r="E9" s="3" t="s">
        <v>19</v>
      </c>
      <c r="F9" s="3" t="s">
        <v>20</v>
      </c>
      <c r="G9" s="3">
        <v>750.0</v>
      </c>
    </row>
    <row r="10">
      <c r="A10" s="3" t="s">
        <v>7</v>
      </c>
      <c r="B10" s="3"/>
      <c r="C10" s="3">
        <v>1.0</v>
      </c>
      <c r="D10" s="3">
        <v>2022.0</v>
      </c>
      <c r="E10" s="3" t="s">
        <v>21</v>
      </c>
      <c r="F10" s="3" t="s">
        <v>22</v>
      </c>
      <c r="G10" s="3">
        <v>750.0</v>
      </c>
    </row>
    <row r="11">
      <c r="A11" s="3" t="s">
        <v>7</v>
      </c>
      <c r="B11" s="3"/>
      <c r="C11" s="3">
        <v>1.0</v>
      </c>
      <c r="D11" s="3">
        <v>2022.0</v>
      </c>
      <c r="E11" s="3" t="s">
        <v>23</v>
      </c>
      <c r="F11" s="3" t="s">
        <v>22</v>
      </c>
      <c r="G11" s="3">
        <v>750.0</v>
      </c>
    </row>
    <row r="12">
      <c r="A12" s="3" t="s">
        <v>7</v>
      </c>
      <c r="B12" s="3"/>
      <c r="C12" s="3">
        <v>1.0</v>
      </c>
      <c r="D12" s="3" t="s">
        <v>24</v>
      </c>
      <c r="E12" s="3" t="s">
        <v>25</v>
      </c>
      <c r="F12" s="3" t="s">
        <v>26</v>
      </c>
      <c r="G12" s="3">
        <v>750.0</v>
      </c>
    </row>
    <row r="13">
      <c r="A13" s="3" t="s">
        <v>7</v>
      </c>
      <c r="B13" s="3"/>
      <c r="C13" s="3">
        <v>1.0</v>
      </c>
      <c r="D13" s="3" t="s">
        <v>24</v>
      </c>
      <c r="E13" s="3" t="s">
        <v>27</v>
      </c>
      <c r="G13" s="3">
        <v>750.0</v>
      </c>
    </row>
    <row r="14">
      <c r="A14" s="3" t="s">
        <v>7</v>
      </c>
      <c r="B14" s="3"/>
      <c r="C14" s="3">
        <v>1.0</v>
      </c>
      <c r="D14" s="3">
        <v>2018.0</v>
      </c>
      <c r="E14" s="3" t="s">
        <v>28</v>
      </c>
      <c r="F14" s="3" t="s">
        <v>29</v>
      </c>
      <c r="G14" s="3">
        <v>750.0</v>
      </c>
    </row>
    <row r="15">
      <c r="A15" s="3" t="s">
        <v>7</v>
      </c>
      <c r="B15" s="3"/>
      <c r="C15" s="3">
        <v>1.0</v>
      </c>
      <c r="D15" s="3">
        <v>2019.0</v>
      </c>
      <c r="E15" s="3" t="s">
        <v>28</v>
      </c>
      <c r="F15" s="3" t="s">
        <v>30</v>
      </c>
      <c r="G15" s="3">
        <v>750.0</v>
      </c>
    </row>
    <row r="16">
      <c r="A16" s="3" t="s">
        <v>7</v>
      </c>
      <c r="B16" s="3"/>
      <c r="C16" s="3">
        <v>1.0</v>
      </c>
      <c r="D16" s="3" t="s">
        <v>24</v>
      </c>
      <c r="E16" s="3" t="s">
        <v>28</v>
      </c>
      <c r="F16" s="3" t="s">
        <v>31</v>
      </c>
      <c r="G16" s="3">
        <v>750.0</v>
      </c>
    </row>
    <row r="17">
      <c r="A17" s="3" t="s">
        <v>7</v>
      </c>
      <c r="B17" s="3"/>
      <c r="C17" s="3">
        <v>2.0</v>
      </c>
      <c r="D17" s="3">
        <v>2020.0</v>
      </c>
      <c r="E17" s="3" t="s">
        <v>32</v>
      </c>
      <c r="F17" s="3" t="s">
        <v>29</v>
      </c>
      <c r="G17" s="3">
        <v>750.0</v>
      </c>
    </row>
    <row r="18">
      <c r="A18" s="3" t="s">
        <v>7</v>
      </c>
      <c r="B18" s="3"/>
      <c r="C18" s="3">
        <v>3.0</v>
      </c>
      <c r="D18" s="3">
        <v>2018.0</v>
      </c>
      <c r="E18" s="3" t="s">
        <v>10</v>
      </c>
      <c r="F18" s="3" t="s">
        <v>33</v>
      </c>
      <c r="G18" s="3">
        <v>750.0</v>
      </c>
    </row>
    <row r="19">
      <c r="A19" s="3" t="s">
        <v>7</v>
      </c>
      <c r="B19" s="3"/>
      <c r="C19" s="3">
        <v>5.0</v>
      </c>
      <c r="D19" s="3">
        <v>2020.0</v>
      </c>
      <c r="E19" s="3" t="s">
        <v>34</v>
      </c>
      <c r="F19" s="3" t="s">
        <v>35</v>
      </c>
      <c r="G19" s="3">
        <v>750.0</v>
      </c>
    </row>
    <row r="20">
      <c r="A20" s="3" t="s">
        <v>7</v>
      </c>
      <c r="B20" s="3"/>
      <c r="C20" s="3">
        <v>2.0</v>
      </c>
      <c r="D20" s="3">
        <v>2017.0</v>
      </c>
      <c r="E20" s="3" t="s">
        <v>36</v>
      </c>
      <c r="F20" s="3" t="s">
        <v>37</v>
      </c>
      <c r="G20" s="3">
        <v>750.0</v>
      </c>
    </row>
    <row r="21">
      <c r="A21" s="3" t="s">
        <v>7</v>
      </c>
      <c r="B21" s="3"/>
      <c r="C21" s="3">
        <v>1.0</v>
      </c>
      <c r="D21" s="3">
        <v>2017.0</v>
      </c>
      <c r="E21" s="3" t="s">
        <v>38</v>
      </c>
      <c r="F21" s="3" t="s">
        <v>39</v>
      </c>
      <c r="G21" s="3">
        <v>750.0</v>
      </c>
    </row>
    <row r="22">
      <c r="A22" s="3" t="s">
        <v>7</v>
      </c>
      <c r="B22" s="3"/>
      <c r="C22" s="3">
        <v>1.0</v>
      </c>
      <c r="D22" s="3">
        <v>2020.0</v>
      </c>
      <c r="E22" s="3" t="s">
        <v>40</v>
      </c>
      <c r="F22" s="3" t="s">
        <v>41</v>
      </c>
      <c r="G22" s="3">
        <v>750.0</v>
      </c>
    </row>
    <row r="23">
      <c r="A23" s="3" t="s">
        <v>7</v>
      </c>
      <c r="B23" s="3"/>
      <c r="C23" s="3">
        <v>1.0</v>
      </c>
      <c r="D23" s="3">
        <v>2018.0</v>
      </c>
      <c r="E23" s="3" t="s">
        <v>42</v>
      </c>
      <c r="F23" s="3" t="s">
        <v>43</v>
      </c>
      <c r="G23" s="3">
        <v>750.0</v>
      </c>
    </row>
    <row r="24">
      <c r="A24" s="3" t="s">
        <v>7</v>
      </c>
      <c r="B24" s="3"/>
      <c r="C24" s="3">
        <v>1.0</v>
      </c>
      <c r="D24" s="3">
        <v>2020.0</v>
      </c>
      <c r="E24" s="3" t="s">
        <v>44</v>
      </c>
      <c r="F24" s="3" t="s">
        <v>45</v>
      </c>
      <c r="G24" s="3">
        <v>750.0</v>
      </c>
    </row>
    <row r="25">
      <c r="A25" s="3" t="s">
        <v>7</v>
      </c>
      <c r="B25" s="3"/>
      <c r="C25" s="3">
        <v>1.0</v>
      </c>
      <c r="D25" s="3">
        <v>2018.0</v>
      </c>
      <c r="E25" s="3" t="s">
        <v>46</v>
      </c>
      <c r="F25" s="3" t="s">
        <v>39</v>
      </c>
      <c r="G25" s="3">
        <v>750.0</v>
      </c>
    </row>
    <row r="26">
      <c r="A26" s="3" t="s">
        <v>7</v>
      </c>
      <c r="B26" s="3"/>
      <c r="C26" s="3">
        <v>1.0</v>
      </c>
      <c r="D26" s="3">
        <v>2019.0</v>
      </c>
      <c r="E26" s="3" t="s">
        <v>47</v>
      </c>
      <c r="F26" s="3" t="s">
        <v>48</v>
      </c>
      <c r="G26" s="3">
        <v>750.0</v>
      </c>
    </row>
    <row r="27">
      <c r="A27" s="3" t="s">
        <v>7</v>
      </c>
      <c r="B27" s="3"/>
      <c r="C27" s="3">
        <v>1.0</v>
      </c>
      <c r="D27" s="3">
        <v>2018.0</v>
      </c>
      <c r="E27" s="3" t="s">
        <v>49</v>
      </c>
      <c r="F27" s="3" t="s">
        <v>39</v>
      </c>
      <c r="G27" s="3">
        <v>750.0</v>
      </c>
    </row>
    <row r="28">
      <c r="A28" s="3" t="s">
        <v>7</v>
      </c>
      <c r="B28" s="3"/>
      <c r="C28" s="3">
        <v>1.0</v>
      </c>
      <c r="D28" s="3">
        <v>2020.0</v>
      </c>
      <c r="E28" s="3" t="s">
        <v>50</v>
      </c>
      <c r="F28" s="3" t="s">
        <v>51</v>
      </c>
      <c r="G28" s="3">
        <v>750.0</v>
      </c>
    </row>
    <row r="29">
      <c r="A29" s="3" t="s">
        <v>7</v>
      </c>
      <c r="B29" s="3"/>
      <c r="C29" s="3">
        <v>1.0</v>
      </c>
      <c r="D29" s="3">
        <v>2017.0</v>
      </c>
      <c r="E29" s="3" t="s">
        <v>52</v>
      </c>
      <c r="F29" s="3" t="s">
        <v>53</v>
      </c>
      <c r="G29" s="3">
        <v>750.0</v>
      </c>
    </row>
    <row r="30">
      <c r="A30" s="3" t="s">
        <v>7</v>
      </c>
      <c r="B30" s="3"/>
      <c r="C30" s="3">
        <v>1.0</v>
      </c>
      <c r="D30" s="3">
        <v>2018.0</v>
      </c>
      <c r="E30" s="3" t="s">
        <v>54</v>
      </c>
      <c r="F30" s="3" t="s">
        <v>55</v>
      </c>
      <c r="G30" s="3">
        <v>750.0</v>
      </c>
    </row>
    <row r="31">
      <c r="A31" s="3" t="s">
        <v>7</v>
      </c>
      <c r="B31" s="3"/>
      <c r="C31" s="3">
        <v>3.0</v>
      </c>
      <c r="D31" s="3">
        <v>2019.0</v>
      </c>
      <c r="E31" s="3" t="s">
        <v>23</v>
      </c>
      <c r="F31" s="3" t="s">
        <v>56</v>
      </c>
      <c r="G31" s="3">
        <v>750.0</v>
      </c>
    </row>
    <row r="32">
      <c r="A32" s="3" t="s">
        <v>7</v>
      </c>
      <c r="B32" s="3"/>
      <c r="C32" s="3">
        <v>4.0</v>
      </c>
      <c r="D32" s="3">
        <v>2018.0</v>
      </c>
      <c r="E32" s="3" t="s">
        <v>23</v>
      </c>
      <c r="F32" s="3" t="s">
        <v>57</v>
      </c>
      <c r="G32" s="3">
        <v>750.0</v>
      </c>
    </row>
    <row r="33">
      <c r="A33" s="3" t="s">
        <v>7</v>
      </c>
      <c r="B33" s="3"/>
      <c r="C33" s="3">
        <v>1.0</v>
      </c>
      <c r="D33" s="3">
        <v>2016.0</v>
      </c>
      <c r="E33" s="3" t="s">
        <v>23</v>
      </c>
      <c r="F33" s="3" t="s">
        <v>58</v>
      </c>
      <c r="G33" s="3">
        <v>750.0</v>
      </c>
    </row>
    <row r="34">
      <c r="A34" s="3" t="s">
        <v>7</v>
      </c>
      <c r="B34" s="3"/>
      <c r="C34" s="3">
        <v>1.0</v>
      </c>
      <c r="D34" s="3">
        <v>2016.0</v>
      </c>
      <c r="E34" s="3" t="s">
        <v>23</v>
      </c>
      <c r="F34" s="3" t="s">
        <v>59</v>
      </c>
      <c r="G34" s="3">
        <v>750.0</v>
      </c>
    </row>
    <row r="35">
      <c r="A35" s="3" t="s">
        <v>7</v>
      </c>
      <c r="B35" s="3"/>
      <c r="C35" s="3">
        <v>1.0</v>
      </c>
      <c r="D35" s="3">
        <v>2018.0</v>
      </c>
      <c r="E35" s="3" t="s">
        <v>23</v>
      </c>
      <c r="F35" s="3" t="s">
        <v>60</v>
      </c>
      <c r="G35" s="3">
        <v>750.0</v>
      </c>
    </row>
    <row r="36">
      <c r="A36" s="3" t="s">
        <v>7</v>
      </c>
      <c r="B36" s="3"/>
      <c r="C36" s="3">
        <v>1.0</v>
      </c>
      <c r="D36" s="3">
        <v>2021.0</v>
      </c>
      <c r="E36" s="3" t="s">
        <v>61</v>
      </c>
      <c r="F36" s="3" t="s">
        <v>62</v>
      </c>
      <c r="G36" s="3">
        <v>750.0</v>
      </c>
    </row>
    <row r="37">
      <c r="A37" s="3" t="s">
        <v>7</v>
      </c>
      <c r="B37" s="3"/>
      <c r="C37" s="3">
        <v>1.0</v>
      </c>
      <c r="D37" s="3">
        <v>2018.0</v>
      </c>
      <c r="E37" s="3" t="s">
        <v>63</v>
      </c>
      <c r="F37" s="3" t="s">
        <v>64</v>
      </c>
      <c r="G37" s="3">
        <v>750.0</v>
      </c>
    </row>
    <row r="38">
      <c r="A38" s="3" t="s">
        <v>7</v>
      </c>
      <c r="B38" s="3"/>
      <c r="C38" s="3">
        <v>1.0</v>
      </c>
      <c r="D38" s="3">
        <v>2016.0</v>
      </c>
      <c r="E38" s="3" t="s">
        <v>65</v>
      </c>
      <c r="F38" s="3" t="s">
        <v>66</v>
      </c>
      <c r="G38" s="3">
        <v>750.0</v>
      </c>
    </row>
    <row r="39">
      <c r="A39" s="3" t="s">
        <v>7</v>
      </c>
      <c r="B39" s="3"/>
      <c r="C39" s="3">
        <v>2.0</v>
      </c>
      <c r="D39" s="3">
        <v>2019.0</v>
      </c>
      <c r="E39" s="3" t="s">
        <v>67</v>
      </c>
      <c r="F39" s="3" t="s">
        <v>68</v>
      </c>
      <c r="G39" s="3">
        <v>750.0</v>
      </c>
    </row>
    <row r="40">
      <c r="A40" s="3" t="s">
        <v>7</v>
      </c>
      <c r="B40" s="3"/>
      <c r="C40" s="3">
        <v>1.0</v>
      </c>
      <c r="D40" s="3">
        <v>2018.0</v>
      </c>
      <c r="E40" s="3" t="s">
        <v>69</v>
      </c>
      <c r="F40" s="3" t="s">
        <v>70</v>
      </c>
      <c r="G40" s="3">
        <v>750.0</v>
      </c>
    </row>
    <row r="41">
      <c r="A41" s="3" t="s">
        <v>7</v>
      </c>
      <c r="B41" s="3"/>
      <c r="C41" s="3">
        <v>1.0</v>
      </c>
      <c r="D41" s="3">
        <v>2017.0</v>
      </c>
      <c r="E41" s="3" t="s">
        <v>71</v>
      </c>
      <c r="F41" s="3" t="s">
        <v>72</v>
      </c>
      <c r="G41" s="3">
        <v>750.0</v>
      </c>
    </row>
    <row r="42">
      <c r="A42" s="3" t="s">
        <v>7</v>
      </c>
      <c r="B42" s="3"/>
      <c r="C42" s="3">
        <v>2.0</v>
      </c>
      <c r="D42" s="3">
        <v>2019.0</v>
      </c>
      <c r="E42" s="3" t="s">
        <v>73</v>
      </c>
      <c r="F42" s="3" t="s">
        <v>74</v>
      </c>
      <c r="G42" s="3">
        <v>750.0</v>
      </c>
    </row>
    <row r="43">
      <c r="A43" s="3" t="s">
        <v>7</v>
      </c>
      <c r="B43" s="3"/>
      <c r="C43" s="3">
        <v>1.0</v>
      </c>
      <c r="D43" s="3">
        <v>2019.0</v>
      </c>
      <c r="E43" s="3" t="s">
        <v>75</v>
      </c>
      <c r="F43" s="3" t="s">
        <v>76</v>
      </c>
      <c r="G43" s="3">
        <v>750.0</v>
      </c>
    </row>
    <row r="44">
      <c r="A44" s="3" t="s">
        <v>7</v>
      </c>
      <c r="B44" s="3"/>
      <c r="C44" s="3">
        <v>1.0</v>
      </c>
      <c r="D44" s="3">
        <v>2018.0</v>
      </c>
      <c r="E44" s="3" t="s">
        <v>75</v>
      </c>
      <c r="F44" s="3" t="s">
        <v>77</v>
      </c>
      <c r="G44" s="3">
        <v>750.0</v>
      </c>
    </row>
    <row r="45">
      <c r="A45" s="3" t="s">
        <v>7</v>
      </c>
      <c r="B45" s="3"/>
      <c r="C45" s="3">
        <v>2.0</v>
      </c>
      <c r="D45" s="3">
        <v>2019.0</v>
      </c>
      <c r="E45" s="3" t="s">
        <v>73</v>
      </c>
      <c r="F45" s="3" t="s">
        <v>78</v>
      </c>
      <c r="G45" s="3">
        <v>750.0</v>
      </c>
    </row>
    <row r="46">
      <c r="A46" s="3" t="s">
        <v>7</v>
      </c>
      <c r="B46" s="3"/>
      <c r="C46" s="3">
        <v>1.0</v>
      </c>
      <c r="D46" s="3">
        <v>2019.0</v>
      </c>
      <c r="E46" s="3" t="s">
        <v>73</v>
      </c>
      <c r="F46" s="3" t="s">
        <v>79</v>
      </c>
      <c r="G46" s="3">
        <v>750.0</v>
      </c>
    </row>
    <row r="47">
      <c r="A47" s="3" t="s">
        <v>7</v>
      </c>
      <c r="B47" s="3"/>
      <c r="C47" s="3">
        <v>1.0</v>
      </c>
      <c r="D47" s="3">
        <v>2017.0</v>
      </c>
      <c r="E47" s="3" t="s">
        <v>75</v>
      </c>
      <c r="F47" s="3" t="s">
        <v>80</v>
      </c>
      <c r="G47" s="3">
        <v>750.0</v>
      </c>
    </row>
    <row r="48">
      <c r="A48" s="3" t="s">
        <v>7</v>
      </c>
      <c r="B48" s="3"/>
      <c r="C48" s="3">
        <v>1.0</v>
      </c>
      <c r="D48" s="3">
        <v>2019.0</v>
      </c>
      <c r="E48" s="3" t="s">
        <v>75</v>
      </c>
      <c r="F48" s="3" t="s">
        <v>81</v>
      </c>
      <c r="G48" s="3">
        <v>750.0</v>
      </c>
    </row>
    <row r="49">
      <c r="A49" s="3" t="s">
        <v>7</v>
      </c>
      <c r="B49" s="3"/>
      <c r="C49" s="3">
        <v>3.0</v>
      </c>
      <c r="D49" s="3">
        <v>2022.0</v>
      </c>
      <c r="E49" s="3" t="s">
        <v>82</v>
      </c>
      <c r="F49" s="3" t="s">
        <v>83</v>
      </c>
      <c r="G49" s="3">
        <v>750.0</v>
      </c>
    </row>
    <row r="50">
      <c r="A50" s="3" t="s">
        <v>7</v>
      </c>
      <c r="B50" s="3"/>
      <c r="C50" s="3">
        <v>1.0</v>
      </c>
      <c r="D50" s="3">
        <v>2015.0</v>
      </c>
      <c r="E50" s="3" t="s">
        <v>84</v>
      </c>
      <c r="F50" s="3" t="s">
        <v>85</v>
      </c>
      <c r="G50" s="3">
        <v>750.0</v>
      </c>
    </row>
    <row r="51">
      <c r="A51" s="3" t="s">
        <v>7</v>
      </c>
      <c r="B51" s="3"/>
      <c r="C51" s="3">
        <v>1.0</v>
      </c>
      <c r="D51" s="3">
        <v>2017.0</v>
      </c>
      <c r="E51" s="3" t="s">
        <v>86</v>
      </c>
      <c r="F51" s="3" t="s">
        <v>87</v>
      </c>
      <c r="G51" s="3">
        <v>750.0</v>
      </c>
    </row>
    <row r="52">
      <c r="A52" s="3" t="s">
        <v>7</v>
      </c>
      <c r="B52" s="3"/>
      <c r="C52" s="3">
        <v>1.0</v>
      </c>
      <c r="D52" s="3">
        <v>2016.0</v>
      </c>
      <c r="E52" s="3" t="s">
        <v>88</v>
      </c>
      <c r="F52" s="3" t="s">
        <v>89</v>
      </c>
      <c r="G52" s="3">
        <v>750.0</v>
      </c>
    </row>
    <row r="53">
      <c r="A53" s="3" t="s">
        <v>7</v>
      </c>
      <c r="B53" s="3"/>
      <c r="C53" s="3">
        <v>2.0</v>
      </c>
      <c r="D53" s="3">
        <v>2010.0</v>
      </c>
      <c r="E53" s="3" t="s">
        <v>90</v>
      </c>
      <c r="F53" s="3" t="s">
        <v>91</v>
      </c>
      <c r="G53" s="3">
        <v>750.0</v>
      </c>
    </row>
    <row r="54">
      <c r="A54" s="3" t="s">
        <v>7</v>
      </c>
      <c r="B54" s="3"/>
      <c r="C54" s="3">
        <v>1.0</v>
      </c>
      <c r="D54" s="3">
        <v>2020.0</v>
      </c>
      <c r="E54" s="3" t="s">
        <v>92</v>
      </c>
      <c r="F54" s="3" t="s">
        <v>93</v>
      </c>
      <c r="G54" s="3">
        <v>750.0</v>
      </c>
    </row>
    <row r="55">
      <c r="A55" s="3" t="s">
        <v>7</v>
      </c>
      <c r="B55" s="3"/>
      <c r="C55" s="3">
        <v>2.0</v>
      </c>
      <c r="D55" s="3">
        <v>2020.0</v>
      </c>
      <c r="E55" s="3" t="s">
        <v>94</v>
      </c>
      <c r="F55" s="3" t="s">
        <v>35</v>
      </c>
      <c r="G55" s="3">
        <v>750.0</v>
      </c>
    </row>
    <row r="56">
      <c r="A56" s="3" t="s">
        <v>7</v>
      </c>
      <c r="B56" s="3"/>
      <c r="C56" s="3">
        <v>1.0</v>
      </c>
      <c r="D56" s="3">
        <v>2021.0</v>
      </c>
      <c r="E56" s="3" t="s">
        <v>95</v>
      </c>
      <c r="F56" s="3" t="s">
        <v>96</v>
      </c>
      <c r="G56" s="3">
        <v>750.0</v>
      </c>
    </row>
    <row r="57">
      <c r="A57" s="3" t="s">
        <v>7</v>
      </c>
      <c r="B57" s="3"/>
      <c r="C57" s="3">
        <v>1.0</v>
      </c>
      <c r="D57" s="3">
        <v>2020.0</v>
      </c>
      <c r="E57" s="3" t="s">
        <v>97</v>
      </c>
      <c r="F57" s="3" t="s">
        <v>98</v>
      </c>
      <c r="G57" s="3">
        <v>750.0</v>
      </c>
    </row>
    <row r="58">
      <c r="A58" s="3" t="s">
        <v>7</v>
      </c>
      <c r="B58" s="3"/>
      <c r="C58" s="3">
        <v>1.0</v>
      </c>
      <c r="D58" s="3">
        <v>2020.0</v>
      </c>
      <c r="E58" s="3" t="s">
        <v>99</v>
      </c>
      <c r="F58" s="3" t="s">
        <v>100</v>
      </c>
      <c r="G58" s="3">
        <v>750.0</v>
      </c>
    </row>
    <row r="59">
      <c r="A59" s="3" t="s">
        <v>7</v>
      </c>
      <c r="B59" s="3"/>
      <c r="C59" s="3">
        <v>1.0</v>
      </c>
      <c r="D59" s="3">
        <v>2018.0</v>
      </c>
      <c r="E59" s="3" t="s">
        <v>101</v>
      </c>
      <c r="F59" s="3" t="s">
        <v>102</v>
      </c>
      <c r="G59" s="3">
        <v>750.0</v>
      </c>
    </row>
    <row r="60">
      <c r="A60" s="3" t="s">
        <v>7</v>
      </c>
      <c r="B60" s="3"/>
      <c r="C60" s="3">
        <v>1.0</v>
      </c>
      <c r="D60" s="3">
        <v>2018.0</v>
      </c>
      <c r="E60" s="3" t="s">
        <v>101</v>
      </c>
      <c r="F60" s="3" t="s">
        <v>103</v>
      </c>
      <c r="G60" s="3">
        <v>750.0</v>
      </c>
    </row>
    <row r="61">
      <c r="A61" s="3" t="s">
        <v>7</v>
      </c>
      <c r="B61" s="3"/>
      <c r="C61" s="3">
        <v>1.0</v>
      </c>
      <c r="D61" s="3">
        <v>2017.0</v>
      </c>
      <c r="E61" s="3" t="s">
        <v>46</v>
      </c>
      <c r="F61" s="3" t="s">
        <v>104</v>
      </c>
      <c r="G61" s="3">
        <v>750.0</v>
      </c>
    </row>
    <row r="62">
      <c r="A62" s="3" t="s">
        <v>7</v>
      </c>
      <c r="B62" s="3"/>
      <c r="C62" s="3">
        <v>1.0</v>
      </c>
      <c r="D62" s="3">
        <v>2018.0</v>
      </c>
      <c r="E62" s="3" t="s">
        <v>105</v>
      </c>
      <c r="F62" s="3" t="s">
        <v>106</v>
      </c>
      <c r="G62" s="3">
        <v>750.0</v>
      </c>
    </row>
    <row r="63">
      <c r="A63" s="3" t="s">
        <v>7</v>
      </c>
      <c r="B63" s="3"/>
      <c r="C63" s="3">
        <v>1.0</v>
      </c>
      <c r="D63" s="3">
        <v>2017.0</v>
      </c>
      <c r="E63" s="3" t="s">
        <v>65</v>
      </c>
      <c r="F63" s="3" t="s">
        <v>107</v>
      </c>
      <c r="G63" s="3">
        <v>750.0</v>
      </c>
    </row>
    <row r="64">
      <c r="A64" s="3" t="s">
        <v>7</v>
      </c>
      <c r="B64" s="3"/>
      <c r="C64" s="3">
        <v>1.0</v>
      </c>
      <c r="D64" s="3">
        <v>2019.0</v>
      </c>
      <c r="E64" s="3" t="s">
        <v>108</v>
      </c>
      <c r="F64" s="3" t="s">
        <v>109</v>
      </c>
      <c r="G64" s="3">
        <v>750.0</v>
      </c>
    </row>
    <row r="65">
      <c r="A65" s="3" t="s">
        <v>7</v>
      </c>
      <c r="B65" s="3"/>
      <c r="C65" s="3">
        <v>1.0</v>
      </c>
      <c r="D65" s="3">
        <v>2019.0</v>
      </c>
      <c r="E65" s="3" t="s">
        <v>23</v>
      </c>
      <c r="F65" s="3" t="s">
        <v>110</v>
      </c>
      <c r="G65" s="3">
        <v>750.0</v>
      </c>
    </row>
    <row r="66">
      <c r="A66" s="3" t="s">
        <v>7</v>
      </c>
      <c r="B66" s="3"/>
      <c r="C66" s="3">
        <v>1.0</v>
      </c>
      <c r="D66" s="3">
        <v>2014.0</v>
      </c>
      <c r="E66" s="3" t="s">
        <v>23</v>
      </c>
      <c r="F66" s="3" t="s">
        <v>111</v>
      </c>
      <c r="G66" s="3">
        <v>750.0</v>
      </c>
    </row>
    <row r="67">
      <c r="A67" s="3" t="s">
        <v>7</v>
      </c>
      <c r="B67" s="3"/>
      <c r="C67" s="3">
        <v>1.0</v>
      </c>
      <c r="D67" s="3">
        <v>2018.0</v>
      </c>
      <c r="E67" s="3" t="s">
        <v>23</v>
      </c>
      <c r="F67" s="3" t="s">
        <v>112</v>
      </c>
      <c r="G67" s="3">
        <v>750.0</v>
      </c>
    </row>
    <row r="68">
      <c r="A68" s="3" t="s">
        <v>7</v>
      </c>
      <c r="B68" s="3"/>
      <c r="C68" s="3">
        <v>2.0</v>
      </c>
      <c r="D68" s="3">
        <v>2019.0</v>
      </c>
      <c r="E68" s="3" t="s">
        <v>23</v>
      </c>
      <c r="F68" s="3" t="s">
        <v>57</v>
      </c>
      <c r="G68" s="3">
        <v>750.0</v>
      </c>
    </row>
    <row r="69">
      <c r="A69" s="3" t="s">
        <v>7</v>
      </c>
      <c r="B69" s="3"/>
      <c r="C69" s="3">
        <v>1.0</v>
      </c>
      <c r="D69" s="3">
        <v>2016.0</v>
      </c>
      <c r="E69" s="3" t="s">
        <v>113</v>
      </c>
      <c r="F69" s="3" t="s">
        <v>114</v>
      </c>
      <c r="G69" s="3">
        <v>750.0</v>
      </c>
    </row>
    <row r="70">
      <c r="A70" s="3" t="s">
        <v>7</v>
      </c>
      <c r="B70" s="3"/>
      <c r="C70" s="3">
        <v>1.0</v>
      </c>
      <c r="D70" s="3">
        <v>2020.0</v>
      </c>
      <c r="E70" s="3" t="s">
        <v>115</v>
      </c>
      <c r="F70" s="3" t="s">
        <v>116</v>
      </c>
      <c r="G70" s="3">
        <v>750.0</v>
      </c>
    </row>
    <row r="71">
      <c r="A71" s="3" t="s">
        <v>7</v>
      </c>
      <c r="B71" s="3"/>
      <c r="C71" s="3">
        <v>1.0</v>
      </c>
      <c r="D71" s="3">
        <v>2017.0</v>
      </c>
      <c r="E71" s="3" t="s">
        <v>117</v>
      </c>
      <c r="F71" s="3" t="s">
        <v>118</v>
      </c>
      <c r="G71" s="3">
        <v>750.0</v>
      </c>
    </row>
    <row r="72">
      <c r="A72" s="3" t="s">
        <v>7</v>
      </c>
      <c r="B72" s="3"/>
      <c r="C72" s="3">
        <v>1.0</v>
      </c>
      <c r="D72" s="3">
        <v>2017.0</v>
      </c>
      <c r="E72" s="3" t="s">
        <v>119</v>
      </c>
      <c r="F72" s="3" t="s">
        <v>120</v>
      </c>
      <c r="G72" s="3">
        <v>750.0</v>
      </c>
    </row>
    <row r="73">
      <c r="A73" s="3" t="s">
        <v>7</v>
      </c>
      <c r="B73" s="3"/>
      <c r="C73" s="3">
        <v>1.0</v>
      </c>
      <c r="D73" s="3">
        <v>2020.0</v>
      </c>
      <c r="E73" s="3" t="s">
        <v>121</v>
      </c>
      <c r="F73" s="3" t="s">
        <v>122</v>
      </c>
      <c r="G73" s="3">
        <v>750.0</v>
      </c>
    </row>
    <row r="74">
      <c r="A74" s="3" t="s">
        <v>7</v>
      </c>
      <c r="B74" s="3"/>
      <c r="C74" s="3">
        <v>1.0</v>
      </c>
      <c r="D74" s="3">
        <v>2021.0</v>
      </c>
      <c r="E74" s="3" t="s">
        <v>123</v>
      </c>
      <c r="F74" s="3" t="s">
        <v>124</v>
      </c>
      <c r="G74" s="3">
        <v>750.0</v>
      </c>
    </row>
    <row r="75">
      <c r="A75" s="3" t="s">
        <v>7</v>
      </c>
      <c r="B75" s="3"/>
      <c r="C75" s="3">
        <v>1.0</v>
      </c>
      <c r="D75" s="3">
        <v>2020.0</v>
      </c>
      <c r="E75" s="3" t="s">
        <v>125</v>
      </c>
      <c r="F75" s="3" t="s">
        <v>126</v>
      </c>
      <c r="G75" s="3">
        <v>750.0</v>
      </c>
    </row>
    <row r="76">
      <c r="A76" s="3" t="s">
        <v>7</v>
      </c>
      <c r="B76" s="3"/>
      <c r="C76" s="3">
        <v>1.0</v>
      </c>
      <c r="D76" s="3">
        <v>2021.0</v>
      </c>
      <c r="E76" s="3" t="s">
        <v>127</v>
      </c>
      <c r="F76" s="3" t="s">
        <v>128</v>
      </c>
      <c r="G76" s="3">
        <v>750.0</v>
      </c>
    </row>
    <row r="77">
      <c r="A77" s="3" t="s">
        <v>7</v>
      </c>
      <c r="B77" s="3"/>
      <c r="C77" s="3">
        <v>1.0</v>
      </c>
      <c r="D77" s="3">
        <v>2018.0</v>
      </c>
      <c r="E77" s="3" t="s">
        <v>129</v>
      </c>
      <c r="F77" s="3" t="s">
        <v>130</v>
      </c>
      <c r="G77" s="3">
        <v>750.0</v>
      </c>
    </row>
    <row r="78">
      <c r="A78" s="3" t="s">
        <v>7</v>
      </c>
      <c r="B78" s="3"/>
      <c r="C78" s="3">
        <v>1.0</v>
      </c>
      <c r="D78" s="3">
        <v>2019.0</v>
      </c>
      <c r="E78" s="3" t="s">
        <v>131</v>
      </c>
      <c r="F78" s="3" t="s">
        <v>35</v>
      </c>
      <c r="G78" s="3">
        <v>750.0</v>
      </c>
    </row>
    <row r="79">
      <c r="A79" s="3" t="s">
        <v>7</v>
      </c>
      <c r="B79" s="3"/>
      <c r="C79" s="3">
        <v>1.0</v>
      </c>
      <c r="D79" s="3">
        <v>2015.0</v>
      </c>
      <c r="E79" s="3" t="s">
        <v>86</v>
      </c>
      <c r="F79" s="3" t="s">
        <v>132</v>
      </c>
      <c r="G79" s="3">
        <v>750.0</v>
      </c>
    </row>
    <row r="80">
      <c r="A80" s="3" t="s">
        <v>7</v>
      </c>
      <c r="B80" s="3"/>
      <c r="C80" s="3">
        <v>1.0</v>
      </c>
      <c r="D80" s="3">
        <v>2014.0</v>
      </c>
      <c r="E80" s="3" t="s">
        <v>86</v>
      </c>
      <c r="F80" s="3" t="s">
        <v>35</v>
      </c>
      <c r="G80" s="3">
        <v>750.0</v>
      </c>
    </row>
    <row r="81">
      <c r="A81" s="3" t="s">
        <v>7</v>
      </c>
      <c r="B81" s="3"/>
      <c r="C81" s="3">
        <v>1.0</v>
      </c>
      <c r="D81" s="3">
        <v>2020.0</v>
      </c>
      <c r="E81" s="3" t="s">
        <v>75</v>
      </c>
      <c r="F81" s="3" t="s">
        <v>133</v>
      </c>
      <c r="G81" s="3">
        <v>750.0</v>
      </c>
    </row>
    <row r="82">
      <c r="A82" s="3" t="s">
        <v>7</v>
      </c>
      <c r="B82" s="3"/>
      <c r="C82" s="3">
        <v>1.0</v>
      </c>
      <c r="D82" s="3">
        <v>2018.0</v>
      </c>
      <c r="E82" s="3" t="s">
        <v>16</v>
      </c>
      <c r="F82" s="3" t="s">
        <v>134</v>
      </c>
      <c r="G82" s="3">
        <v>750.0</v>
      </c>
    </row>
    <row r="83">
      <c r="A83" s="3" t="s">
        <v>7</v>
      </c>
      <c r="B83" s="3"/>
      <c r="C83" s="3">
        <v>3.0</v>
      </c>
      <c r="D83" s="3">
        <v>2014.0</v>
      </c>
      <c r="E83" s="3" t="s">
        <v>135</v>
      </c>
      <c r="F83" s="3" t="s">
        <v>136</v>
      </c>
      <c r="G83" s="3">
        <v>750.0</v>
      </c>
    </row>
    <row r="84">
      <c r="A84" s="3" t="s">
        <v>7</v>
      </c>
      <c r="B84" s="3"/>
      <c r="C84" s="3">
        <v>1.0</v>
      </c>
      <c r="D84" s="3">
        <v>2017.0</v>
      </c>
      <c r="E84" s="3" t="s">
        <v>86</v>
      </c>
      <c r="F84" s="3" t="s">
        <v>39</v>
      </c>
      <c r="G84" s="3">
        <v>750.0</v>
      </c>
    </row>
    <row r="85">
      <c r="A85" s="3" t="s">
        <v>7</v>
      </c>
      <c r="B85" s="3"/>
      <c r="C85" s="3">
        <v>1.0</v>
      </c>
      <c r="D85" s="3">
        <v>2016.0</v>
      </c>
      <c r="E85" s="3" t="s">
        <v>137</v>
      </c>
      <c r="F85" s="3" t="s">
        <v>138</v>
      </c>
      <c r="G85" s="3">
        <v>750.0</v>
      </c>
    </row>
    <row r="86">
      <c r="A86" s="3" t="s">
        <v>7</v>
      </c>
      <c r="B86" s="3"/>
      <c r="C86" s="3">
        <v>1.0</v>
      </c>
      <c r="D86" s="3">
        <v>2017.0</v>
      </c>
      <c r="E86" s="3" t="s">
        <v>139</v>
      </c>
      <c r="F86" s="3" t="s">
        <v>140</v>
      </c>
      <c r="G86" s="3">
        <v>750.0</v>
      </c>
    </row>
    <row r="87">
      <c r="A87" s="3" t="s">
        <v>7</v>
      </c>
      <c r="B87" s="3"/>
      <c r="C87" s="3">
        <v>1.0</v>
      </c>
      <c r="D87" s="3">
        <v>2018.0</v>
      </c>
      <c r="E87" s="3" t="s">
        <v>47</v>
      </c>
      <c r="F87" s="3" t="s">
        <v>141</v>
      </c>
      <c r="G87" s="3">
        <v>750.0</v>
      </c>
    </row>
    <row r="88">
      <c r="A88" s="3" t="s">
        <v>7</v>
      </c>
      <c r="B88" s="3"/>
      <c r="C88" s="3">
        <v>1.0</v>
      </c>
      <c r="D88" s="3">
        <v>2016.0</v>
      </c>
      <c r="E88" s="3" t="s">
        <v>86</v>
      </c>
      <c r="F88" s="3" t="s">
        <v>35</v>
      </c>
      <c r="G88" s="3">
        <v>750.0</v>
      </c>
    </row>
    <row r="89">
      <c r="A89" s="3" t="s">
        <v>7</v>
      </c>
      <c r="B89" s="3"/>
      <c r="C89" s="3">
        <v>1.0</v>
      </c>
      <c r="D89" s="3">
        <v>2018.0</v>
      </c>
      <c r="E89" s="3" t="s">
        <v>142</v>
      </c>
      <c r="F89" s="3" t="s">
        <v>104</v>
      </c>
      <c r="G89" s="3">
        <v>750.0</v>
      </c>
    </row>
    <row r="90">
      <c r="A90" s="3" t="s">
        <v>7</v>
      </c>
      <c r="B90" s="3"/>
      <c r="C90" s="3">
        <v>1.0</v>
      </c>
      <c r="D90" s="3">
        <v>2019.0</v>
      </c>
      <c r="E90" s="3" t="s">
        <v>75</v>
      </c>
      <c r="F90" s="3" t="s">
        <v>133</v>
      </c>
      <c r="G90" s="3">
        <v>750.0</v>
      </c>
    </row>
    <row r="91">
      <c r="A91" s="3" t="s">
        <v>7</v>
      </c>
      <c r="B91" s="3"/>
      <c r="C91" s="3">
        <v>1.0</v>
      </c>
      <c r="D91" s="3">
        <v>2017.0</v>
      </c>
      <c r="E91" s="3" t="s">
        <v>47</v>
      </c>
      <c r="F91" s="3" t="s">
        <v>143</v>
      </c>
      <c r="G91" s="3">
        <v>750.0</v>
      </c>
    </row>
    <row r="92">
      <c r="A92" s="3" t="s">
        <v>7</v>
      </c>
      <c r="B92" s="3"/>
      <c r="C92" s="3">
        <v>1.0</v>
      </c>
      <c r="D92" s="3">
        <v>2018.0</v>
      </c>
      <c r="E92" s="3" t="s">
        <v>42</v>
      </c>
      <c r="F92" s="3" t="s">
        <v>144</v>
      </c>
      <c r="G92" s="3">
        <v>750.0</v>
      </c>
    </row>
    <row r="93">
      <c r="A93" s="3" t="s">
        <v>7</v>
      </c>
      <c r="B93" s="3"/>
      <c r="C93" s="3">
        <v>1.0</v>
      </c>
      <c r="D93" s="3">
        <v>2019.0</v>
      </c>
      <c r="E93" s="3" t="s">
        <v>42</v>
      </c>
      <c r="F93" s="3" t="s">
        <v>35</v>
      </c>
      <c r="G93" s="3">
        <v>750.0</v>
      </c>
    </row>
    <row r="94">
      <c r="A94" s="3" t="s">
        <v>7</v>
      </c>
      <c r="B94" s="3"/>
      <c r="C94" s="3">
        <v>2.0</v>
      </c>
      <c r="D94" s="3">
        <v>2018.0</v>
      </c>
      <c r="E94" s="3" t="s">
        <v>145</v>
      </c>
      <c r="F94" s="3" t="s">
        <v>146</v>
      </c>
      <c r="G94" s="3">
        <v>750.0</v>
      </c>
    </row>
    <row r="95">
      <c r="A95" s="3" t="s">
        <v>7</v>
      </c>
      <c r="B95" s="3"/>
      <c r="C95" s="3">
        <v>1.0</v>
      </c>
      <c r="D95" s="3">
        <v>2019.0</v>
      </c>
      <c r="E95" s="3" t="s">
        <v>147</v>
      </c>
      <c r="F95" s="3" t="s">
        <v>96</v>
      </c>
      <c r="G95" s="3">
        <v>750.0</v>
      </c>
    </row>
    <row r="96">
      <c r="A96" s="3" t="s">
        <v>7</v>
      </c>
      <c r="B96" s="3"/>
      <c r="C96" s="3">
        <v>1.0</v>
      </c>
      <c r="D96" s="3">
        <v>2020.0</v>
      </c>
      <c r="E96" s="3" t="s">
        <v>148</v>
      </c>
      <c r="F96" s="3" t="s">
        <v>149</v>
      </c>
      <c r="G96" s="3">
        <v>750.0</v>
      </c>
    </row>
    <row r="97">
      <c r="A97" s="3" t="s">
        <v>7</v>
      </c>
      <c r="B97" s="3"/>
      <c r="C97" s="3">
        <v>1.0</v>
      </c>
      <c r="D97" s="3">
        <v>2018.0</v>
      </c>
      <c r="E97" s="3" t="s">
        <v>150</v>
      </c>
      <c r="F97" s="3" t="s">
        <v>149</v>
      </c>
      <c r="G97" s="3">
        <v>750.0</v>
      </c>
    </row>
    <row r="98">
      <c r="A98" s="3" t="s">
        <v>7</v>
      </c>
      <c r="B98" s="3"/>
      <c r="C98" s="3">
        <v>1.0</v>
      </c>
      <c r="D98" s="3">
        <v>2016.0</v>
      </c>
      <c r="E98" s="3" t="s">
        <v>151</v>
      </c>
      <c r="F98" s="3" t="s">
        <v>152</v>
      </c>
      <c r="G98" s="3">
        <v>750.0</v>
      </c>
    </row>
    <row r="99">
      <c r="A99" s="3" t="s">
        <v>7</v>
      </c>
      <c r="B99" s="3"/>
      <c r="C99" s="3">
        <v>4.0</v>
      </c>
      <c r="D99" s="3">
        <v>2019.0</v>
      </c>
      <c r="E99" s="3" t="s">
        <v>135</v>
      </c>
      <c r="F99" s="3" t="s">
        <v>104</v>
      </c>
      <c r="G99" s="3">
        <v>750.0</v>
      </c>
    </row>
    <row r="100">
      <c r="A100" s="3" t="s">
        <v>7</v>
      </c>
      <c r="B100" s="3"/>
      <c r="C100" s="3">
        <v>1.0</v>
      </c>
      <c r="D100" s="3">
        <v>2013.0</v>
      </c>
      <c r="E100" s="3" t="s">
        <v>135</v>
      </c>
      <c r="F100" s="3" t="s">
        <v>136</v>
      </c>
      <c r="G100" s="3">
        <v>750.0</v>
      </c>
    </row>
    <row r="101">
      <c r="A101" s="3" t="s">
        <v>7</v>
      </c>
      <c r="B101" s="3"/>
      <c r="C101" s="3">
        <v>1.0</v>
      </c>
      <c r="D101" s="3">
        <v>2019.0</v>
      </c>
      <c r="E101" s="3" t="s">
        <v>153</v>
      </c>
      <c r="F101" s="3" t="s">
        <v>154</v>
      </c>
      <c r="G101" s="3">
        <v>750.0</v>
      </c>
    </row>
    <row r="102">
      <c r="A102" s="3" t="s">
        <v>7</v>
      </c>
      <c r="B102" s="3"/>
      <c r="C102" s="3">
        <v>1.0</v>
      </c>
      <c r="D102" s="3">
        <v>2018.0</v>
      </c>
      <c r="E102" s="3" t="s">
        <v>47</v>
      </c>
      <c r="F102" s="3" t="s">
        <v>155</v>
      </c>
      <c r="G102" s="3">
        <v>750.0</v>
      </c>
    </row>
    <row r="103">
      <c r="A103" s="3" t="s">
        <v>7</v>
      </c>
      <c r="B103" s="3"/>
      <c r="C103" s="3">
        <v>1.0</v>
      </c>
      <c r="D103" s="3">
        <v>2018.0</v>
      </c>
      <c r="E103" s="3" t="s">
        <v>156</v>
      </c>
      <c r="F103" s="3" t="s">
        <v>146</v>
      </c>
      <c r="G103" s="3">
        <v>750.0</v>
      </c>
    </row>
    <row r="104">
      <c r="A104" s="3" t="s">
        <v>7</v>
      </c>
      <c r="B104" s="3"/>
      <c r="C104" s="3">
        <v>1.0</v>
      </c>
      <c r="D104" s="3">
        <v>2021.0</v>
      </c>
      <c r="E104" s="3" t="s">
        <v>95</v>
      </c>
      <c r="F104" s="3" t="s">
        <v>154</v>
      </c>
      <c r="G104" s="3">
        <v>750.0</v>
      </c>
    </row>
    <row r="105">
      <c r="A105" s="3" t="s">
        <v>7</v>
      </c>
      <c r="B105" s="3"/>
      <c r="C105" s="3">
        <v>1.0</v>
      </c>
      <c r="D105" s="3">
        <v>2019.0</v>
      </c>
      <c r="E105" s="3" t="s">
        <v>157</v>
      </c>
      <c r="F105" s="3" t="s">
        <v>158</v>
      </c>
      <c r="G105" s="3">
        <v>750.0</v>
      </c>
    </row>
    <row r="106">
      <c r="A106" s="3" t="s">
        <v>7</v>
      </c>
      <c r="B106" s="3"/>
      <c r="C106" s="3">
        <v>1.0</v>
      </c>
      <c r="D106" s="3">
        <v>2020.0</v>
      </c>
      <c r="E106" s="3" t="s">
        <v>159</v>
      </c>
      <c r="F106" s="3" t="s">
        <v>160</v>
      </c>
      <c r="G106" s="3">
        <v>750.0</v>
      </c>
    </row>
    <row r="107">
      <c r="A107" s="3" t="s">
        <v>7</v>
      </c>
      <c r="B107" s="3"/>
      <c r="C107" s="3">
        <v>1.0</v>
      </c>
      <c r="D107" s="3">
        <v>2020.0</v>
      </c>
      <c r="E107" s="3" t="s">
        <v>161</v>
      </c>
      <c r="F107" s="3" t="s">
        <v>162</v>
      </c>
      <c r="G107" s="3">
        <v>750.0</v>
      </c>
    </row>
    <row r="108">
      <c r="A108" s="3" t="s">
        <v>7</v>
      </c>
      <c r="B108" s="3"/>
      <c r="C108" s="3">
        <v>12.0</v>
      </c>
      <c r="D108" s="3">
        <v>2018.0</v>
      </c>
      <c r="E108" s="3" t="s">
        <v>135</v>
      </c>
      <c r="F108" s="3" t="s">
        <v>163</v>
      </c>
      <c r="G108" s="3">
        <v>750.0</v>
      </c>
    </row>
    <row r="109">
      <c r="A109" s="3" t="s">
        <v>7</v>
      </c>
      <c r="B109" s="3"/>
      <c r="C109" s="3">
        <v>1.0</v>
      </c>
      <c r="D109" s="3">
        <v>2014.0</v>
      </c>
      <c r="E109" s="3" t="s">
        <v>164</v>
      </c>
      <c r="F109" s="3" t="s">
        <v>165</v>
      </c>
      <c r="G109" s="3">
        <v>750.0</v>
      </c>
    </row>
    <row r="110">
      <c r="A110" s="3" t="s">
        <v>7</v>
      </c>
      <c r="B110" s="3"/>
      <c r="C110" s="3">
        <v>1.0</v>
      </c>
      <c r="D110" s="3">
        <v>2012.0</v>
      </c>
      <c r="E110" s="3" t="s">
        <v>8</v>
      </c>
      <c r="F110" s="3" t="s">
        <v>166</v>
      </c>
      <c r="G110" s="3">
        <v>750.0</v>
      </c>
    </row>
    <row r="111">
      <c r="A111" s="3" t="s">
        <v>7</v>
      </c>
      <c r="B111" s="3"/>
      <c r="C111" s="3">
        <v>3.0</v>
      </c>
      <c r="D111" s="3">
        <v>2021.0</v>
      </c>
      <c r="E111" s="3" t="s">
        <v>25</v>
      </c>
      <c r="F111" s="3" t="s">
        <v>167</v>
      </c>
      <c r="G111" s="3">
        <v>750.0</v>
      </c>
    </row>
    <row r="112">
      <c r="A112" s="3" t="s">
        <v>7</v>
      </c>
      <c r="B112" s="3"/>
      <c r="C112" s="3">
        <v>1.0</v>
      </c>
      <c r="D112" s="3">
        <v>2016.0</v>
      </c>
      <c r="E112" s="3" t="s">
        <v>38</v>
      </c>
      <c r="F112" s="3" t="s">
        <v>168</v>
      </c>
      <c r="G112" s="3">
        <v>750.0</v>
      </c>
    </row>
    <row r="113">
      <c r="A113" s="3" t="s">
        <v>169</v>
      </c>
      <c r="B113" s="3" t="s">
        <v>170</v>
      </c>
      <c r="C113" s="3">
        <v>1.0</v>
      </c>
      <c r="D113" s="3">
        <v>2018.0</v>
      </c>
      <c r="E113" s="3" t="s">
        <v>171</v>
      </c>
      <c r="F113" s="3" t="s">
        <v>172</v>
      </c>
      <c r="G113" s="3">
        <v>750.0</v>
      </c>
    </row>
    <row r="114">
      <c r="A114" s="3" t="s">
        <v>169</v>
      </c>
      <c r="B114" s="3" t="s">
        <v>170</v>
      </c>
      <c r="C114" s="3">
        <v>1.0</v>
      </c>
      <c r="D114" s="3">
        <v>2018.0</v>
      </c>
      <c r="E114" s="3" t="s">
        <v>173</v>
      </c>
      <c r="F114" s="3" t="s">
        <v>174</v>
      </c>
      <c r="G114" s="3">
        <v>750.0</v>
      </c>
    </row>
    <row r="115">
      <c r="A115" s="3" t="s">
        <v>169</v>
      </c>
      <c r="B115" s="3" t="s">
        <v>170</v>
      </c>
      <c r="C115" s="3">
        <v>1.0</v>
      </c>
      <c r="D115" s="3">
        <v>2019.0</v>
      </c>
      <c r="E115" s="3" t="s">
        <v>175</v>
      </c>
      <c r="F115" s="3" t="s">
        <v>176</v>
      </c>
      <c r="G115" s="3">
        <v>750.0</v>
      </c>
    </row>
    <row r="116">
      <c r="A116" s="3" t="s">
        <v>169</v>
      </c>
      <c r="B116" s="3" t="s">
        <v>170</v>
      </c>
      <c r="C116" s="3">
        <v>1.0</v>
      </c>
      <c r="D116" s="3">
        <v>2018.0</v>
      </c>
      <c r="E116" s="3" t="s">
        <v>177</v>
      </c>
      <c r="F116" s="3" t="s">
        <v>178</v>
      </c>
      <c r="G116" s="3">
        <v>750.0</v>
      </c>
    </row>
    <row r="117">
      <c r="A117" s="3" t="s">
        <v>169</v>
      </c>
      <c r="B117" s="3" t="s">
        <v>170</v>
      </c>
      <c r="C117" s="3">
        <v>1.0</v>
      </c>
      <c r="D117" s="3">
        <v>2023.0</v>
      </c>
      <c r="E117" s="3" t="s">
        <v>82</v>
      </c>
      <c r="F117" s="3" t="s">
        <v>179</v>
      </c>
      <c r="G117" s="3">
        <v>750.0</v>
      </c>
    </row>
    <row r="118">
      <c r="A118" s="3" t="s">
        <v>169</v>
      </c>
      <c r="B118" s="3" t="s">
        <v>170</v>
      </c>
      <c r="C118" s="3">
        <v>3.0</v>
      </c>
      <c r="D118" s="3">
        <v>2019.0</v>
      </c>
      <c r="E118" s="3" t="s">
        <v>10</v>
      </c>
      <c r="F118" s="3" t="s">
        <v>39</v>
      </c>
      <c r="G118" s="3">
        <v>375.0</v>
      </c>
    </row>
    <row r="119">
      <c r="A119" s="3" t="s">
        <v>169</v>
      </c>
      <c r="B119" s="3" t="s">
        <v>170</v>
      </c>
      <c r="C119" s="3">
        <v>2.0</v>
      </c>
      <c r="D119" s="3">
        <v>2018.0</v>
      </c>
      <c r="E119" s="3" t="s">
        <v>10</v>
      </c>
      <c r="F119" s="3" t="s">
        <v>163</v>
      </c>
      <c r="G119" s="3">
        <v>375.0</v>
      </c>
    </row>
    <row r="120">
      <c r="A120" s="3" t="s">
        <v>169</v>
      </c>
      <c r="B120" s="3" t="s">
        <v>170</v>
      </c>
      <c r="C120" s="3">
        <v>1.0</v>
      </c>
      <c r="D120" s="3">
        <v>2016.0</v>
      </c>
      <c r="E120" s="3" t="s">
        <v>180</v>
      </c>
      <c r="F120" s="3" t="s">
        <v>35</v>
      </c>
      <c r="G120" s="3">
        <v>750.0</v>
      </c>
    </row>
    <row r="121">
      <c r="A121" s="3" t="s">
        <v>169</v>
      </c>
      <c r="B121" s="3" t="s">
        <v>170</v>
      </c>
      <c r="C121" s="3">
        <v>4.0</v>
      </c>
      <c r="D121" s="3">
        <v>2019.0</v>
      </c>
      <c r="E121" s="3" t="s">
        <v>10</v>
      </c>
      <c r="F121" s="3" t="s">
        <v>104</v>
      </c>
      <c r="G121" s="3">
        <v>750.0</v>
      </c>
    </row>
    <row r="122">
      <c r="A122" s="3" t="s">
        <v>169</v>
      </c>
      <c r="B122" s="3" t="s">
        <v>170</v>
      </c>
      <c r="C122" s="3">
        <v>1.0</v>
      </c>
      <c r="D122" s="3">
        <v>2018.0</v>
      </c>
      <c r="E122" s="3" t="s">
        <v>10</v>
      </c>
      <c r="F122" s="3" t="s">
        <v>181</v>
      </c>
      <c r="G122" s="3">
        <v>750.0</v>
      </c>
    </row>
    <row r="123">
      <c r="A123" s="3" t="s">
        <v>169</v>
      </c>
      <c r="B123" s="3" t="s">
        <v>170</v>
      </c>
      <c r="C123" s="3">
        <v>1.0</v>
      </c>
      <c r="D123" s="3">
        <v>2018.0</v>
      </c>
      <c r="E123" s="3" t="s">
        <v>10</v>
      </c>
      <c r="F123" s="3" t="s">
        <v>182</v>
      </c>
      <c r="G123" s="3">
        <v>750.0</v>
      </c>
    </row>
    <row r="124">
      <c r="A124" s="3" t="s">
        <v>169</v>
      </c>
      <c r="B124" s="3" t="s">
        <v>170</v>
      </c>
      <c r="C124" s="3">
        <v>5.0</v>
      </c>
      <c r="D124" s="3">
        <v>2015.0</v>
      </c>
      <c r="E124" s="3" t="s">
        <v>10</v>
      </c>
      <c r="F124" s="3" t="s">
        <v>183</v>
      </c>
      <c r="G124" s="3">
        <v>750.0</v>
      </c>
    </row>
    <row r="125">
      <c r="A125" s="3" t="s">
        <v>169</v>
      </c>
      <c r="B125" s="3" t="s">
        <v>170</v>
      </c>
      <c r="C125" s="3">
        <v>1.0</v>
      </c>
      <c r="D125" s="3">
        <v>2017.0</v>
      </c>
      <c r="E125" s="3" t="s">
        <v>38</v>
      </c>
      <c r="F125" s="3" t="s">
        <v>39</v>
      </c>
      <c r="G125" s="3">
        <v>750.0</v>
      </c>
    </row>
    <row r="126">
      <c r="A126" s="3" t="s">
        <v>169</v>
      </c>
      <c r="B126" s="3" t="s">
        <v>170</v>
      </c>
      <c r="C126" s="3">
        <v>1.0</v>
      </c>
      <c r="D126" s="3">
        <v>2017.0</v>
      </c>
      <c r="E126" s="3" t="s">
        <v>69</v>
      </c>
      <c r="F126" s="3" t="s">
        <v>184</v>
      </c>
      <c r="G126" s="3">
        <v>750.0</v>
      </c>
    </row>
    <row r="127">
      <c r="A127" s="3" t="s">
        <v>169</v>
      </c>
      <c r="B127" s="3" t="s">
        <v>170</v>
      </c>
      <c r="C127" s="3">
        <v>2.0</v>
      </c>
      <c r="D127" s="3">
        <v>2018.0</v>
      </c>
      <c r="E127" s="3" t="s">
        <v>8</v>
      </c>
      <c r="F127" s="3" t="s">
        <v>39</v>
      </c>
      <c r="G127" s="3">
        <v>750.0</v>
      </c>
    </row>
    <row r="128">
      <c r="A128" s="3" t="s">
        <v>169</v>
      </c>
      <c r="B128" s="3" t="s">
        <v>170</v>
      </c>
      <c r="C128" s="3">
        <v>1.0</v>
      </c>
      <c r="D128" s="3">
        <v>2019.0</v>
      </c>
      <c r="E128" s="3" t="s">
        <v>32</v>
      </c>
      <c r="F128" s="3" t="s">
        <v>185</v>
      </c>
      <c r="G128" s="3">
        <v>1500.0</v>
      </c>
    </row>
    <row r="129">
      <c r="A129" s="3" t="s">
        <v>169</v>
      </c>
      <c r="B129" s="3" t="s">
        <v>170</v>
      </c>
      <c r="C129" s="3">
        <v>1.0</v>
      </c>
      <c r="D129" s="3">
        <v>2017.0</v>
      </c>
      <c r="E129" s="3" t="s">
        <v>8</v>
      </c>
      <c r="F129" s="3" t="s">
        <v>186</v>
      </c>
      <c r="G129" s="3">
        <v>750.0</v>
      </c>
    </row>
    <row r="130">
      <c r="A130" s="3" t="s">
        <v>169</v>
      </c>
      <c r="B130" s="3" t="s">
        <v>170</v>
      </c>
      <c r="C130" s="3">
        <v>1.0</v>
      </c>
      <c r="D130" s="3">
        <v>2013.0</v>
      </c>
      <c r="E130" s="3" t="s">
        <v>187</v>
      </c>
      <c r="F130" s="3" t="s">
        <v>146</v>
      </c>
      <c r="G130" s="3">
        <v>750.0</v>
      </c>
    </row>
    <row r="131">
      <c r="A131" s="3" t="s">
        <v>169</v>
      </c>
      <c r="B131" s="3" t="s">
        <v>170</v>
      </c>
      <c r="C131" s="3">
        <v>1.0</v>
      </c>
      <c r="D131" s="3">
        <v>2022.0</v>
      </c>
      <c r="E131" s="3" t="s">
        <v>10</v>
      </c>
      <c r="F131" s="3" t="s">
        <v>188</v>
      </c>
      <c r="G131" s="3">
        <v>750.0</v>
      </c>
    </row>
    <row r="132">
      <c r="A132" s="3" t="s">
        <v>189</v>
      </c>
      <c r="B132" s="3">
        <v>1.0</v>
      </c>
      <c r="C132" s="3">
        <v>1.0</v>
      </c>
      <c r="D132" s="3">
        <v>2018.0</v>
      </c>
      <c r="E132" s="3" t="s">
        <v>73</v>
      </c>
      <c r="F132" s="3" t="s">
        <v>190</v>
      </c>
      <c r="G132" s="3">
        <v>750.0</v>
      </c>
    </row>
    <row r="133">
      <c r="A133" s="3" t="s">
        <v>189</v>
      </c>
      <c r="B133" s="3">
        <v>1.0</v>
      </c>
      <c r="C133" s="3">
        <v>1.0</v>
      </c>
      <c r="D133" s="3">
        <v>2018.0</v>
      </c>
      <c r="E133" s="3" t="s">
        <v>73</v>
      </c>
      <c r="F133" s="3" t="s">
        <v>144</v>
      </c>
      <c r="G133" s="3">
        <v>750.0</v>
      </c>
    </row>
    <row r="134">
      <c r="A134" s="3" t="s">
        <v>189</v>
      </c>
      <c r="B134" s="3">
        <v>1.0</v>
      </c>
      <c r="C134" s="3">
        <v>1.0</v>
      </c>
      <c r="D134" s="3">
        <v>2018.0</v>
      </c>
      <c r="E134" s="3" t="s">
        <v>191</v>
      </c>
      <c r="F134" s="3" t="s">
        <v>35</v>
      </c>
      <c r="G134" s="3">
        <v>750.0</v>
      </c>
    </row>
    <row r="135">
      <c r="A135" s="3" t="s">
        <v>189</v>
      </c>
      <c r="B135" s="3">
        <v>2.0</v>
      </c>
      <c r="C135" s="3">
        <v>1.0</v>
      </c>
      <c r="D135" s="3">
        <v>2018.0</v>
      </c>
      <c r="E135" s="3" t="s">
        <v>65</v>
      </c>
      <c r="F135" s="3" t="s">
        <v>192</v>
      </c>
      <c r="G135" s="3">
        <v>750.0</v>
      </c>
    </row>
    <row r="136">
      <c r="A136" s="3" t="s">
        <v>189</v>
      </c>
      <c r="B136" s="3">
        <v>1.0</v>
      </c>
      <c r="C136" s="3">
        <v>1.0</v>
      </c>
      <c r="D136" s="3">
        <v>2018.0</v>
      </c>
      <c r="E136" s="3" t="s">
        <v>46</v>
      </c>
      <c r="F136" s="3" t="s">
        <v>104</v>
      </c>
      <c r="G136" s="3">
        <v>750.0</v>
      </c>
    </row>
    <row r="137">
      <c r="A137" s="3" t="s">
        <v>189</v>
      </c>
      <c r="B137" s="3">
        <v>2.0</v>
      </c>
      <c r="C137" s="3">
        <v>1.0</v>
      </c>
      <c r="D137" s="3">
        <v>2018.0</v>
      </c>
      <c r="E137" s="3" t="s">
        <v>175</v>
      </c>
      <c r="F137" s="3" t="s">
        <v>193</v>
      </c>
      <c r="G137" s="3">
        <v>750.0</v>
      </c>
    </row>
    <row r="138">
      <c r="A138" s="3" t="s">
        <v>189</v>
      </c>
      <c r="B138" s="3">
        <v>1.0</v>
      </c>
      <c r="C138" s="3">
        <v>6.0</v>
      </c>
      <c r="D138" s="3">
        <v>2018.0</v>
      </c>
      <c r="E138" s="3" t="s">
        <v>10</v>
      </c>
      <c r="F138" s="3" t="s">
        <v>183</v>
      </c>
      <c r="G138" s="3">
        <v>750.0</v>
      </c>
    </row>
    <row r="139">
      <c r="A139" s="3" t="s">
        <v>189</v>
      </c>
      <c r="B139" s="3">
        <v>1.0</v>
      </c>
      <c r="C139" s="3">
        <v>1.0</v>
      </c>
      <c r="D139" s="3">
        <v>2018.0</v>
      </c>
      <c r="E139" s="3" t="s">
        <v>131</v>
      </c>
      <c r="F139" s="3" t="s">
        <v>35</v>
      </c>
      <c r="G139" s="3">
        <v>750.0</v>
      </c>
    </row>
    <row r="140">
      <c r="A140" s="3" t="s">
        <v>189</v>
      </c>
      <c r="B140" s="3">
        <v>2.0</v>
      </c>
      <c r="C140" s="3">
        <v>1.0</v>
      </c>
      <c r="D140" s="3">
        <v>2018.0</v>
      </c>
      <c r="E140" s="3" t="s">
        <v>69</v>
      </c>
      <c r="F140" s="3" t="s">
        <v>35</v>
      </c>
      <c r="G140" s="3">
        <v>750.0</v>
      </c>
    </row>
    <row r="141">
      <c r="A141" s="3" t="s">
        <v>189</v>
      </c>
      <c r="B141" s="3">
        <v>2.0</v>
      </c>
      <c r="C141" s="3">
        <v>1.0</v>
      </c>
      <c r="D141" s="3">
        <v>2018.0</v>
      </c>
      <c r="E141" s="3" t="s">
        <v>69</v>
      </c>
      <c r="F141" s="3" t="s">
        <v>194</v>
      </c>
      <c r="G141" s="3">
        <v>750.0</v>
      </c>
    </row>
    <row r="142">
      <c r="A142" s="3" t="s">
        <v>189</v>
      </c>
      <c r="B142" s="3">
        <v>2.0</v>
      </c>
      <c r="C142" s="3">
        <v>1.0</v>
      </c>
      <c r="D142" s="3">
        <v>2018.0</v>
      </c>
      <c r="E142" s="3" t="s">
        <v>86</v>
      </c>
      <c r="F142" s="3" t="s">
        <v>194</v>
      </c>
      <c r="G142" s="3">
        <v>750.0</v>
      </c>
    </row>
    <row r="143">
      <c r="A143" s="3" t="s">
        <v>189</v>
      </c>
      <c r="B143" s="3">
        <v>4.0</v>
      </c>
      <c r="C143" s="3">
        <v>1.0</v>
      </c>
      <c r="D143" s="3">
        <v>2018.0</v>
      </c>
      <c r="E143" s="3" t="s">
        <v>23</v>
      </c>
      <c r="F143" s="3" t="s">
        <v>195</v>
      </c>
      <c r="G143" s="3">
        <v>750.0</v>
      </c>
    </row>
    <row r="144">
      <c r="A144" s="3" t="s">
        <v>189</v>
      </c>
      <c r="B144" s="3">
        <v>2.0</v>
      </c>
      <c r="C144" s="3">
        <v>1.0</v>
      </c>
      <c r="D144" s="3">
        <v>2018.0</v>
      </c>
      <c r="E144" s="3" t="s">
        <v>196</v>
      </c>
      <c r="F144" s="3" t="s">
        <v>181</v>
      </c>
      <c r="G144" s="3">
        <v>750.0</v>
      </c>
    </row>
    <row r="145">
      <c r="A145" s="3" t="s">
        <v>189</v>
      </c>
      <c r="B145" s="3">
        <v>2.0</v>
      </c>
      <c r="C145" s="3">
        <v>1.0</v>
      </c>
      <c r="D145" s="3">
        <v>2018.0</v>
      </c>
      <c r="E145" s="3" t="s">
        <v>129</v>
      </c>
      <c r="F145" s="3" t="s">
        <v>39</v>
      </c>
      <c r="G145" s="3">
        <v>750.0</v>
      </c>
    </row>
    <row r="146">
      <c r="A146" s="3" t="s">
        <v>189</v>
      </c>
      <c r="B146" s="3">
        <v>2.0</v>
      </c>
      <c r="C146" s="3">
        <v>1.0</v>
      </c>
      <c r="D146" s="3">
        <v>2018.0</v>
      </c>
      <c r="E146" s="3" t="s">
        <v>197</v>
      </c>
      <c r="F146" s="3" t="s">
        <v>109</v>
      </c>
      <c r="G146" s="3">
        <v>750.0</v>
      </c>
    </row>
    <row r="147">
      <c r="A147" s="3" t="s">
        <v>189</v>
      </c>
      <c r="B147" s="3">
        <v>2.0</v>
      </c>
      <c r="C147" s="3">
        <v>4.0</v>
      </c>
      <c r="D147" s="3">
        <v>2018.0</v>
      </c>
      <c r="E147" s="3" t="s">
        <v>10</v>
      </c>
      <c r="F147" s="3" t="s">
        <v>39</v>
      </c>
      <c r="G147" s="3">
        <v>750.0</v>
      </c>
    </row>
    <row r="148">
      <c r="A148" s="3" t="s">
        <v>189</v>
      </c>
      <c r="B148" s="3">
        <v>3.0</v>
      </c>
      <c r="C148" s="3">
        <v>2.0</v>
      </c>
      <c r="D148" s="3">
        <v>2019.0</v>
      </c>
      <c r="E148" s="3" t="s">
        <v>198</v>
      </c>
      <c r="F148" s="3" t="s">
        <v>199</v>
      </c>
      <c r="G148" s="3">
        <v>750.0</v>
      </c>
    </row>
    <row r="149">
      <c r="A149" s="3" t="s">
        <v>189</v>
      </c>
      <c r="B149" s="3">
        <v>3.0</v>
      </c>
      <c r="C149" s="3">
        <v>3.0</v>
      </c>
      <c r="D149" s="3">
        <v>2019.0</v>
      </c>
      <c r="E149" s="3" t="s">
        <v>198</v>
      </c>
      <c r="F149" s="3" t="s">
        <v>200</v>
      </c>
      <c r="G149" s="3">
        <v>750.0</v>
      </c>
    </row>
    <row r="150">
      <c r="A150" s="3" t="s">
        <v>189</v>
      </c>
      <c r="B150" s="3">
        <v>3.0</v>
      </c>
      <c r="C150" s="3">
        <v>1.0</v>
      </c>
      <c r="D150" s="3">
        <v>2019.0</v>
      </c>
      <c r="E150" s="3" t="s">
        <v>198</v>
      </c>
      <c r="F150" s="3" t="s">
        <v>35</v>
      </c>
      <c r="G150" s="3">
        <v>750.0</v>
      </c>
    </row>
    <row r="151">
      <c r="A151" s="3" t="s">
        <v>189</v>
      </c>
      <c r="B151" s="3">
        <v>3.0</v>
      </c>
      <c r="C151" s="3">
        <v>1.0</v>
      </c>
      <c r="D151" s="3">
        <v>2019.0</v>
      </c>
      <c r="E151" s="3" t="s">
        <v>201</v>
      </c>
      <c r="F151" s="3" t="s">
        <v>202</v>
      </c>
      <c r="G151" s="3">
        <v>750.0</v>
      </c>
    </row>
    <row r="152">
      <c r="A152" s="3" t="s">
        <v>189</v>
      </c>
      <c r="B152" s="3">
        <v>3.0</v>
      </c>
      <c r="C152" s="3">
        <v>2.0</v>
      </c>
      <c r="D152" s="3">
        <v>2019.0</v>
      </c>
      <c r="E152" s="3" t="s">
        <v>10</v>
      </c>
      <c r="F152" s="3" t="s">
        <v>104</v>
      </c>
      <c r="G152" s="3">
        <v>750.0</v>
      </c>
    </row>
    <row r="153">
      <c r="A153" s="3" t="s">
        <v>189</v>
      </c>
      <c r="B153" s="3">
        <v>3.0</v>
      </c>
      <c r="C153" s="3">
        <v>1.0</v>
      </c>
      <c r="D153" s="3">
        <v>2019.0</v>
      </c>
      <c r="E153" s="3" t="s">
        <v>129</v>
      </c>
      <c r="F153" s="3" t="s">
        <v>39</v>
      </c>
      <c r="G153" s="3">
        <v>750.0</v>
      </c>
    </row>
    <row r="154">
      <c r="A154" s="3" t="s">
        <v>189</v>
      </c>
      <c r="B154" s="3">
        <v>3.0</v>
      </c>
      <c r="C154" s="3">
        <v>2.0</v>
      </c>
      <c r="D154" s="3">
        <v>2018.0</v>
      </c>
      <c r="E154" s="3" t="s">
        <v>10</v>
      </c>
      <c r="F154" s="3" t="s">
        <v>203</v>
      </c>
      <c r="G154" s="3">
        <v>750.0</v>
      </c>
    </row>
    <row r="155">
      <c r="A155" s="3" t="s">
        <v>189</v>
      </c>
      <c r="B155" s="3">
        <v>1.0</v>
      </c>
      <c r="C155" s="3">
        <v>1.0</v>
      </c>
      <c r="D155" s="3">
        <v>2019.0</v>
      </c>
      <c r="E155" s="3" t="s">
        <v>73</v>
      </c>
      <c r="F155" s="3" t="s">
        <v>74</v>
      </c>
      <c r="G155" s="3">
        <v>750.0</v>
      </c>
    </row>
    <row r="156">
      <c r="A156" s="3" t="s">
        <v>189</v>
      </c>
      <c r="B156" s="3">
        <v>4.0</v>
      </c>
      <c r="C156" s="3">
        <v>1.0</v>
      </c>
      <c r="D156" s="3">
        <v>2019.0</v>
      </c>
      <c r="E156" s="3" t="s">
        <v>23</v>
      </c>
      <c r="F156" s="3" t="s">
        <v>58</v>
      </c>
      <c r="G156" s="3">
        <v>750.0</v>
      </c>
    </row>
    <row r="157">
      <c r="A157" s="3" t="s">
        <v>189</v>
      </c>
      <c r="B157" s="3">
        <v>5.0</v>
      </c>
      <c r="C157" s="3">
        <v>1.0</v>
      </c>
      <c r="D157" s="3">
        <v>2019.0</v>
      </c>
      <c r="E157" s="3" t="s">
        <v>131</v>
      </c>
      <c r="F157" s="3" t="s">
        <v>35</v>
      </c>
      <c r="G157" s="3">
        <v>750.0</v>
      </c>
    </row>
    <row r="158">
      <c r="A158" s="3" t="s">
        <v>189</v>
      </c>
      <c r="B158" s="3">
        <v>4.0</v>
      </c>
      <c r="C158" s="3">
        <v>2.0</v>
      </c>
      <c r="D158" s="3">
        <v>2020.0</v>
      </c>
      <c r="E158" s="3" t="s">
        <v>198</v>
      </c>
      <c r="F158" s="3" t="s">
        <v>39</v>
      </c>
      <c r="G158" s="3">
        <v>750.0</v>
      </c>
    </row>
    <row r="159">
      <c r="A159" s="3" t="s">
        <v>189</v>
      </c>
      <c r="B159" s="3">
        <v>4.0</v>
      </c>
      <c r="C159" s="3">
        <v>2.0</v>
      </c>
      <c r="D159" s="3">
        <v>2020.0</v>
      </c>
      <c r="E159" s="3" t="s">
        <v>198</v>
      </c>
      <c r="F159" s="3" t="s">
        <v>35</v>
      </c>
      <c r="G159" s="3">
        <v>750.0</v>
      </c>
    </row>
    <row r="160">
      <c r="A160" s="3" t="s">
        <v>189</v>
      </c>
      <c r="B160" s="3">
        <v>4.0</v>
      </c>
      <c r="C160" s="3">
        <v>1.0</v>
      </c>
      <c r="D160" s="3">
        <v>2021.0</v>
      </c>
      <c r="E160" s="3" t="s">
        <v>198</v>
      </c>
      <c r="F160" s="3" t="s">
        <v>204</v>
      </c>
      <c r="G160" s="3">
        <v>750.0</v>
      </c>
    </row>
    <row r="161">
      <c r="A161" s="3" t="s">
        <v>189</v>
      </c>
      <c r="B161" s="3">
        <v>4.0</v>
      </c>
      <c r="C161" s="3">
        <v>1.0</v>
      </c>
      <c r="D161" s="3">
        <v>2018.0</v>
      </c>
      <c r="E161" s="3" t="s">
        <v>10</v>
      </c>
      <c r="F161" s="3" t="s">
        <v>181</v>
      </c>
      <c r="G161" s="3">
        <v>750.0</v>
      </c>
    </row>
    <row r="162">
      <c r="A162" s="3" t="s">
        <v>189</v>
      </c>
      <c r="B162" s="3">
        <v>5.0</v>
      </c>
      <c r="C162" s="3">
        <v>1.0</v>
      </c>
      <c r="D162" s="3">
        <v>2016.0</v>
      </c>
      <c r="E162" s="3" t="s">
        <v>197</v>
      </c>
      <c r="F162" s="3" t="s">
        <v>205</v>
      </c>
      <c r="G162" s="3">
        <v>750.0</v>
      </c>
    </row>
    <row r="163">
      <c r="A163" s="3" t="s">
        <v>189</v>
      </c>
      <c r="B163" s="3">
        <v>5.0</v>
      </c>
      <c r="C163" s="3">
        <v>1.0</v>
      </c>
      <c r="D163" s="3">
        <v>2016.0</v>
      </c>
      <c r="E163" s="3" t="s">
        <v>86</v>
      </c>
      <c r="F163" s="3" t="s">
        <v>35</v>
      </c>
      <c r="G163" s="3">
        <v>750.0</v>
      </c>
    </row>
    <row r="164">
      <c r="A164" s="3" t="s">
        <v>189</v>
      </c>
      <c r="B164" s="3">
        <v>5.0</v>
      </c>
      <c r="C164" s="3">
        <v>1.0</v>
      </c>
      <c r="D164" s="3">
        <v>2016.0</v>
      </c>
      <c r="E164" s="3" t="s">
        <v>206</v>
      </c>
      <c r="F164" s="3" t="s">
        <v>39</v>
      </c>
      <c r="G164" s="3">
        <v>750.0</v>
      </c>
    </row>
    <row r="165">
      <c r="A165" s="3" t="s">
        <v>189</v>
      </c>
      <c r="B165" s="3">
        <v>5.0</v>
      </c>
      <c r="C165" s="3">
        <v>1.0</v>
      </c>
      <c r="D165" s="3">
        <v>2016.0</v>
      </c>
      <c r="E165" s="3" t="s">
        <v>65</v>
      </c>
      <c r="F165" s="3" t="s">
        <v>207</v>
      </c>
      <c r="G165" s="3">
        <v>750.0</v>
      </c>
    </row>
    <row r="166">
      <c r="A166" s="3" t="s">
        <v>189</v>
      </c>
      <c r="B166" s="3">
        <v>5.0</v>
      </c>
      <c r="C166" s="3">
        <v>1.0</v>
      </c>
      <c r="D166" s="3">
        <v>2016.0</v>
      </c>
      <c r="E166" s="3" t="s">
        <v>197</v>
      </c>
      <c r="F166" s="3" t="s">
        <v>199</v>
      </c>
      <c r="G166" s="3">
        <v>750.0</v>
      </c>
    </row>
    <row r="167">
      <c r="A167" s="3" t="s">
        <v>189</v>
      </c>
      <c r="B167" s="3">
        <v>5.0</v>
      </c>
      <c r="C167" s="3">
        <v>1.0</v>
      </c>
      <c r="D167" s="3">
        <v>2016.0</v>
      </c>
      <c r="E167" s="3" t="s">
        <v>10</v>
      </c>
      <c r="F167" s="3" t="s">
        <v>208</v>
      </c>
      <c r="G167" s="3">
        <v>750.0</v>
      </c>
    </row>
    <row r="168">
      <c r="A168" s="3" t="s">
        <v>189</v>
      </c>
      <c r="B168" s="3">
        <v>5.0</v>
      </c>
      <c r="C168" s="3">
        <v>1.0</v>
      </c>
      <c r="D168" s="3">
        <v>2016.0</v>
      </c>
      <c r="E168" s="3" t="s">
        <v>209</v>
      </c>
      <c r="F168" s="3" t="s">
        <v>210</v>
      </c>
      <c r="G168" s="3">
        <v>750.0</v>
      </c>
    </row>
    <row r="169">
      <c r="A169" s="3" t="s">
        <v>189</v>
      </c>
      <c r="B169" s="3">
        <v>5.0</v>
      </c>
      <c r="C169" s="3">
        <v>1.0</v>
      </c>
      <c r="D169" s="3">
        <v>2021.0</v>
      </c>
      <c r="E169" s="3" t="s">
        <v>10</v>
      </c>
      <c r="F169" s="3" t="s">
        <v>211</v>
      </c>
      <c r="G169" s="3">
        <v>750.0</v>
      </c>
    </row>
    <row r="170">
      <c r="A170" s="3" t="s">
        <v>189</v>
      </c>
      <c r="B170" s="3">
        <v>5.0</v>
      </c>
      <c r="C170" s="3">
        <v>1.0</v>
      </c>
      <c r="D170" s="3">
        <v>2021.0</v>
      </c>
      <c r="E170" s="3" t="s">
        <v>212</v>
      </c>
      <c r="F170" s="3" t="s">
        <v>213</v>
      </c>
      <c r="G170" s="3">
        <v>750.0</v>
      </c>
    </row>
    <row r="171">
      <c r="A171" s="3" t="s">
        <v>189</v>
      </c>
      <c r="B171" s="3">
        <v>4.0</v>
      </c>
      <c r="C171" s="3">
        <v>2.0</v>
      </c>
      <c r="D171" s="3">
        <v>2018.0</v>
      </c>
      <c r="E171" s="3" t="s">
        <v>10</v>
      </c>
      <c r="F171" s="3" t="s">
        <v>163</v>
      </c>
      <c r="G171" s="3">
        <v>375.0</v>
      </c>
    </row>
    <row r="172">
      <c r="A172" s="3" t="s">
        <v>189</v>
      </c>
      <c r="B172" s="3">
        <v>5.0</v>
      </c>
      <c r="C172" s="3">
        <v>1.0</v>
      </c>
      <c r="D172" s="3">
        <v>2018.0</v>
      </c>
      <c r="E172" s="3" t="s">
        <v>10</v>
      </c>
      <c r="F172" s="3" t="s">
        <v>163</v>
      </c>
      <c r="G172" s="3">
        <v>375.0</v>
      </c>
    </row>
    <row r="173">
      <c r="A173" s="3" t="s">
        <v>189</v>
      </c>
      <c r="B173" s="3">
        <v>10.0</v>
      </c>
      <c r="C173" s="3">
        <v>1.0</v>
      </c>
      <c r="D173" s="3" t="s">
        <v>24</v>
      </c>
      <c r="E173" s="3" t="s">
        <v>28</v>
      </c>
      <c r="F173" s="3" t="s">
        <v>214</v>
      </c>
      <c r="G173" s="3">
        <v>1500.0</v>
      </c>
    </row>
    <row r="174">
      <c r="A174" s="3" t="s">
        <v>189</v>
      </c>
      <c r="B174" s="3">
        <v>17.0</v>
      </c>
      <c r="C174" s="3">
        <v>1.0</v>
      </c>
      <c r="D174" s="3">
        <v>2014.0</v>
      </c>
      <c r="E174" s="3" t="s">
        <v>86</v>
      </c>
      <c r="F174" s="3" t="s">
        <v>215</v>
      </c>
      <c r="G174" s="3">
        <v>1500.0</v>
      </c>
    </row>
    <row r="175">
      <c r="A175" s="3" t="s">
        <v>189</v>
      </c>
      <c r="B175" s="3">
        <v>14.0</v>
      </c>
      <c r="C175" s="3">
        <v>1.0</v>
      </c>
      <c r="D175" s="3">
        <v>2019.0</v>
      </c>
      <c r="E175" s="3" t="s">
        <v>198</v>
      </c>
      <c r="F175" s="3" t="s">
        <v>216</v>
      </c>
      <c r="G175" s="3">
        <v>1500.0</v>
      </c>
    </row>
    <row r="176">
      <c r="A176" s="3" t="s">
        <v>189</v>
      </c>
      <c r="B176" s="3">
        <v>15.0</v>
      </c>
      <c r="C176" s="3">
        <v>1.0</v>
      </c>
      <c r="D176" s="3">
        <v>2018.0</v>
      </c>
      <c r="E176" s="3" t="s">
        <v>217</v>
      </c>
      <c r="F176" s="3" t="s">
        <v>218</v>
      </c>
      <c r="G176" s="3">
        <v>1500.0</v>
      </c>
    </row>
    <row r="177">
      <c r="A177" s="3" t="s">
        <v>189</v>
      </c>
      <c r="B177" s="3">
        <v>12.0</v>
      </c>
      <c r="C177" s="3">
        <v>1.0</v>
      </c>
      <c r="D177" s="3">
        <v>2014.0</v>
      </c>
      <c r="E177" s="3" t="s">
        <v>23</v>
      </c>
      <c r="F177" s="3" t="s">
        <v>219</v>
      </c>
      <c r="G177" s="3">
        <v>1500.0</v>
      </c>
    </row>
    <row r="178">
      <c r="A178" s="3" t="s">
        <v>189</v>
      </c>
      <c r="B178" s="3">
        <v>17.0</v>
      </c>
      <c r="C178" s="3">
        <v>1.0</v>
      </c>
      <c r="D178" s="3">
        <v>2018.0</v>
      </c>
      <c r="E178" s="3" t="s">
        <v>129</v>
      </c>
      <c r="F178" s="3" t="s">
        <v>9</v>
      </c>
      <c r="G178" s="3">
        <v>1500.0</v>
      </c>
    </row>
    <row r="179">
      <c r="A179" s="3" t="s">
        <v>189</v>
      </c>
      <c r="B179" s="3">
        <v>15.0</v>
      </c>
      <c r="C179" s="3">
        <v>1.0</v>
      </c>
      <c r="D179" s="3">
        <v>2015.0</v>
      </c>
      <c r="E179" s="3" t="s">
        <v>220</v>
      </c>
      <c r="F179" s="3" t="s">
        <v>221</v>
      </c>
      <c r="G179" s="3">
        <v>1500.0</v>
      </c>
    </row>
    <row r="180">
      <c r="A180" s="3" t="s">
        <v>189</v>
      </c>
      <c r="B180" s="3">
        <v>13.0</v>
      </c>
      <c r="C180" s="3">
        <v>1.0</v>
      </c>
      <c r="D180" s="3">
        <v>2015.0</v>
      </c>
      <c r="E180" s="3" t="s">
        <v>222</v>
      </c>
      <c r="F180" s="3" t="s">
        <v>223</v>
      </c>
      <c r="G180" s="3">
        <v>1500.0</v>
      </c>
    </row>
    <row r="181">
      <c r="A181" s="3" t="s">
        <v>189</v>
      </c>
      <c r="B181" s="3">
        <v>15.0</v>
      </c>
      <c r="C181" s="3">
        <v>1.0</v>
      </c>
      <c r="D181" s="3">
        <v>2016.0</v>
      </c>
      <c r="E181" s="3" t="s">
        <v>224</v>
      </c>
      <c r="F181" s="3" t="s">
        <v>225</v>
      </c>
      <c r="G181" s="3">
        <v>1500.0</v>
      </c>
    </row>
    <row r="182">
      <c r="A182" s="3" t="s">
        <v>189</v>
      </c>
      <c r="B182" s="3">
        <v>9.0</v>
      </c>
      <c r="C182" s="3">
        <v>1.0</v>
      </c>
      <c r="D182" s="3">
        <v>2019.0</v>
      </c>
      <c r="E182" s="3" t="s">
        <v>226</v>
      </c>
      <c r="F182" s="3" t="s">
        <v>185</v>
      </c>
      <c r="G182" s="3">
        <v>1500.0</v>
      </c>
    </row>
    <row r="183">
      <c r="A183" s="3" t="s">
        <v>189</v>
      </c>
      <c r="B183" s="3">
        <v>18.0</v>
      </c>
      <c r="C183" s="3">
        <v>1.0</v>
      </c>
      <c r="D183" s="3">
        <v>2016.0</v>
      </c>
      <c r="E183" s="3" t="s">
        <v>227</v>
      </c>
      <c r="F183" s="3" t="s">
        <v>181</v>
      </c>
      <c r="G183" s="3">
        <v>1500.0</v>
      </c>
    </row>
    <row r="184">
      <c r="A184" s="3" t="s">
        <v>189</v>
      </c>
      <c r="B184" s="3">
        <v>16.0</v>
      </c>
      <c r="C184" s="3">
        <v>1.0</v>
      </c>
      <c r="D184" s="3">
        <v>2017.0</v>
      </c>
      <c r="E184" s="3" t="s">
        <v>23</v>
      </c>
      <c r="F184" s="3" t="s">
        <v>228</v>
      </c>
      <c r="G184" s="3">
        <v>1500.0</v>
      </c>
    </row>
    <row r="185">
      <c r="A185" s="3" t="s">
        <v>189</v>
      </c>
      <c r="B185" s="3">
        <v>18.0</v>
      </c>
      <c r="C185" s="3">
        <v>1.0</v>
      </c>
      <c r="D185" s="3">
        <v>2016.0</v>
      </c>
      <c r="E185" s="3" t="s">
        <v>23</v>
      </c>
      <c r="F185" s="3" t="s">
        <v>229</v>
      </c>
      <c r="G185" s="3">
        <v>1500.0</v>
      </c>
    </row>
    <row r="186">
      <c r="A186" s="3" t="s">
        <v>189</v>
      </c>
      <c r="B186" s="3">
        <v>18.0</v>
      </c>
      <c r="C186" s="3">
        <v>1.0</v>
      </c>
      <c r="D186" s="3">
        <v>2019.0</v>
      </c>
      <c r="E186" s="3" t="s">
        <v>230</v>
      </c>
      <c r="F186" s="3" t="s">
        <v>231</v>
      </c>
      <c r="G186" s="3">
        <v>1500.0</v>
      </c>
    </row>
    <row r="187">
      <c r="A187" s="3" t="s">
        <v>189</v>
      </c>
      <c r="B187" s="3">
        <v>16.0</v>
      </c>
      <c r="C187" s="3">
        <v>1.0</v>
      </c>
      <c r="D187" s="3">
        <v>2021.0</v>
      </c>
      <c r="E187" s="3" t="s">
        <v>198</v>
      </c>
      <c r="F187" s="3" t="s">
        <v>232</v>
      </c>
      <c r="G187" s="3">
        <v>1500.0</v>
      </c>
    </row>
    <row r="188">
      <c r="A188" s="3" t="s">
        <v>189</v>
      </c>
      <c r="B188" s="3">
        <v>14.0</v>
      </c>
      <c r="C188" s="3">
        <v>1.0</v>
      </c>
      <c r="D188" s="3">
        <v>2021.0</v>
      </c>
      <c r="E188" s="3" t="s">
        <v>198</v>
      </c>
      <c r="F188" s="3" t="s">
        <v>216</v>
      </c>
      <c r="G188" s="3">
        <v>1500.0</v>
      </c>
    </row>
    <row r="189">
      <c r="A189" s="3" t="s">
        <v>189</v>
      </c>
      <c r="B189" s="3">
        <v>13.0</v>
      </c>
      <c r="C189" s="3">
        <v>1.0</v>
      </c>
      <c r="D189" s="3">
        <v>2018.0</v>
      </c>
      <c r="E189" s="3" t="s">
        <v>233</v>
      </c>
      <c r="F189" s="3" t="s">
        <v>216</v>
      </c>
      <c r="G189" s="3">
        <v>1500.0</v>
      </c>
    </row>
    <row r="190">
      <c r="A190" s="3" t="s">
        <v>189</v>
      </c>
      <c r="B190" s="3">
        <v>14.0</v>
      </c>
      <c r="C190" s="3">
        <v>1.0</v>
      </c>
      <c r="D190" s="3">
        <v>2019.0</v>
      </c>
      <c r="E190" s="3" t="s">
        <v>198</v>
      </c>
      <c r="F190" s="3" t="s">
        <v>234</v>
      </c>
      <c r="G190" s="3">
        <v>1500.0</v>
      </c>
    </row>
    <row r="191">
      <c r="A191" s="3" t="s">
        <v>189</v>
      </c>
      <c r="B191" s="3">
        <v>13.0</v>
      </c>
      <c r="C191" s="3">
        <v>1.0</v>
      </c>
      <c r="D191" s="3">
        <v>2015.0</v>
      </c>
      <c r="E191" s="3" t="s">
        <v>222</v>
      </c>
      <c r="F191" s="3" t="s">
        <v>181</v>
      </c>
      <c r="G191" s="3">
        <v>1500.0</v>
      </c>
    </row>
    <row r="192">
      <c r="A192" s="3" t="s">
        <v>189</v>
      </c>
      <c r="B192" s="3">
        <v>10.0</v>
      </c>
      <c r="C192" s="3">
        <v>1.0</v>
      </c>
      <c r="D192" s="3">
        <v>2021.0</v>
      </c>
      <c r="E192" s="3" t="s">
        <v>235</v>
      </c>
      <c r="F192" s="3" t="s">
        <v>236</v>
      </c>
      <c r="G192" s="3">
        <v>1500.0</v>
      </c>
    </row>
    <row r="193">
      <c r="A193" s="3" t="s">
        <v>189</v>
      </c>
      <c r="B193" s="3">
        <v>12.0</v>
      </c>
      <c r="C193" s="3">
        <v>1.0</v>
      </c>
      <c r="D193" s="3">
        <v>2019.0</v>
      </c>
      <c r="E193" s="3" t="s">
        <v>23</v>
      </c>
      <c r="F193" s="3" t="s">
        <v>58</v>
      </c>
      <c r="G193" s="3">
        <v>1500.0</v>
      </c>
    </row>
    <row r="194">
      <c r="A194" s="3" t="s">
        <v>189</v>
      </c>
      <c r="B194" s="3">
        <v>12.0</v>
      </c>
      <c r="C194" s="3">
        <v>1.0</v>
      </c>
      <c r="D194" s="3">
        <v>2016.0</v>
      </c>
      <c r="E194" s="3" t="s">
        <v>69</v>
      </c>
      <c r="F194" s="3" t="s">
        <v>237</v>
      </c>
      <c r="G194" s="3">
        <v>1500.0</v>
      </c>
    </row>
    <row r="195">
      <c r="A195" s="3" t="s">
        <v>189</v>
      </c>
      <c r="B195" s="3">
        <v>17.0</v>
      </c>
      <c r="C195" s="3">
        <v>1.0</v>
      </c>
      <c r="D195" s="3">
        <v>2019.0</v>
      </c>
      <c r="E195" s="3" t="s">
        <v>233</v>
      </c>
      <c r="F195" s="3" t="s">
        <v>238</v>
      </c>
      <c r="G195" s="3">
        <v>1500.0</v>
      </c>
    </row>
    <row r="196">
      <c r="A196" s="3" t="s">
        <v>189</v>
      </c>
      <c r="B196" s="3">
        <v>11.0</v>
      </c>
      <c r="C196" s="3">
        <v>1.0</v>
      </c>
      <c r="D196" s="3">
        <v>2016.0</v>
      </c>
      <c r="E196" s="3" t="s">
        <v>239</v>
      </c>
      <c r="F196" s="3" t="s">
        <v>39</v>
      </c>
      <c r="G196" s="3">
        <v>1500.0</v>
      </c>
    </row>
    <row r="197">
      <c r="A197" s="3" t="s">
        <v>189</v>
      </c>
      <c r="B197" s="3">
        <v>11.0</v>
      </c>
      <c r="C197" s="3">
        <v>1.0</v>
      </c>
      <c r="D197" s="3">
        <v>2019.0</v>
      </c>
      <c r="E197" s="3" t="s">
        <v>233</v>
      </c>
      <c r="F197" s="3" t="s">
        <v>39</v>
      </c>
      <c r="G197" s="3">
        <v>1500.0</v>
      </c>
    </row>
    <row r="198">
      <c r="A198" s="3" t="s">
        <v>189</v>
      </c>
      <c r="B198" s="3">
        <v>16.0</v>
      </c>
      <c r="C198" s="3">
        <v>1.0</v>
      </c>
      <c r="D198" s="3">
        <v>2017.0</v>
      </c>
      <c r="E198" s="3" t="s">
        <v>198</v>
      </c>
      <c r="F198" s="3" t="s">
        <v>216</v>
      </c>
      <c r="G198" s="3">
        <v>1500.0</v>
      </c>
    </row>
    <row r="199">
      <c r="A199" s="3" t="s">
        <v>189</v>
      </c>
      <c r="B199" s="3">
        <v>11.0</v>
      </c>
      <c r="C199" s="3">
        <v>1.0</v>
      </c>
      <c r="D199" s="3">
        <v>2019.0</v>
      </c>
      <c r="E199" s="3" t="s">
        <v>240</v>
      </c>
      <c r="F199" s="3" t="s">
        <v>241</v>
      </c>
      <c r="G199" s="3">
        <v>1500.0</v>
      </c>
    </row>
    <row r="200">
      <c r="A200" s="3" t="s">
        <v>189</v>
      </c>
      <c r="B200" s="3">
        <v>9.0</v>
      </c>
      <c r="C200" s="3">
        <v>1.0</v>
      </c>
      <c r="D200" s="3" t="s">
        <v>24</v>
      </c>
      <c r="E200" s="3" t="s">
        <v>242</v>
      </c>
      <c r="F200" s="3" t="s">
        <v>243</v>
      </c>
      <c r="G200" s="3">
        <v>1500.0</v>
      </c>
    </row>
    <row r="201">
      <c r="A201" s="3" t="s">
        <v>189</v>
      </c>
      <c r="B201" s="3">
        <v>9.0</v>
      </c>
      <c r="C201" s="3">
        <v>1.0</v>
      </c>
      <c r="D201" s="3">
        <v>2020.0</v>
      </c>
      <c r="E201" s="3" t="s">
        <v>32</v>
      </c>
      <c r="F201" s="3" t="s">
        <v>244</v>
      </c>
      <c r="G201" s="3">
        <v>1500.0</v>
      </c>
    </row>
    <row r="202">
      <c r="A202" s="3" t="s">
        <v>189</v>
      </c>
      <c r="B202" s="3">
        <v>10.0</v>
      </c>
      <c r="C202" s="3">
        <v>1.0</v>
      </c>
      <c r="D202" s="3">
        <v>2019.0</v>
      </c>
      <c r="E202" s="3" t="s">
        <v>226</v>
      </c>
      <c r="F202" s="3" t="s">
        <v>185</v>
      </c>
      <c r="G202" s="3">
        <v>1500.0</v>
      </c>
    </row>
    <row r="203">
      <c r="A203" s="3" t="s">
        <v>189</v>
      </c>
      <c r="C203" s="3">
        <v>1.0</v>
      </c>
      <c r="D203" s="3">
        <v>2018.0</v>
      </c>
      <c r="E203" s="3" t="s">
        <v>198</v>
      </c>
      <c r="F203" s="3" t="s">
        <v>245</v>
      </c>
      <c r="G203" s="3">
        <v>3000.0</v>
      </c>
    </row>
    <row r="204">
      <c r="A204" s="3" t="s">
        <v>189</v>
      </c>
      <c r="C204" s="3">
        <v>1.0</v>
      </c>
      <c r="D204" s="3">
        <v>2018.0</v>
      </c>
      <c r="E204" s="3" t="s">
        <v>197</v>
      </c>
      <c r="F204" s="3" t="s">
        <v>83</v>
      </c>
      <c r="G204" s="3">
        <v>3000.0</v>
      </c>
    </row>
    <row r="205">
      <c r="A205" s="3" t="s">
        <v>189</v>
      </c>
      <c r="C205" s="3">
        <v>1.0</v>
      </c>
      <c r="D205" s="3">
        <v>2022.0</v>
      </c>
      <c r="E205" s="3" t="s">
        <v>198</v>
      </c>
      <c r="F205" s="3" t="s">
        <v>246</v>
      </c>
      <c r="G205" s="3">
        <v>3000.0</v>
      </c>
    </row>
    <row r="206">
      <c r="A206" s="3" t="s">
        <v>189</v>
      </c>
      <c r="C206" s="3">
        <v>1.0</v>
      </c>
      <c r="D206" s="3">
        <v>2021.0</v>
      </c>
      <c r="E206" s="3" t="s">
        <v>198</v>
      </c>
      <c r="F206" s="3" t="s">
        <v>246</v>
      </c>
      <c r="G206" s="3">
        <v>3000.0</v>
      </c>
    </row>
    <row r="207">
      <c r="A207" s="3" t="s">
        <v>189</v>
      </c>
      <c r="C207" s="3">
        <v>1.0</v>
      </c>
      <c r="D207" s="3">
        <v>2022.0</v>
      </c>
      <c r="E207" s="3" t="s">
        <v>198</v>
      </c>
      <c r="F207" s="3" t="s">
        <v>245</v>
      </c>
      <c r="G207" s="3">
        <v>3000.0</v>
      </c>
    </row>
    <row r="208">
      <c r="A208" s="3" t="s">
        <v>189</v>
      </c>
      <c r="B208" s="3">
        <v>7.0</v>
      </c>
      <c r="C208" s="3">
        <v>2.0</v>
      </c>
      <c r="D208" s="3">
        <v>2020.0</v>
      </c>
      <c r="E208" s="3" t="s">
        <v>247</v>
      </c>
      <c r="F208" s="3" t="s">
        <v>248</v>
      </c>
      <c r="G208" s="3">
        <v>750.0</v>
      </c>
    </row>
    <row r="209">
      <c r="A209" s="3" t="s">
        <v>189</v>
      </c>
      <c r="B209" s="3">
        <v>7.0</v>
      </c>
      <c r="C209" s="3">
        <v>1.0</v>
      </c>
      <c r="D209" s="3">
        <v>2017.0</v>
      </c>
      <c r="E209" s="3" t="s">
        <v>247</v>
      </c>
      <c r="F209" s="3" t="s">
        <v>249</v>
      </c>
      <c r="G209" s="3">
        <v>750.0</v>
      </c>
    </row>
    <row r="210">
      <c r="A210" s="3" t="s">
        <v>189</v>
      </c>
      <c r="B210" s="3">
        <v>7.0</v>
      </c>
      <c r="C210" s="3">
        <v>1.0</v>
      </c>
      <c r="D210" s="3">
        <v>2018.0</v>
      </c>
      <c r="E210" s="3" t="s">
        <v>250</v>
      </c>
      <c r="F210" s="3" t="s">
        <v>251</v>
      </c>
      <c r="G210" s="3">
        <v>750.0</v>
      </c>
    </row>
    <row r="211">
      <c r="A211" s="3" t="s">
        <v>189</v>
      </c>
      <c r="B211" s="3">
        <v>7.0</v>
      </c>
      <c r="C211" s="3">
        <v>1.0</v>
      </c>
      <c r="D211" s="3">
        <v>2017.0</v>
      </c>
      <c r="E211" s="3" t="s">
        <v>252</v>
      </c>
      <c r="F211" s="3" t="s">
        <v>253</v>
      </c>
      <c r="G211" s="3">
        <v>750.0</v>
      </c>
    </row>
    <row r="212">
      <c r="A212" s="3" t="s">
        <v>189</v>
      </c>
      <c r="B212" s="3">
        <v>7.0</v>
      </c>
      <c r="C212" s="3">
        <v>1.0</v>
      </c>
      <c r="D212" s="3">
        <v>2018.0</v>
      </c>
      <c r="E212" s="3" t="s">
        <v>254</v>
      </c>
      <c r="F212" s="3" t="s">
        <v>255</v>
      </c>
      <c r="G212" s="3">
        <v>750.0</v>
      </c>
    </row>
    <row r="213">
      <c r="A213" s="3" t="s">
        <v>189</v>
      </c>
      <c r="B213" s="3">
        <v>7.0</v>
      </c>
      <c r="C213" s="3">
        <v>1.0</v>
      </c>
      <c r="D213" s="3">
        <v>2018.0</v>
      </c>
      <c r="E213" s="3" t="s">
        <v>75</v>
      </c>
      <c r="F213" s="3" t="s">
        <v>256</v>
      </c>
      <c r="G213" s="3">
        <v>750.0</v>
      </c>
    </row>
    <row r="214">
      <c r="A214" s="3" t="s">
        <v>189</v>
      </c>
      <c r="B214" s="3">
        <v>7.0</v>
      </c>
      <c r="C214" s="3">
        <v>1.0</v>
      </c>
      <c r="D214" s="3">
        <v>2016.0</v>
      </c>
      <c r="E214" s="3" t="s">
        <v>257</v>
      </c>
      <c r="F214" s="3" t="s">
        <v>39</v>
      </c>
      <c r="G214" s="3">
        <v>750.0</v>
      </c>
    </row>
    <row r="215">
      <c r="A215" s="3" t="s">
        <v>189</v>
      </c>
      <c r="B215" s="3">
        <v>7.0</v>
      </c>
      <c r="C215" s="3">
        <v>1.0</v>
      </c>
      <c r="D215" s="3">
        <v>2018.0</v>
      </c>
      <c r="E215" s="3" t="s">
        <v>198</v>
      </c>
      <c r="F215" s="3" t="s">
        <v>258</v>
      </c>
      <c r="G215" s="3">
        <v>750.0</v>
      </c>
    </row>
    <row r="216">
      <c r="A216" s="3" t="s">
        <v>189</v>
      </c>
      <c r="B216" s="3">
        <v>7.0</v>
      </c>
      <c r="C216" s="3">
        <v>1.0</v>
      </c>
      <c r="D216" s="3">
        <v>2018.0</v>
      </c>
      <c r="E216" s="3" t="s">
        <v>23</v>
      </c>
      <c r="F216" s="3" t="s">
        <v>259</v>
      </c>
      <c r="G216" s="3">
        <v>750.0</v>
      </c>
    </row>
    <row r="217">
      <c r="A217" s="3" t="s">
        <v>189</v>
      </c>
      <c r="B217" s="3">
        <v>8.0</v>
      </c>
      <c r="C217" s="3">
        <v>1.0</v>
      </c>
      <c r="D217" s="3">
        <v>2018.0</v>
      </c>
      <c r="E217" s="3" t="s">
        <v>260</v>
      </c>
      <c r="F217" s="3" t="s">
        <v>261</v>
      </c>
      <c r="G217" s="3">
        <v>750.0</v>
      </c>
    </row>
    <row r="218">
      <c r="A218" s="3" t="s">
        <v>189</v>
      </c>
      <c r="B218" s="3">
        <v>8.0</v>
      </c>
      <c r="C218" s="3">
        <v>1.0</v>
      </c>
      <c r="D218" s="3">
        <v>2020.0</v>
      </c>
      <c r="E218" s="3" t="s">
        <v>92</v>
      </c>
      <c r="F218" s="3" t="s">
        <v>93</v>
      </c>
      <c r="G218" s="3">
        <v>750.0</v>
      </c>
    </row>
    <row r="219">
      <c r="A219" s="3" t="s">
        <v>189</v>
      </c>
      <c r="B219" s="3">
        <v>8.0</v>
      </c>
      <c r="C219" s="3">
        <v>1.0</v>
      </c>
      <c r="D219" s="3">
        <v>2019.0</v>
      </c>
      <c r="E219" s="3" t="s">
        <v>131</v>
      </c>
      <c r="F219" s="3" t="s">
        <v>35</v>
      </c>
      <c r="G219" s="3">
        <v>750.0</v>
      </c>
    </row>
    <row r="220">
      <c r="A220" s="3" t="s">
        <v>189</v>
      </c>
      <c r="B220" s="3">
        <v>8.0</v>
      </c>
      <c r="C220" s="3">
        <v>4.0</v>
      </c>
      <c r="D220" s="3">
        <v>2018.0</v>
      </c>
      <c r="E220" s="3" t="s">
        <v>135</v>
      </c>
      <c r="F220" s="3" t="s">
        <v>262</v>
      </c>
      <c r="G220" s="3">
        <v>750.0</v>
      </c>
    </row>
    <row r="221">
      <c r="A221" s="3" t="s">
        <v>189</v>
      </c>
      <c r="B221" s="3">
        <v>8.0</v>
      </c>
      <c r="C221" s="3">
        <v>1.0</v>
      </c>
      <c r="D221" s="3">
        <v>2017.0</v>
      </c>
      <c r="E221" s="3" t="s">
        <v>263</v>
      </c>
      <c r="F221" s="3" t="s">
        <v>194</v>
      </c>
      <c r="G221" s="3">
        <v>750.0</v>
      </c>
    </row>
    <row r="222">
      <c r="A222" s="3" t="s">
        <v>189</v>
      </c>
      <c r="B222" s="3">
        <v>8.0</v>
      </c>
      <c r="C222" s="3">
        <v>1.0</v>
      </c>
      <c r="D222" s="3">
        <v>2019.0</v>
      </c>
      <c r="E222" s="3" t="s">
        <v>75</v>
      </c>
      <c r="F222" s="3" t="s">
        <v>80</v>
      </c>
      <c r="G222" s="3">
        <v>750.0</v>
      </c>
    </row>
    <row r="223">
      <c r="A223" s="3" t="s">
        <v>189</v>
      </c>
      <c r="B223" s="3">
        <v>8.0</v>
      </c>
      <c r="C223" s="3">
        <v>1.0</v>
      </c>
      <c r="D223" s="3">
        <v>2020.0</v>
      </c>
      <c r="E223" s="3" t="s">
        <v>75</v>
      </c>
      <c r="F223" s="3" t="s">
        <v>264</v>
      </c>
      <c r="G223" s="3">
        <v>750.0</v>
      </c>
    </row>
    <row r="224">
      <c r="A224" s="3" t="s">
        <v>189</v>
      </c>
      <c r="B224" s="3">
        <v>8.0</v>
      </c>
      <c r="C224" s="3">
        <v>1.0</v>
      </c>
      <c r="D224" s="3">
        <v>2019.0</v>
      </c>
      <c r="E224" s="3" t="s">
        <v>145</v>
      </c>
      <c r="F224" s="3" t="s">
        <v>146</v>
      </c>
      <c r="G224" s="3">
        <v>750.0</v>
      </c>
    </row>
    <row r="225">
      <c r="A225" s="3" t="s">
        <v>189</v>
      </c>
      <c r="B225" s="3">
        <v>8.0</v>
      </c>
      <c r="C225" s="3">
        <v>1.0</v>
      </c>
      <c r="D225" s="3">
        <v>2019.0</v>
      </c>
      <c r="E225" s="3" t="s">
        <v>265</v>
      </c>
      <c r="F225" s="3" t="s">
        <v>266</v>
      </c>
      <c r="G225" s="3">
        <v>750.0</v>
      </c>
    </row>
    <row r="226">
      <c r="A226" s="3" t="s">
        <v>189</v>
      </c>
      <c r="B226" s="3">
        <v>8.0</v>
      </c>
      <c r="C226" s="3">
        <v>1.0</v>
      </c>
      <c r="D226" s="3">
        <v>2022.0</v>
      </c>
      <c r="E226" s="3" t="s">
        <v>267</v>
      </c>
      <c r="F226" s="3" t="s">
        <v>268</v>
      </c>
      <c r="G226" s="3">
        <v>750.0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28.75"/>
  </cols>
  <sheetData>
    <row r="1">
      <c r="A1" s="4" t="s">
        <v>0</v>
      </c>
      <c r="B1" s="4" t="s">
        <v>1</v>
      </c>
      <c r="C1" s="4" t="s">
        <v>269</v>
      </c>
      <c r="D1" s="5" t="s">
        <v>270</v>
      </c>
      <c r="E1" s="4" t="s">
        <v>4</v>
      </c>
      <c r="F1" s="5" t="s">
        <v>271</v>
      </c>
      <c r="G1" s="4" t="s">
        <v>272</v>
      </c>
      <c r="H1" s="5"/>
      <c r="I1" s="5"/>
      <c r="J1" s="4"/>
      <c r="K1" s="5"/>
      <c r="L1" s="4"/>
      <c r="M1" s="6"/>
      <c r="N1" s="4"/>
      <c r="O1" s="4"/>
      <c r="P1" s="4"/>
      <c r="Q1" s="4"/>
      <c r="R1" s="7"/>
      <c r="S1" s="8"/>
      <c r="T1" s="7"/>
      <c r="U1" s="7"/>
      <c r="V1" s="7"/>
      <c r="W1" s="7"/>
      <c r="X1" s="7"/>
      <c r="Y1" s="2"/>
    </row>
    <row r="2">
      <c r="A2" s="3" t="s">
        <v>169</v>
      </c>
      <c r="B2" s="3" t="s">
        <v>170</v>
      </c>
      <c r="C2" s="3">
        <v>1.0</v>
      </c>
      <c r="D2" s="3">
        <v>2018.0</v>
      </c>
      <c r="E2" s="3" t="s">
        <v>171</v>
      </c>
      <c r="F2" s="3" t="s">
        <v>172</v>
      </c>
      <c r="G2" s="3">
        <v>750.0</v>
      </c>
    </row>
    <row r="3">
      <c r="A3" s="3" t="s">
        <v>169</v>
      </c>
      <c r="B3" s="3" t="s">
        <v>170</v>
      </c>
      <c r="C3" s="3">
        <v>1.0</v>
      </c>
      <c r="D3" s="3">
        <v>2018.0</v>
      </c>
      <c r="E3" s="3" t="s">
        <v>173</v>
      </c>
      <c r="F3" s="3" t="s">
        <v>174</v>
      </c>
      <c r="G3" s="3">
        <v>750.0</v>
      </c>
    </row>
    <row r="4">
      <c r="A4" s="3" t="s">
        <v>169</v>
      </c>
      <c r="B4" s="3" t="s">
        <v>170</v>
      </c>
      <c r="C4" s="3">
        <v>1.0</v>
      </c>
      <c r="D4" s="3">
        <v>2019.0</v>
      </c>
      <c r="E4" s="3" t="s">
        <v>175</v>
      </c>
      <c r="F4" s="3" t="s">
        <v>176</v>
      </c>
      <c r="G4" s="3">
        <v>750.0</v>
      </c>
    </row>
    <row r="5">
      <c r="A5" s="3" t="s">
        <v>169</v>
      </c>
      <c r="B5" s="3" t="s">
        <v>170</v>
      </c>
      <c r="C5" s="3">
        <v>1.0</v>
      </c>
      <c r="D5" s="3">
        <v>2018.0</v>
      </c>
      <c r="E5" s="3" t="s">
        <v>177</v>
      </c>
      <c r="F5" s="3" t="s">
        <v>178</v>
      </c>
      <c r="G5" s="3">
        <v>750.0</v>
      </c>
    </row>
    <row r="6">
      <c r="A6" s="3" t="s">
        <v>169</v>
      </c>
      <c r="B6" s="3" t="s">
        <v>170</v>
      </c>
      <c r="C6" s="3">
        <v>1.0</v>
      </c>
      <c r="D6" s="3">
        <v>2023.0</v>
      </c>
      <c r="E6" s="3" t="s">
        <v>82</v>
      </c>
      <c r="F6" s="3" t="s">
        <v>179</v>
      </c>
      <c r="G6" s="3">
        <v>750.0</v>
      </c>
    </row>
    <row r="7">
      <c r="A7" s="3" t="s">
        <v>169</v>
      </c>
      <c r="B7" s="3" t="s">
        <v>170</v>
      </c>
      <c r="C7" s="3">
        <v>3.0</v>
      </c>
      <c r="D7" s="3">
        <v>2019.0</v>
      </c>
      <c r="E7" s="3" t="s">
        <v>10</v>
      </c>
      <c r="F7" s="3" t="s">
        <v>39</v>
      </c>
      <c r="G7" s="3">
        <v>375.0</v>
      </c>
    </row>
    <row r="8">
      <c r="A8" s="3" t="s">
        <v>169</v>
      </c>
      <c r="B8" s="3" t="s">
        <v>170</v>
      </c>
      <c r="C8" s="3">
        <v>2.0</v>
      </c>
      <c r="D8" s="3">
        <v>2018.0</v>
      </c>
      <c r="E8" s="3" t="s">
        <v>10</v>
      </c>
      <c r="F8" s="3" t="s">
        <v>163</v>
      </c>
      <c r="G8" s="3">
        <v>375.0</v>
      </c>
    </row>
    <row r="9">
      <c r="A9" s="3" t="s">
        <v>169</v>
      </c>
      <c r="B9" s="3" t="s">
        <v>170</v>
      </c>
      <c r="C9" s="3">
        <v>1.0</v>
      </c>
      <c r="D9" s="3">
        <v>2016.0</v>
      </c>
      <c r="E9" s="3" t="s">
        <v>180</v>
      </c>
      <c r="F9" s="3" t="s">
        <v>35</v>
      </c>
      <c r="G9" s="3">
        <v>750.0</v>
      </c>
    </row>
    <row r="10">
      <c r="A10" s="3" t="s">
        <v>169</v>
      </c>
      <c r="B10" s="3" t="s">
        <v>170</v>
      </c>
      <c r="C10" s="3">
        <v>4.0</v>
      </c>
      <c r="D10" s="3">
        <v>2019.0</v>
      </c>
      <c r="E10" s="3" t="s">
        <v>10</v>
      </c>
      <c r="F10" s="3" t="s">
        <v>104</v>
      </c>
      <c r="G10" s="3">
        <v>750.0</v>
      </c>
    </row>
    <row r="11">
      <c r="A11" s="3" t="s">
        <v>169</v>
      </c>
      <c r="B11" s="3" t="s">
        <v>170</v>
      </c>
      <c r="C11" s="3">
        <v>1.0</v>
      </c>
      <c r="D11" s="3">
        <v>2018.0</v>
      </c>
      <c r="E11" s="3" t="s">
        <v>10</v>
      </c>
      <c r="F11" s="3" t="s">
        <v>181</v>
      </c>
      <c r="G11" s="3">
        <v>750.0</v>
      </c>
    </row>
    <row r="12">
      <c r="A12" s="3" t="s">
        <v>169</v>
      </c>
      <c r="B12" s="3" t="s">
        <v>170</v>
      </c>
      <c r="C12" s="3">
        <v>1.0</v>
      </c>
      <c r="D12" s="3">
        <v>2018.0</v>
      </c>
      <c r="E12" s="3" t="s">
        <v>10</v>
      </c>
      <c r="F12" s="3" t="s">
        <v>182</v>
      </c>
      <c r="G12" s="3">
        <v>750.0</v>
      </c>
    </row>
    <row r="13">
      <c r="A13" s="3" t="s">
        <v>169</v>
      </c>
      <c r="B13" s="3" t="s">
        <v>170</v>
      </c>
      <c r="C13" s="3">
        <v>5.0</v>
      </c>
      <c r="D13" s="3">
        <v>2015.0</v>
      </c>
      <c r="E13" s="3" t="s">
        <v>10</v>
      </c>
      <c r="F13" s="3" t="s">
        <v>183</v>
      </c>
      <c r="G13" s="3">
        <v>750.0</v>
      </c>
    </row>
    <row r="14">
      <c r="A14" s="3" t="s">
        <v>169</v>
      </c>
      <c r="B14" s="3" t="s">
        <v>170</v>
      </c>
      <c r="C14" s="3">
        <v>1.0</v>
      </c>
      <c r="D14" s="3">
        <v>2017.0</v>
      </c>
      <c r="E14" s="3" t="s">
        <v>38</v>
      </c>
      <c r="F14" s="3" t="s">
        <v>39</v>
      </c>
      <c r="G14" s="3">
        <v>750.0</v>
      </c>
    </row>
    <row r="15">
      <c r="A15" s="3" t="s">
        <v>169</v>
      </c>
      <c r="B15" s="3" t="s">
        <v>170</v>
      </c>
      <c r="C15" s="3">
        <v>1.0</v>
      </c>
      <c r="D15" s="3">
        <v>2017.0</v>
      </c>
      <c r="E15" s="3" t="s">
        <v>69</v>
      </c>
      <c r="F15" s="3" t="s">
        <v>184</v>
      </c>
      <c r="G15" s="3">
        <v>750.0</v>
      </c>
    </row>
    <row r="16">
      <c r="A16" s="3" t="s">
        <v>169</v>
      </c>
      <c r="B16" s="3" t="s">
        <v>170</v>
      </c>
      <c r="C16" s="3">
        <v>2.0</v>
      </c>
      <c r="D16" s="3">
        <v>2018.0</v>
      </c>
      <c r="E16" s="3" t="s">
        <v>8</v>
      </c>
      <c r="F16" s="3" t="s">
        <v>39</v>
      </c>
      <c r="G16" s="3">
        <v>750.0</v>
      </c>
    </row>
    <row r="17">
      <c r="A17" s="3" t="s">
        <v>169</v>
      </c>
      <c r="B17" s="3" t="s">
        <v>170</v>
      </c>
      <c r="C17" s="3">
        <v>1.0</v>
      </c>
      <c r="D17" s="3">
        <v>2019.0</v>
      </c>
      <c r="E17" s="3" t="s">
        <v>32</v>
      </c>
      <c r="F17" s="3" t="s">
        <v>185</v>
      </c>
      <c r="G17" s="3">
        <v>1500.0</v>
      </c>
    </row>
    <row r="18">
      <c r="A18" s="3" t="s">
        <v>169</v>
      </c>
      <c r="B18" s="3" t="s">
        <v>170</v>
      </c>
      <c r="C18" s="3">
        <v>1.0</v>
      </c>
      <c r="D18" s="3">
        <v>2017.0</v>
      </c>
      <c r="E18" s="3" t="s">
        <v>8</v>
      </c>
      <c r="F18" s="3" t="s">
        <v>186</v>
      </c>
      <c r="G18" s="3">
        <v>750.0</v>
      </c>
    </row>
    <row r="19">
      <c r="A19" s="3" t="s">
        <v>169</v>
      </c>
      <c r="B19" s="3" t="s">
        <v>170</v>
      </c>
      <c r="C19" s="3">
        <v>1.0</v>
      </c>
      <c r="D19" s="3">
        <v>2013.0</v>
      </c>
      <c r="E19" s="3" t="s">
        <v>187</v>
      </c>
      <c r="F19" s="3" t="s">
        <v>146</v>
      </c>
      <c r="G19" s="3">
        <v>750.0</v>
      </c>
    </row>
    <row r="20">
      <c r="A20" s="3" t="s">
        <v>169</v>
      </c>
      <c r="B20" s="3" t="s">
        <v>170</v>
      </c>
      <c r="C20" s="3">
        <v>1.0</v>
      </c>
      <c r="D20" s="3">
        <v>2022.0</v>
      </c>
      <c r="E20" s="3" t="s">
        <v>10</v>
      </c>
      <c r="F20" s="3" t="s">
        <v>188</v>
      </c>
      <c r="G20" s="3">
        <v>750.0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3" width="7.25"/>
    <col customWidth="1" min="4" max="4" width="7.38"/>
    <col customWidth="1" min="5" max="5" width="20.88"/>
    <col customWidth="1" min="6" max="7" width="28.0"/>
  </cols>
  <sheetData>
    <row r="1">
      <c r="A1" s="1" t="s">
        <v>0</v>
      </c>
      <c r="B1" s="1" t="s">
        <v>1</v>
      </c>
      <c r="C1" s="1" t="s">
        <v>269</v>
      </c>
      <c r="D1" s="1" t="s">
        <v>3</v>
      </c>
      <c r="E1" s="1" t="s">
        <v>4</v>
      </c>
      <c r="F1" s="1" t="s">
        <v>5</v>
      </c>
      <c r="G1" s="1" t="s">
        <v>272</v>
      </c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3" t="s">
        <v>189</v>
      </c>
      <c r="B2" s="3">
        <v>1.0</v>
      </c>
      <c r="C2" s="3">
        <v>1.0</v>
      </c>
      <c r="D2" s="3">
        <v>2018.0</v>
      </c>
      <c r="E2" s="3" t="s">
        <v>73</v>
      </c>
      <c r="F2" s="3" t="s">
        <v>190</v>
      </c>
      <c r="G2" s="3">
        <v>750.0</v>
      </c>
    </row>
    <row r="3">
      <c r="A3" s="3" t="s">
        <v>189</v>
      </c>
      <c r="B3" s="3">
        <v>1.0</v>
      </c>
      <c r="C3" s="3">
        <v>1.0</v>
      </c>
      <c r="D3" s="3">
        <v>2018.0</v>
      </c>
      <c r="E3" s="3" t="s">
        <v>73</v>
      </c>
      <c r="F3" s="3" t="s">
        <v>144</v>
      </c>
      <c r="G3" s="3">
        <v>750.0</v>
      </c>
    </row>
    <row r="4">
      <c r="A4" s="3" t="s">
        <v>189</v>
      </c>
      <c r="B4" s="3">
        <v>1.0</v>
      </c>
      <c r="C4" s="3">
        <v>1.0</v>
      </c>
      <c r="D4" s="3">
        <v>2018.0</v>
      </c>
      <c r="E4" s="3" t="s">
        <v>191</v>
      </c>
      <c r="F4" s="3" t="s">
        <v>35</v>
      </c>
      <c r="G4" s="3">
        <v>750.0</v>
      </c>
    </row>
    <row r="5">
      <c r="A5" s="3" t="s">
        <v>189</v>
      </c>
      <c r="B5" s="3">
        <v>2.0</v>
      </c>
      <c r="C5" s="3">
        <v>1.0</v>
      </c>
      <c r="D5" s="3">
        <v>2018.0</v>
      </c>
      <c r="E5" s="3" t="s">
        <v>65</v>
      </c>
      <c r="F5" s="3" t="s">
        <v>192</v>
      </c>
      <c r="G5" s="3">
        <v>750.0</v>
      </c>
    </row>
    <row r="6">
      <c r="A6" s="3" t="s">
        <v>189</v>
      </c>
      <c r="B6" s="3">
        <v>1.0</v>
      </c>
      <c r="C6" s="3">
        <v>1.0</v>
      </c>
      <c r="D6" s="3">
        <v>2018.0</v>
      </c>
      <c r="E6" s="3" t="s">
        <v>46</v>
      </c>
      <c r="F6" s="3" t="s">
        <v>104</v>
      </c>
      <c r="G6" s="3">
        <v>750.0</v>
      </c>
    </row>
    <row r="7">
      <c r="A7" s="3" t="s">
        <v>189</v>
      </c>
      <c r="B7" s="3">
        <v>2.0</v>
      </c>
      <c r="C7" s="3">
        <v>1.0</v>
      </c>
      <c r="D7" s="3">
        <v>2018.0</v>
      </c>
      <c r="E7" s="3" t="s">
        <v>175</v>
      </c>
      <c r="F7" s="3" t="s">
        <v>193</v>
      </c>
      <c r="G7" s="3">
        <v>750.0</v>
      </c>
    </row>
    <row r="8">
      <c r="A8" s="3" t="s">
        <v>189</v>
      </c>
      <c r="B8" s="3">
        <v>1.0</v>
      </c>
      <c r="C8" s="3">
        <v>6.0</v>
      </c>
      <c r="D8" s="3">
        <v>2018.0</v>
      </c>
      <c r="E8" s="3" t="s">
        <v>10</v>
      </c>
      <c r="F8" s="3" t="s">
        <v>183</v>
      </c>
      <c r="G8" s="3">
        <v>750.0</v>
      </c>
    </row>
    <row r="9">
      <c r="A9" s="3" t="s">
        <v>189</v>
      </c>
      <c r="B9" s="3">
        <v>1.0</v>
      </c>
      <c r="C9" s="3">
        <v>1.0</v>
      </c>
      <c r="D9" s="3">
        <v>2018.0</v>
      </c>
      <c r="E9" s="3" t="s">
        <v>131</v>
      </c>
      <c r="F9" s="3" t="s">
        <v>35</v>
      </c>
      <c r="G9" s="3">
        <v>750.0</v>
      </c>
    </row>
    <row r="10">
      <c r="A10" s="3" t="s">
        <v>189</v>
      </c>
      <c r="B10" s="3">
        <v>2.0</v>
      </c>
      <c r="C10" s="3">
        <v>1.0</v>
      </c>
      <c r="D10" s="3">
        <v>2018.0</v>
      </c>
      <c r="E10" s="3" t="s">
        <v>69</v>
      </c>
      <c r="F10" s="3" t="s">
        <v>35</v>
      </c>
      <c r="G10" s="3">
        <v>750.0</v>
      </c>
    </row>
    <row r="11">
      <c r="A11" s="3" t="s">
        <v>189</v>
      </c>
      <c r="B11" s="3">
        <v>2.0</v>
      </c>
      <c r="C11" s="3">
        <v>1.0</v>
      </c>
      <c r="D11" s="3">
        <v>2018.0</v>
      </c>
      <c r="E11" s="3" t="s">
        <v>69</v>
      </c>
      <c r="F11" s="3" t="s">
        <v>194</v>
      </c>
      <c r="G11" s="3">
        <v>750.0</v>
      </c>
    </row>
    <row r="12">
      <c r="A12" s="3" t="s">
        <v>189</v>
      </c>
      <c r="B12" s="3">
        <v>2.0</v>
      </c>
      <c r="C12" s="3">
        <v>1.0</v>
      </c>
      <c r="D12" s="3">
        <v>2018.0</v>
      </c>
      <c r="E12" s="3" t="s">
        <v>86</v>
      </c>
      <c r="F12" s="3" t="s">
        <v>194</v>
      </c>
      <c r="G12" s="3">
        <v>750.0</v>
      </c>
    </row>
    <row r="13">
      <c r="A13" s="3" t="s">
        <v>189</v>
      </c>
      <c r="B13" s="3">
        <v>4.0</v>
      </c>
      <c r="C13" s="3">
        <v>1.0</v>
      </c>
      <c r="D13" s="3">
        <v>2018.0</v>
      </c>
      <c r="E13" s="3" t="s">
        <v>23</v>
      </c>
      <c r="F13" s="3" t="s">
        <v>195</v>
      </c>
      <c r="G13" s="3">
        <v>750.0</v>
      </c>
    </row>
    <row r="14">
      <c r="A14" s="3" t="s">
        <v>189</v>
      </c>
      <c r="B14" s="3">
        <v>2.0</v>
      </c>
      <c r="C14" s="3">
        <v>1.0</v>
      </c>
      <c r="D14" s="3">
        <v>2018.0</v>
      </c>
      <c r="E14" s="3" t="s">
        <v>196</v>
      </c>
      <c r="F14" s="3" t="s">
        <v>181</v>
      </c>
      <c r="G14" s="3">
        <v>750.0</v>
      </c>
    </row>
    <row r="15">
      <c r="A15" s="3" t="s">
        <v>189</v>
      </c>
      <c r="B15" s="3">
        <v>2.0</v>
      </c>
      <c r="C15" s="3">
        <v>1.0</v>
      </c>
      <c r="D15" s="3">
        <v>2018.0</v>
      </c>
      <c r="E15" s="3" t="s">
        <v>129</v>
      </c>
      <c r="F15" s="3" t="s">
        <v>39</v>
      </c>
      <c r="G15" s="3">
        <v>750.0</v>
      </c>
    </row>
    <row r="16">
      <c r="A16" s="3" t="s">
        <v>189</v>
      </c>
      <c r="B16" s="3">
        <v>2.0</v>
      </c>
      <c r="C16" s="3">
        <v>1.0</v>
      </c>
      <c r="D16" s="3">
        <v>2018.0</v>
      </c>
      <c r="E16" s="3" t="s">
        <v>197</v>
      </c>
      <c r="F16" s="3" t="s">
        <v>109</v>
      </c>
      <c r="G16" s="3">
        <v>750.0</v>
      </c>
    </row>
    <row r="17">
      <c r="A17" s="3" t="s">
        <v>189</v>
      </c>
      <c r="B17" s="3">
        <v>2.0</v>
      </c>
      <c r="C17" s="3">
        <v>4.0</v>
      </c>
      <c r="D17" s="3">
        <v>2018.0</v>
      </c>
      <c r="E17" s="3" t="s">
        <v>10</v>
      </c>
      <c r="F17" s="3" t="s">
        <v>39</v>
      </c>
      <c r="G17" s="3">
        <v>750.0</v>
      </c>
    </row>
    <row r="18">
      <c r="A18" s="3" t="s">
        <v>189</v>
      </c>
      <c r="B18" s="3">
        <v>3.0</v>
      </c>
      <c r="C18" s="3">
        <v>2.0</v>
      </c>
      <c r="D18" s="3">
        <v>2019.0</v>
      </c>
      <c r="E18" s="3" t="s">
        <v>198</v>
      </c>
      <c r="F18" s="3" t="s">
        <v>199</v>
      </c>
      <c r="G18" s="3">
        <v>750.0</v>
      </c>
    </row>
    <row r="19">
      <c r="A19" s="3" t="s">
        <v>189</v>
      </c>
      <c r="B19" s="3">
        <v>3.0</v>
      </c>
      <c r="C19" s="3">
        <v>3.0</v>
      </c>
      <c r="D19" s="3">
        <v>2019.0</v>
      </c>
      <c r="E19" s="3" t="s">
        <v>198</v>
      </c>
      <c r="F19" s="3" t="s">
        <v>200</v>
      </c>
      <c r="G19" s="3">
        <v>750.0</v>
      </c>
    </row>
    <row r="20">
      <c r="A20" s="3" t="s">
        <v>189</v>
      </c>
      <c r="B20" s="3">
        <v>3.0</v>
      </c>
      <c r="C20" s="3">
        <v>1.0</v>
      </c>
      <c r="D20" s="3">
        <v>2019.0</v>
      </c>
      <c r="E20" s="3" t="s">
        <v>198</v>
      </c>
      <c r="F20" s="3" t="s">
        <v>35</v>
      </c>
      <c r="G20" s="3">
        <v>750.0</v>
      </c>
    </row>
    <row r="21">
      <c r="A21" s="3" t="s">
        <v>189</v>
      </c>
      <c r="B21" s="3">
        <v>3.0</v>
      </c>
      <c r="C21" s="3">
        <v>1.0</v>
      </c>
      <c r="D21" s="3">
        <v>2019.0</v>
      </c>
      <c r="E21" s="3" t="s">
        <v>201</v>
      </c>
      <c r="F21" s="3" t="s">
        <v>202</v>
      </c>
      <c r="G21" s="3">
        <v>750.0</v>
      </c>
    </row>
    <row r="22">
      <c r="A22" s="3" t="s">
        <v>189</v>
      </c>
      <c r="B22" s="3">
        <v>3.0</v>
      </c>
      <c r="C22" s="3">
        <v>2.0</v>
      </c>
      <c r="D22" s="3">
        <v>2019.0</v>
      </c>
      <c r="E22" s="3" t="s">
        <v>10</v>
      </c>
      <c r="F22" s="3" t="s">
        <v>104</v>
      </c>
      <c r="G22" s="3">
        <v>750.0</v>
      </c>
    </row>
    <row r="23">
      <c r="A23" s="3" t="s">
        <v>189</v>
      </c>
      <c r="B23" s="3">
        <v>3.0</v>
      </c>
      <c r="C23" s="3">
        <v>1.0</v>
      </c>
      <c r="D23" s="3">
        <v>2019.0</v>
      </c>
      <c r="E23" s="3" t="s">
        <v>129</v>
      </c>
      <c r="F23" s="3" t="s">
        <v>39</v>
      </c>
      <c r="G23" s="3">
        <v>750.0</v>
      </c>
    </row>
    <row r="24">
      <c r="A24" s="3" t="s">
        <v>189</v>
      </c>
      <c r="B24" s="3">
        <v>3.0</v>
      </c>
      <c r="C24" s="3">
        <v>2.0</v>
      </c>
      <c r="D24" s="3">
        <v>2018.0</v>
      </c>
      <c r="E24" s="3" t="s">
        <v>10</v>
      </c>
      <c r="F24" s="3" t="s">
        <v>203</v>
      </c>
      <c r="G24" s="3">
        <v>750.0</v>
      </c>
    </row>
    <row r="25">
      <c r="A25" s="3" t="s">
        <v>189</v>
      </c>
      <c r="B25" s="3">
        <v>1.0</v>
      </c>
      <c r="C25" s="3">
        <v>1.0</v>
      </c>
      <c r="D25" s="3">
        <v>2019.0</v>
      </c>
      <c r="E25" s="3" t="s">
        <v>73</v>
      </c>
      <c r="F25" s="3" t="s">
        <v>74</v>
      </c>
      <c r="G25" s="3">
        <v>750.0</v>
      </c>
    </row>
    <row r="26">
      <c r="A26" s="3" t="s">
        <v>189</v>
      </c>
      <c r="B26" s="3">
        <v>4.0</v>
      </c>
      <c r="C26" s="3">
        <v>1.0</v>
      </c>
      <c r="D26" s="3">
        <v>2019.0</v>
      </c>
      <c r="E26" s="3" t="s">
        <v>23</v>
      </c>
      <c r="F26" s="3" t="s">
        <v>58</v>
      </c>
      <c r="G26" s="3">
        <v>750.0</v>
      </c>
    </row>
    <row r="27">
      <c r="A27" s="3" t="s">
        <v>189</v>
      </c>
      <c r="B27" s="3">
        <v>5.0</v>
      </c>
      <c r="C27" s="3">
        <v>1.0</v>
      </c>
      <c r="D27" s="3">
        <v>2019.0</v>
      </c>
      <c r="E27" s="3" t="s">
        <v>131</v>
      </c>
      <c r="F27" s="3" t="s">
        <v>35</v>
      </c>
      <c r="G27" s="3">
        <v>750.0</v>
      </c>
    </row>
    <row r="28">
      <c r="A28" s="3" t="s">
        <v>189</v>
      </c>
      <c r="B28" s="3">
        <v>4.0</v>
      </c>
      <c r="C28" s="3">
        <v>2.0</v>
      </c>
      <c r="D28" s="3">
        <v>2020.0</v>
      </c>
      <c r="E28" s="3" t="s">
        <v>198</v>
      </c>
      <c r="F28" s="3" t="s">
        <v>39</v>
      </c>
      <c r="G28" s="3">
        <v>750.0</v>
      </c>
    </row>
    <row r="29">
      <c r="A29" s="3" t="s">
        <v>189</v>
      </c>
      <c r="B29" s="3">
        <v>4.0</v>
      </c>
      <c r="C29" s="3">
        <v>2.0</v>
      </c>
      <c r="D29" s="3">
        <v>2020.0</v>
      </c>
      <c r="E29" s="3" t="s">
        <v>198</v>
      </c>
      <c r="F29" s="3" t="s">
        <v>35</v>
      </c>
      <c r="G29" s="3">
        <v>750.0</v>
      </c>
    </row>
    <row r="30">
      <c r="A30" s="3" t="s">
        <v>189</v>
      </c>
      <c r="B30" s="3">
        <v>4.0</v>
      </c>
      <c r="C30" s="3">
        <v>1.0</v>
      </c>
      <c r="D30" s="3">
        <v>2021.0</v>
      </c>
      <c r="E30" s="3" t="s">
        <v>198</v>
      </c>
      <c r="F30" s="3" t="s">
        <v>204</v>
      </c>
      <c r="G30" s="3">
        <v>750.0</v>
      </c>
    </row>
    <row r="31">
      <c r="A31" s="3" t="s">
        <v>189</v>
      </c>
      <c r="B31" s="3">
        <v>4.0</v>
      </c>
      <c r="C31" s="3">
        <v>1.0</v>
      </c>
      <c r="D31" s="3">
        <v>2018.0</v>
      </c>
      <c r="E31" s="3" t="s">
        <v>10</v>
      </c>
      <c r="F31" s="3" t="s">
        <v>181</v>
      </c>
      <c r="G31" s="3">
        <v>750.0</v>
      </c>
    </row>
    <row r="32">
      <c r="A32" s="3" t="s">
        <v>189</v>
      </c>
      <c r="B32" s="3">
        <v>5.0</v>
      </c>
      <c r="C32" s="3">
        <v>1.0</v>
      </c>
      <c r="D32" s="3">
        <v>2016.0</v>
      </c>
      <c r="E32" s="3" t="s">
        <v>197</v>
      </c>
      <c r="F32" s="3" t="s">
        <v>205</v>
      </c>
      <c r="G32" s="3">
        <v>750.0</v>
      </c>
    </row>
    <row r="33">
      <c r="A33" s="3" t="s">
        <v>189</v>
      </c>
      <c r="B33" s="3">
        <v>5.0</v>
      </c>
      <c r="C33" s="3">
        <v>1.0</v>
      </c>
      <c r="D33" s="3">
        <v>2016.0</v>
      </c>
      <c r="E33" s="3" t="s">
        <v>86</v>
      </c>
      <c r="F33" s="3" t="s">
        <v>35</v>
      </c>
      <c r="G33" s="3">
        <v>750.0</v>
      </c>
    </row>
    <row r="34">
      <c r="A34" s="3" t="s">
        <v>189</v>
      </c>
      <c r="B34" s="3">
        <v>5.0</v>
      </c>
      <c r="C34" s="3">
        <v>1.0</v>
      </c>
      <c r="D34" s="3">
        <v>2016.0</v>
      </c>
      <c r="E34" s="3" t="s">
        <v>206</v>
      </c>
      <c r="F34" s="3" t="s">
        <v>39</v>
      </c>
      <c r="G34" s="3">
        <v>750.0</v>
      </c>
    </row>
    <row r="35">
      <c r="A35" s="3" t="s">
        <v>189</v>
      </c>
      <c r="B35" s="3">
        <v>5.0</v>
      </c>
      <c r="C35" s="3">
        <v>1.0</v>
      </c>
      <c r="D35" s="3">
        <v>2016.0</v>
      </c>
      <c r="E35" s="3" t="s">
        <v>65</v>
      </c>
      <c r="F35" s="3" t="s">
        <v>207</v>
      </c>
      <c r="G35" s="3">
        <v>750.0</v>
      </c>
    </row>
    <row r="36">
      <c r="A36" s="3" t="s">
        <v>189</v>
      </c>
      <c r="B36" s="3">
        <v>5.0</v>
      </c>
      <c r="C36" s="3">
        <v>1.0</v>
      </c>
      <c r="D36" s="3">
        <v>2016.0</v>
      </c>
      <c r="E36" s="3" t="s">
        <v>197</v>
      </c>
      <c r="F36" s="3" t="s">
        <v>199</v>
      </c>
      <c r="G36" s="3">
        <v>750.0</v>
      </c>
    </row>
    <row r="37">
      <c r="A37" s="3" t="s">
        <v>189</v>
      </c>
      <c r="B37" s="3">
        <v>5.0</v>
      </c>
      <c r="C37" s="3">
        <v>1.0</v>
      </c>
      <c r="D37" s="3">
        <v>2016.0</v>
      </c>
      <c r="E37" s="3" t="s">
        <v>10</v>
      </c>
      <c r="F37" s="3" t="s">
        <v>208</v>
      </c>
      <c r="G37" s="3">
        <v>750.0</v>
      </c>
    </row>
    <row r="38">
      <c r="A38" s="3" t="s">
        <v>189</v>
      </c>
      <c r="B38" s="3">
        <v>5.0</v>
      </c>
      <c r="C38" s="3">
        <v>1.0</v>
      </c>
      <c r="D38" s="3">
        <v>2016.0</v>
      </c>
      <c r="E38" s="3" t="s">
        <v>209</v>
      </c>
      <c r="F38" s="3" t="s">
        <v>210</v>
      </c>
      <c r="G38" s="3">
        <v>750.0</v>
      </c>
    </row>
    <row r="39">
      <c r="A39" s="3" t="s">
        <v>189</v>
      </c>
      <c r="B39" s="3">
        <v>5.0</v>
      </c>
      <c r="C39" s="3">
        <v>1.0</v>
      </c>
      <c r="D39" s="3">
        <v>2021.0</v>
      </c>
      <c r="E39" s="3" t="s">
        <v>10</v>
      </c>
      <c r="F39" s="3" t="s">
        <v>211</v>
      </c>
      <c r="G39" s="3">
        <v>750.0</v>
      </c>
    </row>
    <row r="40">
      <c r="A40" s="3" t="s">
        <v>189</v>
      </c>
      <c r="B40" s="3">
        <v>5.0</v>
      </c>
      <c r="C40" s="3">
        <v>1.0</v>
      </c>
      <c r="D40" s="3">
        <v>2021.0</v>
      </c>
      <c r="E40" s="3" t="s">
        <v>212</v>
      </c>
      <c r="F40" s="3" t="s">
        <v>213</v>
      </c>
      <c r="G40" s="3">
        <v>750.0</v>
      </c>
    </row>
    <row r="41">
      <c r="A41" s="3" t="s">
        <v>189</v>
      </c>
      <c r="B41" s="3">
        <v>4.0</v>
      </c>
      <c r="C41" s="3">
        <v>2.0</v>
      </c>
      <c r="D41" s="3">
        <v>2018.0</v>
      </c>
      <c r="E41" s="3" t="s">
        <v>10</v>
      </c>
      <c r="F41" s="3" t="s">
        <v>163</v>
      </c>
      <c r="G41" s="3">
        <v>375.0</v>
      </c>
    </row>
    <row r="42">
      <c r="A42" s="3" t="s">
        <v>189</v>
      </c>
      <c r="B42" s="3">
        <v>5.0</v>
      </c>
      <c r="C42" s="3">
        <v>1.0</v>
      </c>
      <c r="D42" s="3">
        <v>2018.0</v>
      </c>
      <c r="E42" s="3" t="s">
        <v>10</v>
      </c>
      <c r="F42" s="3" t="s">
        <v>163</v>
      </c>
      <c r="G42" s="3">
        <v>375.0</v>
      </c>
    </row>
    <row r="43">
      <c r="A43" s="3" t="s">
        <v>189</v>
      </c>
      <c r="B43" s="3">
        <v>10.0</v>
      </c>
      <c r="C43" s="3">
        <v>1.0</v>
      </c>
      <c r="D43" s="3" t="s">
        <v>24</v>
      </c>
      <c r="E43" s="3" t="s">
        <v>28</v>
      </c>
      <c r="F43" s="3" t="s">
        <v>214</v>
      </c>
      <c r="G43" s="3">
        <v>1500.0</v>
      </c>
    </row>
    <row r="44">
      <c r="A44" s="3" t="s">
        <v>189</v>
      </c>
      <c r="B44" s="3">
        <v>17.0</v>
      </c>
      <c r="C44" s="3">
        <v>1.0</v>
      </c>
      <c r="D44" s="3">
        <v>2014.0</v>
      </c>
      <c r="E44" s="3" t="s">
        <v>86</v>
      </c>
      <c r="F44" s="3" t="s">
        <v>215</v>
      </c>
      <c r="G44" s="3">
        <v>1500.0</v>
      </c>
    </row>
    <row r="45">
      <c r="A45" s="3" t="s">
        <v>189</v>
      </c>
      <c r="B45" s="3">
        <v>14.0</v>
      </c>
      <c r="C45" s="3">
        <v>1.0</v>
      </c>
      <c r="D45" s="3">
        <v>2019.0</v>
      </c>
      <c r="E45" s="3" t="s">
        <v>198</v>
      </c>
      <c r="F45" s="3" t="s">
        <v>216</v>
      </c>
      <c r="G45" s="3">
        <v>1500.0</v>
      </c>
    </row>
    <row r="46">
      <c r="A46" s="3" t="s">
        <v>189</v>
      </c>
      <c r="B46" s="3">
        <v>15.0</v>
      </c>
      <c r="C46" s="3">
        <v>1.0</v>
      </c>
      <c r="D46" s="3">
        <v>2018.0</v>
      </c>
      <c r="E46" s="3" t="s">
        <v>217</v>
      </c>
      <c r="F46" s="3" t="s">
        <v>218</v>
      </c>
      <c r="G46" s="3">
        <v>1500.0</v>
      </c>
    </row>
    <row r="47">
      <c r="A47" s="3" t="s">
        <v>189</v>
      </c>
      <c r="B47" s="3">
        <v>12.0</v>
      </c>
      <c r="C47" s="3">
        <v>1.0</v>
      </c>
      <c r="D47" s="3">
        <v>2014.0</v>
      </c>
      <c r="E47" s="3" t="s">
        <v>23</v>
      </c>
      <c r="F47" s="3" t="s">
        <v>219</v>
      </c>
      <c r="G47" s="3">
        <v>1500.0</v>
      </c>
    </row>
    <row r="48">
      <c r="A48" s="3" t="s">
        <v>189</v>
      </c>
      <c r="B48" s="3">
        <v>17.0</v>
      </c>
      <c r="C48" s="3">
        <v>1.0</v>
      </c>
      <c r="D48" s="3">
        <v>2018.0</v>
      </c>
      <c r="E48" s="3" t="s">
        <v>129</v>
      </c>
      <c r="F48" s="3" t="s">
        <v>9</v>
      </c>
      <c r="G48" s="3">
        <v>1500.0</v>
      </c>
    </row>
    <row r="49">
      <c r="A49" s="3" t="s">
        <v>189</v>
      </c>
      <c r="B49" s="3">
        <v>15.0</v>
      </c>
      <c r="C49" s="3">
        <v>1.0</v>
      </c>
      <c r="D49" s="3">
        <v>2015.0</v>
      </c>
      <c r="E49" s="3" t="s">
        <v>220</v>
      </c>
      <c r="F49" s="3" t="s">
        <v>221</v>
      </c>
      <c r="G49" s="3">
        <v>1500.0</v>
      </c>
    </row>
    <row r="50">
      <c r="A50" s="3" t="s">
        <v>189</v>
      </c>
      <c r="B50" s="3">
        <v>13.0</v>
      </c>
      <c r="C50" s="3">
        <v>1.0</v>
      </c>
      <c r="D50" s="3">
        <v>2015.0</v>
      </c>
      <c r="E50" s="3" t="s">
        <v>222</v>
      </c>
      <c r="F50" s="3" t="s">
        <v>223</v>
      </c>
      <c r="G50" s="3">
        <v>1500.0</v>
      </c>
    </row>
    <row r="51">
      <c r="A51" s="3" t="s">
        <v>189</v>
      </c>
      <c r="B51" s="3">
        <v>15.0</v>
      </c>
      <c r="C51" s="3">
        <v>1.0</v>
      </c>
      <c r="D51" s="3">
        <v>2016.0</v>
      </c>
      <c r="E51" s="3" t="s">
        <v>224</v>
      </c>
      <c r="F51" s="3" t="s">
        <v>225</v>
      </c>
      <c r="G51" s="3">
        <v>1500.0</v>
      </c>
    </row>
    <row r="52">
      <c r="A52" s="3" t="s">
        <v>189</v>
      </c>
      <c r="B52" s="3">
        <v>9.0</v>
      </c>
      <c r="C52" s="3">
        <v>1.0</v>
      </c>
      <c r="D52" s="3">
        <v>2019.0</v>
      </c>
      <c r="E52" s="3" t="s">
        <v>226</v>
      </c>
      <c r="F52" s="3" t="s">
        <v>185</v>
      </c>
      <c r="G52" s="3">
        <v>1500.0</v>
      </c>
    </row>
    <row r="53">
      <c r="A53" s="3" t="s">
        <v>189</v>
      </c>
      <c r="B53" s="3">
        <v>18.0</v>
      </c>
      <c r="C53" s="3">
        <v>1.0</v>
      </c>
      <c r="D53" s="3">
        <v>2016.0</v>
      </c>
      <c r="E53" s="3" t="s">
        <v>227</v>
      </c>
      <c r="F53" s="3" t="s">
        <v>181</v>
      </c>
      <c r="G53" s="3">
        <v>1500.0</v>
      </c>
    </row>
    <row r="54">
      <c r="A54" s="3" t="s">
        <v>189</v>
      </c>
      <c r="B54" s="3">
        <v>16.0</v>
      </c>
      <c r="C54" s="3">
        <v>1.0</v>
      </c>
      <c r="D54" s="3">
        <v>2017.0</v>
      </c>
      <c r="E54" s="3" t="s">
        <v>23</v>
      </c>
      <c r="F54" s="3" t="s">
        <v>228</v>
      </c>
      <c r="G54" s="3">
        <v>1500.0</v>
      </c>
    </row>
    <row r="55">
      <c r="A55" s="3" t="s">
        <v>189</v>
      </c>
      <c r="B55" s="3">
        <v>18.0</v>
      </c>
      <c r="C55" s="3">
        <v>1.0</v>
      </c>
      <c r="D55" s="3">
        <v>2016.0</v>
      </c>
      <c r="E55" s="3" t="s">
        <v>23</v>
      </c>
      <c r="F55" s="3" t="s">
        <v>229</v>
      </c>
      <c r="G55" s="3">
        <v>1500.0</v>
      </c>
    </row>
    <row r="56">
      <c r="A56" s="3" t="s">
        <v>189</v>
      </c>
      <c r="B56" s="3">
        <v>18.0</v>
      </c>
      <c r="C56" s="3">
        <v>1.0</v>
      </c>
      <c r="D56" s="3">
        <v>2019.0</v>
      </c>
      <c r="E56" s="3" t="s">
        <v>230</v>
      </c>
      <c r="F56" s="3" t="s">
        <v>231</v>
      </c>
      <c r="G56" s="3">
        <v>1500.0</v>
      </c>
    </row>
    <row r="57">
      <c r="A57" s="3" t="s">
        <v>189</v>
      </c>
      <c r="B57" s="3">
        <v>16.0</v>
      </c>
      <c r="C57" s="3">
        <v>1.0</v>
      </c>
      <c r="D57" s="3">
        <v>2021.0</v>
      </c>
      <c r="E57" s="3" t="s">
        <v>198</v>
      </c>
      <c r="F57" s="3" t="s">
        <v>232</v>
      </c>
      <c r="G57" s="3">
        <v>1500.0</v>
      </c>
    </row>
    <row r="58">
      <c r="A58" s="3" t="s">
        <v>189</v>
      </c>
      <c r="B58" s="3">
        <v>14.0</v>
      </c>
      <c r="C58" s="3">
        <v>1.0</v>
      </c>
      <c r="D58" s="3">
        <v>2021.0</v>
      </c>
      <c r="E58" s="3" t="s">
        <v>198</v>
      </c>
      <c r="F58" s="3" t="s">
        <v>216</v>
      </c>
      <c r="G58" s="3">
        <v>1500.0</v>
      </c>
    </row>
    <row r="59">
      <c r="A59" s="3" t="s">
        <v>189</v>
      </c>
      <c r="B59" s="3">
        <v>13.0</v>
      </c>
      <c r="C59" s="3">
        <v>1.0</v>
      </c>
      <c r="D59" s="3">
        <v>2018.0</v>
      </c>
      <c r="E59" s="3" t="s">
        <v>233</v>
      </c>
      <c r="F59" s="3" t="s">
        <v>216</v>
      </c>
      <c r="G59" s="3">
        <v>1500.0</v>
      </c>
    </row>
    <row r="60">
      <c r="A60" s="3" t="s">
        <v>189</v>
      </c>
      <c r="B60" s="3">
        <v>14.0</v>
      </c>
      <c r="C60" s="3">
        <v>1.0</v>
      </c>
      <c r="D60" s="3">
        <v>2019.0</v>
      </c>
      <c r="E60" s="3" t="s">
        <v>198</v>
      </c>
      <c r="F60" s="3" t="s">
        <v>234</v>
      </c>
      <c r="G60" s="3">
        <v>1500.0</v>
      </c>
    </row>
    <row r="61">
      <c r="A61" s="3" t="s">
        <v>189</v>
      </c>
      <c r="B61" s="3">
        <v>13.0</v>
      </c>
      <c r="C61" s="3">
        <v>1.0</v>
      </c>
      <c r="D61" s="3">
        <v>2015.0</v>
      </c>
      <c r="E61" s="3" t="s">
        <v>222</v>
      </c>
      <c r="F61" s="3" t="s">
        <v>181</v>
      </c>
      <c r="G61" s="3">
        <v>1500.0</v>
      </c>
    </row>
    <row r="62">
      <c r="A62" s="3" t="s">
        <v>189</v>
      </c>
      <c r="B62" s="3">
        <v>10.0</v>
      </c>
      <c r="C62" s="3">
        <v>1.0</v>
      </c>
      <c r="D62" s="3">
        <v>2021.0</v>
      </c>
      <c r="E62" s="3" t="s">
        <v>235</v>
      </c>
      <c r="F62" s="3" t="s">
        <v>236</v>
      </c>
      <c r="G62" s="3">
        <v>1500.0</v>
      </c>
    </row>
    <row r="63">
      <c r="A63" s="3" t="s">
        <v>189</v>
      </c>
      <c r="B63" s="3">
        <v>12.0</v>
      </c>
      <c r="C63" s="3">
        <v>1.0</v>
      </c>
      <c r="D63" s="3">
        <v>2019.0</v>
      </c>
      <c r="E63" s="3" t="s">
        <v>23</v>
      </c>
      <c r="F63" s="3" t="s">
        <v>58</v>
      </c>
      <c r="G63" s="3">
        <v>1500.0</v>
      </c>
    </row>
    <row r="64">
      <c r="A64" s="3" t="s">
        <v>189</v>
      </c>
      <c r="B64" s="3">
        <v>12.0</v>
      </c>
      <c r="C64" s="3">
        <v>1.0</v>
      </c>
      <c r="D64" s="3">
        <v>2016.0</v>
      </c>
      <c r="E64" s="3" t="s">
        <v>69</v>
      </c>
      <c r="F64" s="3" t="s">
        <v>237</v>
      </c>
      <c r="G64" s="3">
        <v>1500.0</v>
      </c>
    </row>
    <row r="65">
      <c r="A65" s="3" t="s">
        <v>189</v>
      </c>
      <c r="B65" s="3">
        <v>17.0</v>
      </c>
      <c r="C65" s="3">
        <v>1.0</v>
      </c>
      <c r="D65" s="3">
        <v>2019.0</v>
      </c>
      <c r="E65" s="3" t="s">
        <v>233</v>
      </c>
      <c r="F65" s="3" t="s">
        <v>238</v>
      </c>
      <c r="G65" s="3">
        <v>1500.0</v>
      </c>
    </row>
    <row r="66">
      <c r="A66" s="3" t="s">
        <v>189</v>
      </c>
      <c r="B66" s="3">
        <v>11.0</v>
      </c>
      <c r="C66" s="3">
        <v>1.0</v>
      </c>
      <c r="D66" s="3">
        <v>2016.0</v>
      </c>
      <c r="E66" s="3" t="s">
        <v>239</v>
      </c>
      <c r="F66" s="3" t="s">
        <v>39</v>
      </c>
      <c r="G66" s="3">
        <v>1500.0</v>
      </c>
    </row>
    <row r="67">
      <c r="A67" s="3" t="s">
        <v>189</v>
      </c>
      <c r="B67" s="3">
        <v>11.0</v>
      </c>
      <c r="C67" s="3">
        <v>1.0</v>
      </c>
      <c r="D67" s="3">
        <v>2019.0</v>
      </c>
      <c r="E67" s="3" t="s">
        <v>233</v>
      </c>
      <c r="F67" s="3" t="s">
        <v>39</v>
      </c>
      <c r="G67" s="3">
        <v>1500.0</v>
      </c>
    </row>
    <row r="68">
      <c r="A68" s="3" t="s">
        <v>189</v>
      </c>
      <c r="B68" s="3">
        <v>16.0</v>
      </c>
      <c r="C68" s="3">
        <v>1.0</v>
      </c>
      <c r="D68" s="3">
        <v>2017.0</v>
      </c>
      <c r="E68" s="3" t="s">
        <v>198</v>
      </c>
      <c r="F68" s="3" t="s">
        <v>216</v>
      </c>
      <c r="G68" s="3">
        <v>1500.0</v>
      </c>
    </row>
    <row r="69">
      <c r="A69" s="3" t="s">
        <v>189</v>
      </c>
      <c r="B69" s="3">
        <v>11.0</v>
      </c>
      <c r="C69" s="3">
        <v>1.0</v>
      </c>
      <c r="D69" s="3">
        <v>2019.0</v>
      </c>
      <c r="E69" s="3" t="s">
        <v>240</v>
      </c>
      <c r="F69" s="3" t="s">
        <v>241</v>
      </c>
      <c r="G69" s="3">
        <v>1500.0</v>
      </c>
    </row>
    <row r="70">
      <c r="A70" s="3" t="s">
        <v>189</v>
      </c>
      <c r="B70" s="3">
        <v>9.0</v>
      </c>
      <c r="C70" s="3">
        <v>1.0</v>
      </c>
      <c r="D70" s="3" t="s">
        <v>24</v>
      </c>
      <c r="E70" s="3" t="s">
        <v>242</v>
      </c>
      <c r="F70" s="3" t="s">
        <v>243</v>
      </c>
      <c r="G70" s="3">
        <v>1500.0</v>
      </c>
    </row>
    <row r="71">
      <c r="A71" s="3" t="s">
        <v>189</v>
      </c>
      <c r="B71" s="3">
        <v>9.0</v>
      </c>
      <c r="C71" s="3">
        <v>1.0</v>
      </c>
      <c r="D71" s="3">
        <v>2020.0</v>
      </c>
      <c r="E71" s="3" t="s">
        <v>32</v>
      </c>
      <c r="F71" s="3" t="s">
        <v>244</v>
      </c>
      <c r="G71" s="3">
        <v>1500.0</v>
      </c>
    </row>
    <row r="72">
      <c r="A72" s="3" t="s">
        <v>189</v>
      </c>
      <c r="B72" s="3">
        <v>10.0</v>
      </c>
      <c r="C72" s="3">
        <v>1.0</v>
      </c>
      <c r="D72" s="3">
        <v>2019.0</v>
      </c>
      <c r="E72" s="3" t="s">
        <v>226</v>
      </c>
      <c r="F72" s="3" t="s">
        <v>185</v>
      </c>
      <c r="G72" s="3">
        <v>1500.0</v>
      </c>
    </row>
    <row r="73">
      <c r="A73" s="3" t="s">
        <v>189</v>
      </c>
      <c r="C73" s="3">
        <v>1.0</v>
      </c>
      <c r="D73" s="3">
        <v>2018.0</v>
      </c>
      <c r="E73" s="3" t="s">
        <v>198</v>
      </c>
      <c r="F73" s="3" t="s">
        <v>245</v>
      </c>
      <c r="G73" s="3">
        <v>3000.0</v>
      </c>
    </row>
    <row r="74">
      <c r="A74" s="3" t="s">
        <v>189</v>
      </c>
      <c r="C74" s="3">
        <v>1.0</v>
      </c>
      <c r="D74" s="3">
        <v>2018.0</v>
      </c>
      <c r="E74" s="3" t="s">
        <v>197</v>
      </c>
      <c r="F74" s="3" t="s">
        <v>83</v>
      </c>
      <c r="G74" s="3">
        <v>3000.0</v>
      </c>
    </row>
    <row r="75">
      <c r="A75" s="3" t="s">
        <v>189</v>
      </c>
      <c r="C75" s="3">
        <v>1.0</v>
      </c>
      <c r="D75" s="3">
        <v>2022.0</v>
      </c>
      <c r="E75" s="3" t="s">
        <v>198</v>
      </c>
      <c r="F75" s="3" t="s">
        <v>246</v>
      </c>
      <c r="G75" s="3">
        <v>3000.0</v>
      </c>
    </row>
    <row r="76">
      <c r="A76" s="3" t="s">
        <v>189</v>
      </c>
      <c r="C76" s="3">
        <v>1.0</v>
      </c>
      <c r="D76" s="3">
        <v>2021.0</v>
      </c>
      <c r="E76" s="3" t="s">
        <v>198</v>
      </c>
      <c r="F76" s="3" t="s">
        <v>246</v>
      </c>
      <c r="G76" s="3">
        <v>3000.0</v>
      </c>
    </row>
    <row r="77">
      <c r="A77" s="3" t="s">
        <v>189</v>
      </c>
      <c r="C77" s="3">
        <v>1.0</v>
      </c>
      <c r="D77" s="3">
        <v>2022.0</v>
      </c>
      <c r="E77" s="3" t="s">
        <v>198</v>
      </c>
      <c r="F77" s="3" t="s">
        <v>245</v>
      </c>
      <c r="G77" s="3">
        <v>3000.0</v>
      </c>
    </row>
    <row r="78">
      <c r="A78" s="3" t="s">
        <v>189</v>
      </c>
      <c r="B78" s="3">
        <v>7.0</v>
      </c>
      <c r="C78" s="3">
        <v>2.0</v>
      </c>
      <c r="D78" s="3">
        <v>2020.0</v>
      </c>
      <c r="E78" s="3" t="s">
        <v>247</v>
      </c>
      <c r="F78" s="3" t="s">
        <v>273</v>
      </c>
      <c r="G78" s="3">
        <v>750.0</v>
      </c>
    </row>
    <row r="79">
      <c r="A79" s="3" t="s">
        <v>189</v>
      </c>
      <c r="B79" s="3">
        <v>7.0</v>
      </c>
      <c r="C79" s="3">
        <v>1.0</v>
      </c>
      <c r="D79" s="3">
        <v>2017.0</v>
      </c>
      <c r="E79" s="3" t="s">
        <v>247</v>
      </c>
      <c r="F79" s="3" t="s">
        <v>249</v>
      </c>
      <c r="G79" s="3">
        <v>750.0</v>
      </c>
    </row>
    <row r="80">
      <c r="A80" s="3" t="s">
        <v>189</v>
      </c>
      <c r="B80" s="3">
        <v>7.0</v>
      </c>
      <c r="C80" s="3">
        <v>1.0</v>
      </c>
      <c r="D80" s="3">
        <v>2018.0</v>
      </c>
      <c r="E80" s="3" t="s">
        <v>250</v>
      </c>
      <c r="F80" s="3" t="s">
        <v>251</v>
      </c>
      <c r="G80" s="3">
        <v>750.0</v>
      </c>
    </row>
    <row r="81">
      <c r="A81" s="3" t="s">
        <v>189</v>
      </c>
      <c r="B81" s="3">
        <v>7.0</v>
      </c>
      <c r="C81" s="3">
        <v>1.0</v>
      </c>
      <c r="D81" s="3">
        <v>2017.0</v>
      </c>
      <c r="E81" s="3" t="s">
        <v>252</v>
      </c>
      <c r="F81" s="3" t="s">
        <v>253</v>
      </c>
      <c r="G81" s="3">
        <v>750.0</v>
      </c>
    </row>
    <row r="82">
      <c r="A82" s="3" t="s">
        <v>189</v>
      </c>
      <c r="B82" s="3">
        <v>7.0</v>
      </c>
      <c r="C82" s="3">
        <v>1.0</v>
      </c>
      <c r="D82" s="3">
        <v>2018.0</v>
      </c>
      <c r="E82" s="3" t="s">
        <v>254</v>
      </c>
      <c r="F82" s="3" t="s">
        <v>255</v>
      </c>
      <c r="G82" s="3">
        <v>750.0</v>
      </c>
    </row>
    <row r="83">
      <c r="A83" s="3" t="s">
        <v>189</v>
      </c>
      <c r="B83" s="3">
        <v>7.0</v>
      </c>
      <c r="C83" s="3">
        <v>1.0</v>
      </c>
      <c r="D83" s="3">
        <v>2018.0</v>
      </c>
      <c r="E83" s="3" t="s">
        <v>75</v>
      </c>
      <c r="F83" s="3" t="s">
        <v>256</v>
      </c>
      <c r="G83" s="3">
        <v>750.0</v>
      </c>
    </row>
    <row r="84">
      <c r="A84" s="3" t="s">
        <v>189</v>
      </c>
      <c r="B84" s="3">
        <v>7.0</v>
      </c>
      <c r="C84" s="3">
        <v>1.0</v>
      </c>
      <c r="D84" s="3">
        <v>2016.0</v>
      </c>
      <c r="E84" s="3" t="s">
        <v>257</v>
      </c>
      <c r="F84" s="3" t="s">
        <v>39</v>
      </c>
      <c r="G84" s="3">
        <v>750.0</v>
      </c>
    </row>
    <row r="85">
      <c r="A85" s="3" t="s">
        <v>189</v>
      </c>
      <c r="B85" s="3">
        <v>7.0</v>
      </c>
      <c r="C85" s="3">
        <v>1.0</v>
      </c>
      <c r="D85" s="3">
        <v>2018.0</v>
      </c>
      <c r="E85" s="3" t="s">
        <v>198</v>
      </c>
      <c r="F85" s="3" t="s">
        <v>258</v>
      </c>
      <c r="G85" s="3">
        <v>750.0</v>
      </c>
    </row>
    <row r="86">
      <c r="A86" s="3" t="s">
        <v>189</v>
      </c>
      <c r="B86" s="3">
        <v>7.0</v>
      </c>
      <c r="C86" s="3">
        <v>1.0</v>
      </c>
      <c r="D86" s="3">
        <v>2018.0</v>
      </c>
      <c r="E86" s="3" t="s">
        <v>23</v>
      </c>
      <c r="F86" s="3" t="s">
        <v>259</v>
      </c>
      <c r="G86" s="3">
        <v>750.0</v>
      </c>
    </row>
    <row r="87">
      <c r="A87" s="3" t="s">
        <v>189</v>
      </c>
      <c r="B87" s="3">
        <v>8.0</v>
      </c>
      <c r="C87" s="3">
        <v>1.0</v>
      </c>
      <c r="D87" s="3">
        <v>2018.0</v>
      </c>
      <c r="E87" s="3" t="s">
        <v>260</v>
      </c>
      <c r="F87" s="3" t="s">
        <v>261</v>
      </c>
      <c r="G87" s="3">
        <v>750.0</v>
      </c>
    </row>
    <row r="88">
      <c r="A88" s="3" t="s">
        <v>189</v>
      </c>
      <c r="B88" s="3">
        <v>8.0</v>
      </c>
      <c r="C88" s="3">
        <v>1.0</v>
      </c>
      <c r="D88" s="3">
        <v>2020.0</v>
      </c>
      <c r="E88" s="3" t="s">
        <v>92</v>
      </c>
      <c r="F88" s="3" t="s">
        <v>93</v>
      </c>
      <c r="G88" s="3">
        <v>750.0</v>
      </c>
    </row>
    <row r="89">
      <c r="A89" s="3" t="s">
        <v>189</v>
      </c>
      <c r="B89" s="3">
        <v>8.0</v>
      </c>
      <c r="C89" s="3">
        <v>1.0</v>
      </c>
      <c r="D89" s="3">
        <v>2019.0</v>
      </c>
      <c r="E89" s="3" t="s">
        <v>131</v>
      </c>
      <c r="F89" s="3" t="s">
        <v>35</v>
      </c>
      <c r="G89" s="3">
        <v>750.0</v>
      </c>
    </row>
    <row r="90">
      <c r="A90" s="3" t="s">
        <v>189</v>
      </c>
      <c r="B90" s="3">
        <v>8.0</v>
      </c>
      <c r="C90" s="3">
        <v>4.0</v>
      </c>
      <c r="D90" s="3">
        <v>2018.0</v>
      </c>
      <c r="E90" s="3" t="s">
        <v>135</v>
      </c>
      <c r="F90" s="3" t="s">
        <v>262</v>
      </c>
      <c r="G90" s="3">
        <v>750.0</v>
      </c>
    </row>
    <row r="91">
      <c r="A91" s="3" t="s">
        <v>189</v>
      </c>
      <c r="B91" s="3">
        <v>8.0</v>
      </c>
      <c r="C91" s="3">
        <v>1.0</v>
      </c>
      <c r="D91" s="3">
        <v>2017.0</v>
      </c>
      <c r="E91" s="3" t="s">
        <v>263</v>
      </c>
      <c r="F91" s="3" t="s">
        <v>194</v>
      </c>
      <c r="G91" s="3">
        <v>750.0</v>
      </c>
    </row>
    <row r="92">
      <c r="A92" s="3" t="s">
        <v>189</v>
      </c>
      <c r="B92" s="3">
        <v>8.0</v>
      </c>
      <c r="C92" s="3">
        <v>1.0</v>
      </c>
      <c r="D92" s="3">
        <v>2019.0</v>
      </c>
      <c r="E92" s="3" t="s">
        <v>75</v>
      </c>
      <c r="F92" s="3" t="s">
        <v>80</v>
      </c>
      <c r="G92" s="3">
        <v>750.0</v>
      </c>
    </row>
    <row r="93">
      <c r="A93" s="3" t="s">
        <v>189</v>
      </c>
      <c r="B93" s="3">
        <v>8.0</v>
      </c>
      <c r="C93" s="3">
        <v>1.0</v>
      </c>
      <c r="D93" s="3">
        <v>2020.0</v>
      </c>
      <c r="E93" s="3" t="s">
        <v>75</v>
      </c>
      <c r="F93" s="3" t="s">
        <v>264</v>
      </c>
      <c r="G93" s="3">
        <v>750.0</v>
      </c>
    </row>
    <row r="94">
      <c r="A94" s="3" t="s">
        <v>189</v>
      </c>
      <c r="B94" s="3">
        <v>8.0</v>
      </c>
      <c r="C94" s="3">
        <v>1.0</v>
      </c>
      <c r="D94" s="3">
        <v>2019.0</v>
      </c>
      <c r="E94" s="3" t="s">
        <v>145</v>
      </c>
      <c r="F94" s="3" t="s">
        <v>146</v>
      </c>
      <c r="G94" s="3">
        <v>750.0</v>
      </c>
    </row>
    <row r="95">
      <c r="A95" s="3" t="s">
        <v>189</v>
      </c>
      <c r="B95" s="3">
        <v>8.0</v>
      </c>
      <c r="C95" s="3">
        <v>1.0</v>
      </c>
      <c r="D95" s="3">
        <v>2019.0</v>
      </c>
      <c r="E95" s="3" t="s">
        <v>265</v>
      </c>
      <c r="F95" s="3" t="s">
        <v>266</v>
      </c>
      <c r="G95" s="3">
        <v>750.0</v>
      </c>
    </row>
    <row r="96">
      <c r="A96" s="3" t="s">
        <v>189</v>
      </c>
      <c r="B96" s="3">
        <v>8.0</v>
      </c>
      <c r="C96" s="3">
        <v>1.0</v>
      </c>
      <c r="D96" s="3">
        <v>2022.0</v>
      </c>
      <c r="E96" s="3" t="s">
        <v>267</v>
      </c>
      <c r="F96" s="3" t="s">
        <v>268</v>
      </c>
      <c r="G96" s="3">
        <v>750.0</v>
      </c>
    </row>
  </sheetData>
  <autoFilter ref="$C$1:$AE$998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0"/>
    <col customWidth="1" min="6" max="6" width="35.38"/>
  </cols>
  <sheetData>
    <row r="1">
      <c r="A1" s="1" t="s">
        <v>0</v>
      </c>
      <c r="B1" s="1" t="s">
        <v>1</v>
      </c>
      <c r="C1" s="1" t="s">
        <v>269</v>
      </c>
      <c r="D1" s="1" t="s">
        <v>3</v>
      </c>
      <c r="E1" s="1" t="s">
        <v>274</v>
      </c>
      <c r="F1" s="1" t="s">
        <v>275</v>
      </c>
    </row>
    <row r="2">
      <c r="A2" s="3" t="s">
        <v>7</v>
      </c>
      <c r="B2" s="3"/>
      <c r="C2" s="3">
        <v>1.0</v>
      </c>
      <c r="D2" s="3">
        <v>2017.0</v>
      </c>
      <c r="E2" s="3" t="s">
        <v>8</v>
      </c>
      <c r="F2" s="3" t="s">
        <v>9</v>
      </c>
      <c r="G2" s="3">
        <v>1500.0</v>
      </c>
    </row>
    <row r="3">
      <c r="A3" s="3" t="s">
        <v>7</v>
      </c>
      <c r="B3" s="3"/>
      <c r="C3" s="3">
        <v>9.0</v>
      </c>
      <c r="D3" s="3">
        <v>2018.0</v>
      </c>
      <c r="E3" s="3" t="s">
        <v>10</v>
      </c>
      <c r="F3" s="3" t="s">
        <v>11</v>
      </c>
      <c r="G3" s="3">
        <v>750.0</v>
      </c>
    </row>
    <row r="4">
      <c r="A4" s="3" t="s">
        <v>7</v>
      </c>
      <c r="B4" s="3"/>
      <c r="C4" s="3">
        <v>1.0</v>
      </c>
      <c r="D4" s="3">
        <v>2021.0</v>
      </c>
      <c r="E4" s="3" t="s">
        <v>10</v>
      </c>
      <c r="F4" s="3" t="s">
        <v>11</v>
      </c>
      <c r="G4" s="3">
        <v>750.0</v>
      </c>
    </row>
    <row r="5">
      <c r="A5" s="3" t="s">
        <v>7</v>
      </c>
      <c r="B5" s="3"/>
      <c r="C5" s="3">
        <v>1.0</v>
      </c>
      <c r="D5" s="3">
        <v>2021.0</v>
      </c>
      <c r="E5" s="3" t="s">
        <v>12</v>
      </c>
      <c r="F5" s="3" t="s">
        <v>13</v>
      </c>
      <c r="G5" s="3">
        <v>750.0</v>
      </c>
    </row>
    <row r="6">
      <c r="A6" s="3" t="s">
        <v>7</v>
      </c>
      <c r="B6" s="3"/>
      <c r="C6" s="3">
        <v>1.0</v>
      </c>
      <c r="D6" s="3">
        <v>2021.0</v>
      </c>
      <c r="E6" s="3" t="s">
        <v>14</v>
      </c>
      <c r="F6" s="3" t="s">
        <v>15</v>
      </c>
      <c r="G6" s="3">
        <v>750.0</v>
      </c>
    </row>
    <row r="7">
      <c r="A7" s="3" t="s">
        <v>7</v>
      </c>
      <c r="B7" s="3"/>
      <c r="C7" s="3">
        <v>1.0</v>
      </c>
      <c r="D7" s="3">
        <v>2020.0</v>
      </c>
      <c r="E7" s="3" t="s">
        <v>16</v>
      </c>
      <c r="F7" s="3" t="s">
        <v>17</v>
      </c>
      <c r="G7" s="3">
        <v>750.0</v>
      </c>
    </row>
    <row r="8">
      <c r="A8" s="3" t="s">
        <v>7</v>
      </c>
      <c r="B8" s="3"/>
      <c r="C8" s="3">
        <v>1.0</v>
      </c>
      <c r="D8" s="3">
        <v>2020.0</v>
      </c>
      <c r="E8" s="3" t="s">
        <v>16</v>
      </c>
      <c r="F8" s="3" t="s">
        <v>18</v>
      </c>
      <c r="G8" s="3">
        <v>750.0</v>
      </c>
    </row>
    <row r="9">
      <c r="A9" s="3" t="s">
        <v>7</v>
      </c>
      <c r="B9" s="3"/>
      <c r="C9" s="3">
        <v>1.0</v>
      </c>
      <c r="D9" s="3">
        <v>2020.0</v>
      </c>
      <c r="E9" s="3" t="s">
        <v>19</v>
      </c>
      <c r="F9" s="3" t="s">
        <v>20</v>
      </c>
      <c r="G9" s="3">
        <v>750.0</v>
      </c>
    </row>
    <row r="10">
      <c r="A10" s="3" t="s">
        <v>7</v>
      </c>
      <c r="B10" s="3"/>
      <c r="C10" s="3">
        <v>1.0</v>
      </c>
      <c r="D10" s="3">
        <v>2022.0</v>
      </c>
      <c r="E10" s="3" t="s">
        <v>21</v>
      </c>
      <c r="F10" s="3" t="s">
        <v>22</v>
      </c>
      <c r="G10" s="3">
        <v>750.0</v>
      </c>
    </row>
    <row r="11">
      <c r="A11" s="3" t="s">
        <v>7</v>
      </c>
      <c r="B11" s="3"/>
      <c r="C11" s="3">
        <v>1.0</v>
      </c>
      <c r="D11" s="3">
        <v>2022.0</v>
      </c>
      <c r="E11" s="3" t="s">
        <v>23</v>
      </c>
      <c r="F11" s="3" t="s">
        <v>22</v>
      </c>
      <c r="G11" s="3">
        <v>750.0</v>
      </c>
    </row>
    <row r="12">
      <c r="A12" s="3" t="s">
        <v>7</v>
      </c>
      <c r="B12" s="3"/>
      <c r="C12" s="3">
        <v>1.0</v>
      </c>
      <c r="D12" s="3" t="s">
        <v>24</v>
      </c>
      <c r="E12" s="3" t="s">
        <v>25</v>
      </c>
      <c r="F12" s="3" t="s">
        <v>26</v>
      </c>
      <c r="G12" s="3">
        <v>750.0</v>
      </c>
    </row>
    <row r="13">
      <c r="A13" s="3" t="s">
        <v>7</v>
      </c>
      <c r="B13" s="3"/>
      <c r="C13" s="3">
        <v>1.0</v>
      </c>
      <c r="D13" s="3" t="s">
        <v>24</v>
      </c>
      <c r="E13" s="3" t="s">
        <v>27</v>
      </c>
      <c r="G13" s="3">
        <v>750.0</v>
      </c>
    </row>
    <row r="14">
      <c r="A14" s="3" t="s">
        <v>7</v>
      </c>
      <c r="B14" s="3"/>
      <c r="C14" s="3">
        <v>1.0</v>
      </c>
      <c r="D14" s="3">
        <v>2018.0</v>
      </c>
      <c r="E14" s="3" t="s">
        <v>28</v>
      </c>
      <c r="F14" s="3" t="s">
        <v>29</v>
      </c>
      <c r="G14" s="3">
        <v>750.0</v>
      </c>
    </row>
    <row r="15">
      <c r="A15" s="3" t="s">
        <v>7</v>
      </c>
      <c r="B15" s="3"/>
      <c r="C15" s="3">
        <v>1.0</v>
      </c>
      <c r="D15" s="3">
        <v>2019.0</v>
      </c>
      <c r="E15" s="3" t="s">
        <v>28</v>
      </c>
      <c r="F15" s="3" t="s">
        <v>30</v>
      </c>
      <c r="G15" s="3">
        <v>750.0</v>
      </c>
    </row>
    <row r="16">
      <c r="A16" s="3" t="s">
        <v>7</v>
      </c>
      <c r="B16" s="3"/>
      <c r="C16" s="3">
        <v>1.0</v>
      </c>
      <c r="D16" s="3" t="s">
        <v>24</v>
      </c>
      <c r="E16" s="3" t="s">
        <v>28</v>
      </c>
      <c r="F16" s="3" t="s">
        <v>31</v>
      </c>
      <c r="G16" s="3">
        <v>750.0</v>
      </c>
    </row>
    <row r="17">
      <c r="A17" s="3" t="s">
        <v>7</v>
      </c>
      <c r="B17" s="3"/>
      <c r="C17" s="3">
        <v>2.0</v>
      </c>
      <c r="D17" s="3">
        <v>2020.0</v>
      </c>
      <c r="E17" s="3" t="s">
        <v>32</v>
      </c>
      <c r="F17" s="3" t="s">
        <v>29</v>
      </c>
      <c r="G17" s="3">
        <v>750.0</v>
      </c>
    </row>
    <row r="18">
      <c r="A18" s="3" t="s">
        <v>7</v>
      </c>
      <c r="B18" s="3"/>
      <c r="C18" s="3">
        <v>3.0</v>
      </c>
      <c r="D18" s="3">
        <v>2018.0</v>
      </c>
      <c r="E18" s="3" t="s">
        <v>10</v>
      </c>
      <c r="F18" s="3" t="s">
        <v>33</v>
      </c>
      <c r="G18" s="3">
        <v>750.0</v>
      </c>
    </row>
    <row r="19">
      <c r="A19" s="3" t="s">
        <v>7</v>
      </c>
      <c r="B19" s="3"/>
      <c r="C19" s="3">
        <v>5.0</v>
      </c>
      <c r="D19" s="3">
        <v>2020.0</v>
      </c>
      <c r="E19" s="3" t="s">
        <v>34</v>
      </c>
      <c r="F19" s="3" t="s">
        <v>35</v>
      </c>
      <c r="G19" s="3">
        <v>750.0</v>
      </c>
    </row>
    <row r="20">
      <c r="A20" s="3" t="s">
        <v>7</v>
      </c>
      <c r="B20" s="3"/>
      <c r="C20" s="3">
        <v>2.0</v>
      </c>
      <c r="D20" s="3">
        <v>2017.0</v>
      </c>
      <c r="E20" s="3" t="s">
        <v>36</v>
      </c>
      <c r="F20" s="3" t="s">
        <v>37</v>
      </c>
      <c r="G20" s="3">
        <v>750.0</v>
      </c>
    </row>
    <row r="21">
      <c r="A21" s="3" t="s">
        <v>7</v>
      </c>
      <c r="B21" s="3"/>
      <c r="C21" s="3">
        <v>1.0</v>
      </c>
      <c r="D21" s="3">
        <v>2017.0</v>
      </c>
      <c r="E21" s="3" t="s">
        <v>38</v>
      </c>
      <c r="F21" s="3" t="s">
        <v>39</v>
      </c>
      <c r="G21" s="3">
        <v>750.0</v>
      </c>
    </row>
    <row r="22">
      <c r="A22" s="3" t="s">
        <v>7</v>
      </c>
      <c r="B22" s="3"/>
      <c r="C22" s="3">
        <v>1.0</v>
      </c>
      <c r="D22" s="3">
        <v>2020.0</v>
      </c>
      <c r="E22" s="3" t="s">
        <v>40</v>
      </c>
      <c r="F22" s="3" t="s">
        <v>41</v>
      </c>
      <c r="G22" s="3">
        <v>750.0</v>
      </c>
    </row>
    <row r="23">
      <c r="A23" s="3" t="s">
        <v>7</v>
      </c>
      <c r="B23" s="3"/>
      <c r="C23" s="3">
        <v>1.0</v>
      </c>
      <c r="D23" s="3">
        <v>2018.0</v>
      </c>
      <c r="E23" s="3" t="s">
        <v>42</v>
      </c>
      <c r="F23" s="3" t="s">
        <v>43</v>
      </c>
      <c r="G23" s="3">
        <v>750.0</v>
      </c>
    </row>
    <row r="24">
      <c r="A24" s="3" t="s">
        <v>7</v>
      </c>
      <c r="B24" s="3"/>
      <c r="C24" s="3">
        <v>1.0</v>
      </c>
      <c r="D24" s="3">
        <v>2020.0</v>
      </c>
      <c r="E24" s="3" t="s">
        <v>44</v>
      </c>
      <c r="F24" s="3" t="s">
        <v>45</v>
      </c>
      <c r="G24" s="3">
        <v>750.0</v>
      </c>
    </row>
    <row r="25">
      <c r="A25" s="3" t="s">
        <v>7</v>
      </c>
      <c r="B25" s="3"/>
      <c r="C25" s="3">
        <v>1.0</v>
      </c>
      <c r="D25" s="3">
        <v>2018.0</v>
      </c>
      <c r="E25" s="3" t="s">
        <v>46</v>
      </c>
      <c r="F25" s="3" t="s">
        <v>39</v>
      </c>
      <c r="G25" s="3">
        <v>750.0</v>
      </c>
    </row>
    <row r="26">
      <c r="A26" s="3" t="s">
        <v>7</v>
      </c>
      <c r="B26" s="3"/>
      <c r="C26" s="3">
        <v>1.0</v>
      </c>
      <c r="D26" s="3">
        <v>2019.0</v>
      </c>
      <c r="E26" s="3" t="s">
        <v>47</v>
      </c>
      <c r="F26" s="3" t="s">
        <v>48</v>
      </c>
      <c r="G26" s="3">
        <v>750.0</v>
      </c>
    </row>
    <row r="27">
      <c r="A27" s="3" t="s">
        <v>7</v>
      </c>
      <c r="B27" s="3"/>
      <c r="C27" s="3">
        <v>1.0</v>
      </c>
      <c r="D27" s="3">
        <v>2018.0</v>
      </c>
      <c r="E27" s="3" t="s">
        <v>49</v>
      </c>
      <c r="F27" s="3" t="s">
        <v>39</v>
      </c>
      <c r="G27" s="3">
        <v>750.0</v>
      </c>
    </row>
    <row r="28">
      <c r="A28" s="3" t="s">
        <v>7</v>
      </c>
      <c r="B28" s="3"/>
      <c r="C28" s="3">
        <v>1.0</v>
      </c>
      <c r="D28" s="3">
        <v>2020.0</v>
      </c>
      <c r="E28" s="3" t="s">
        <v>50</v>
      </c>
      <c r="F28" s="3" t="s">
        <v>51</v>
      </c>
      <c r="G28" s="3">
        <v>750.0</v>
      </c>
    </row>
    <row r="29">
      <c r="A29" s="3" t="s">
        <v>7</v>
      </c>
      <c r="B29" s="3"/>
      <c r="C29" s="3">
        <v>1.0</v>
      </c>
      <c r="D29" s="3">
        <v>2017.0</v>
      </c>
      <c r="E29" s="3" t="s">
        <v>52</v>
      </c>
      <c r="F29" s="3" t="s">
        <v>53</v>
      </c>
      <c r="G29" s="3">
        <v>750.0</v>
      </c>
    </row>
    <row r="30">
      <c r="A30" s="3" t="s">
        <v>7</v>
      </c>
      <c r="B30" s="3"/>
      <c r="C30" s="3">
        <v>1.0</v>
      </c>
      <c r="D30" s="3">
        <v>2018.0</v>
      </c>
      <c r="E30" s="3" t="s">
        <v>276</v>
      </c>
      <c r="F30" s="3" t="s">
        <v>277</v>
      </c>
      <c r="G30" s="3">
        <v>750.0</v>
      </c>
    </row>
    <row r="31">
      <c r="A31" s="3" t="s">
        <v>7</v>
      </c>
      <c r="B31" s="3"/>
      <c r="C31" s="3">
        <v>3.0</v>
      </c>
      <c r="D31" s="3">
        <v>2019.0</v>
      </c>
      <c r="E31" s="3" t="s">
        <v>23</v>
      </c>
      <c r="F31" s="3" t="s">
        <v>278</v>
      </c>
      <c r="G31" s="3">
        <v>750.0</v>
      </c>
    </row>
    <row r="32">
      <c r="A32" s="3" t="s">
        <v>7</v>
      </c>
      <c r="B32" s="3"/>
      <c r="C32" s="3">
        <v>4.0</v>
      </c>
      <c r="D32" s="3">
        <v>2018.0</v>
      </c>
      <c r="E32" s="3" t="s">
        <v>23</v>
      </c>
      <c r="F32" s="3" t="s">
        <v>57</v>
      </c>
      <c r="G32" s="3">
        <v>750.0</v>
      </c>
    </row>
    <row r="33">
      <c r="A33" s="3" t="s">
        <v>7</v>
      </c>
      <c r="B33" s="3"/>
      <c r="C33" s="3">
        <v>1.0</v>
      </c>
      <c r="D33" s="3">
        <v>2016.0</v>
      </c>
      <c r="E33" s="3" t="s">
        <v>23</v>
      </c>
      <c r="F33" s="3" t="s">
        <v>58</v>
      </c>
      <c r="G33" s="3">
        <v>750.0</v>
      </c>
    </row>
    <row r="34">
      <c r="A34" s="3" t="s">
        <v>7</v>
      </c>
      <c r="B34" s="3"/>
      <c r="C34" s="3">
        <v>1.0</v>
      </c>
      <c r="D34" s="3">
        <v>2016.0</v>
      </c>
      <c r="E34" s="3" t="s">
        <v>23</v>
      </c>
      <c r="F34" s="3" t="s">
        <v>59</v>
      </c>
      <c r="G34" s="3">
        <v>750.0</v>
      </c>
    </row>
    <row r="35">
      <c r="A35" s="3" t="s">
        <v>7</v>
      </c>
      <c r="B35" s="3"/>
      <c r="C35" s="3">
        <v>1.0</v>
      </c>
      <c r="D35" s="3">
        <v>2018.0</v>
      </c>
      <c r="E35" s="3" t="s">
        <v>23</v>
      </c>
      <c r="F35" s="3" t="s">
        <v>60</v>
      </c>
      <c r="G35" s="3">
        <v>750.0</v>
      </c>
    </row>
    <row r="36">
      <c r="A36" s="3" t="s">
        <v>7</v>
      </c>
      <c r="B36" s="3"/>
      <c r="C36" s="3">
        <v>1.0</v>
      </c>
      <c r="D36" s="3">
        <v>2021.0</v>
      </c>
      <c r="E36" s="3" t="s">
        <v>61</v>
      </c>
      <c r="F36" s="3" t="s">
        <v>62</v>
      </c>
      <c r="G36" s="3">
        <v>750.0</v>
      </c>
    </row>
    <row r="37">
      <c r="A37" s="3" t="s">
        <v>7</v>
      </c>
      <c r="B37" s="3"/>
      <c r="C37" s="3">
        <v>1.0</v>
      </c>
      <c r="D37" s="3">
        <v>2018.0</v>
      </c>
      <c r="E37" s="3" t="s">
        <v>63</v>
      </c>
      <c r="F37" s="3" t="s">
        <v>64</v>
      </c>
      <c r="G37" s="3">
        <v>750.0</v>
      </c>
    </row>
    <row r="38">
      <c r="A38" s="3" t="s">
        <v>7</v>
      </c>
      <c r="B38" s="3"/>
      <c r="C38" s="3">
        <v>1.0</v>
      </c>
      <c r="D38" s="3">
        <v>2016.0</v>
      </c>
      <c r="E38" s="3" t="s">
        <v>65</v>
      </c>
      <c r="F38" s="3" t="s">
        <v>66</v>
      </c>
      <c r="G38" s="3">
        <v>750.0</v>
      </c>
    </row>
    <row r="39">
      <c r="A39" s="3" t="s">
        <v>7</v>
      </c>
      <c r="B39" s="3"/>
      <c r="C39" s="3">
        <v>2.0</v>
      </c>
      <c r="D39" s="3">
        <v>2019.0</v>
      </c>
      <c r="E39" s="3" t="s">
        <v>67</v>
      </c>
      <c r="F39" s="3" t="s">
        <v>68</v>
      </c>
      <c r="G39" s="3">
        <v>750.0</v>
      </c>
    </row>
    <row r="40">
      <c r="A40" s="3" t="s">
        <v>7</v>
      </c>
      <c r="B40" s="3"/>
      <c r="C40" s="3">
        <v>1.0</v>
      </c>
      <c r="D40" s="3">
        <v>2018.0</v>
      </c>
      <c r="E40" s="3" t="s">
        <v>69</v>
      </c>
      <c r="F40" s="3" t="s">
        <v>70</v>
      </c>
      <c r="G40" s="3">
        <v>750.0</v>
      </c>
    </row>
    <row r="41">
      <c r="A41" s="3" t="s">
        <v>7</v>
      </c>
      <c r="B41" s="3"/>
      <c r="C41" s="3">
        <v>1.0</v>
      </c>
      <c r="D41" s="3">
        <v>2017.0</v>
      </c>
      <c r="E41" s="3" t="s">
        <v>71</v>
      </c>
      <c r="F41" s="3" t="s">
        <v>72</v>
      </c>
      <c r="G41" s="3">
        <v>750.0</v>
      </c>
    </row>
    <row r="42">
      <c r="A42" s="3" t="s">
        <v>7</v>
      </c>
      <c r="B42" s="3"/>
      <c r="C42" s="3">
        <v>2.0</v>
      </c>
      <c r="D42" s="3">
        <v>2019.0</v>
      </c>
      <c r="E42" s="3" t="s">
        <v>73</v>
      </c>
      <c r="F42" s="3" t="s">
        <v>74</v>
      </c>
      <c r="G42" s="3">
        <v>750.0</v>
      </c>
    </row>
    <row r="43">
      <c r="A43" s="3" t="s">
        <v>7</v>
      </c>
      <c r="B43" s="3"/>
      <c r="C43" s="3">
        <v>1.0</v>
      </c>
      <c r="D43" s="3">
        <v>2019.0</v>
      </c>
      <c r="E43" s="3" t="s">
        <v>75</v>
      </c>
      <c r="F43" s="3" t="s">
        <v>76</v>
      </c>
      <c r="G43" s="3">
        <v>750.0</v>
      </c>
    </row>
    <row r="44">
      <c r="A44" s="3" t="s">
        <v>7</v>
      </c>
      <c r="B44" s="3"/>
      <c r="C44" s="3">
        <v>1.0</v>
      </c>
      <c r="D44" s="3">
        <v>2018.0</v>
      </c>
      <c r="E44" s="3" t="s">
        <v>75</v>
      </c>
      <c r="F44" s="3" t="s">
        <v>77</v>
      </c>
      <c r="G44" s="3">
        <v>750.0</v>
      </c>
    </row>
    <row r="45">
      <c r="A45" s="3" t="s">
        <v>7</v>
      </c>
      <c r="B45" s="3"/>
      <c r="C45" s="3">
        <v>2.0</v>
      </c>
      <c r="D45" s="3">
        <v>2019.0</v>
      </c>
      <c r="E45" s="3" t="s">
        <v>73</v>
      </c>
      <c r="F45" s="3" t="s">
        <v>78</v>
      </c>
      <c r="G45" s="3">
        <v>750.0</v>
      </c>
    </row>
    <row r="46">
      <c r="A46" s="3" t="s">
        <v>7</v>
      </c>
      <c r="B46" s="3"/>
      <c r="C46" s="3">
        <v>1.0</v>
      </c>
      <c r="D46" s="3">
        <v>2019.0</v>
      </c>
      <c r="E46" s="3" t="s">
        <v>73</v>
      </c>
      <c r="F46" s="3" t="s">
        <v>79</v>
      </c>
      <c r="G46" s="3">
        <v>750.0</v>
      </c>
    </row>
    <row r="47">
      <c r="A47" s="3" t="s">
        <v>7</v>
      </c>
      <c r="B47" s="3"/>
      <c r="C47" s="3">
        <v>1.0</v>
      </c>
      <c r="D47" s="3">
        <v>2017.0</v>
      </c>
      <c r="E47" s="3" t="s">
        <v>75</v>
      </c>
      <c r="F47" s="3" t="s">
        <v>80</v>
      </c>
      <c r="G47" s="3">
        <v>750.0</v>
      </c>
    </row>
    <row r="48">
      <c r="A48" s="3" t="s">
        <v>7</v>
      </c>
      <c r="B48" s="3"/>
      <c r="C48" s="3">
        <v>1.0</v>
      </c>
      <c r="D48" s="3">
        <v>2019.0</v>
      </c>
      <c r="E48" s="3" t="s">
        <v>75</v>
      </c>
      <c r="F48" s="3" t="s">
        <v>81</v>
      </c>
      <c r="G48" s="3">
        <v>750.0</v>
      </c>
    </row>
    <row r="49">
      <c r="A49" s="3" t="s">
        <v>7</v>
      </c>
      <c r="B49" s="3"/>
      <c r="C49" s="3">
        <v>3.0</v>
      </c>
      <c r="D49" s="3">
        <v>2022.0</v>
      </c>
      <c r="E49" s="3" t="s">
        <v>82</v>
      </c>
      <c r="F49" s="3" t="s">
        <v>83</v>
      </c>
      <c r="G49" s="3">
        <v>750.0</v>
      </c>
    </row>
    <row r="50">
      <c r="A50" s="3" t="s">
        <v>7</v>
      </c>
      <c r="B50" s="3"/>
      <c r="C50" s="3">
        <v>1.0</v>
      </c>
      <c r="D50" s="3">
        <v>2015.0</v>
      </c>
      <c r="E50" s="3" t="s">
        <v>84</v>
      </c>
      <c r="F50" s="3" t="s">
        <v>85</v>
      </c>
      <c r="G50" s="3">
        <v>750.0</v>
      </c>
    </row>
    <row r="51">
      <c r="A51" s="3" t="s">
        <v>7</v>
      </c>
      <c r="B51" s="3"/>
      <c r="C51" s="3">
        <v>1.0</v>
      </c>
      <c r="D51" s="3">
        <v>2017.0</v>
      </c>
      <c r="E51" s="3" t="s">
        <v>86</v>
      </c>
      <c r="F51" s="3" t="s">
        <v>87</v>
      </c>
      <c r="G51" s="3">
        <v>750.0</v>
      </c>
    </row>
    <row r="52">
      <c r="A52" s="3" t="s">
        <v>7</v>
      </c>
      <c r="B52" s="3"/>
      <c r="C52" s="3">
        <v>1.0</v>
      </c>
      <c r="D52" s="3">
        <v>2016.0</v>
      </c>
      <c r="E52" s="3" t="s">
        <v>88</v>
      </c>
      <c r="F52" s="3" t="s">
        <v>89</v>
      </c>
      <c r="G52" s="3">
        <v>750.0</v>
      </c>
    </row>
    <row r="53">
      <c r="A53" s="3" t="s">
        <v>7</v>
      </c>
      <c r="B53" s="3"/>
      <c r="C53" s="3">
        <v>2.0</v>
      </c>
      <c r="D53" s="3">
        <v>2010.0</v>
      </c>
      <c r="E53" s="3" t="s">
        <v>90</v>
      </c>
      <c r="F53" s="3" t="s">
        <v>91</v>
      </c>
      <c r="G53" s="3">
        <v>750.0</v>
      </c>
    </row>
    <row r="54">
      <c r="A54" s="3" t="s">
        <v>7</v>
      </c>
      <c r="B54" s="3"/>
      <c r="C54" s="3">
        <v>1.0</v>
      </c>
      <c r="D54" s="3">
        <v>2020.0</v>
      </c>
      <c r="E54" s="3" t="s">
        <v>92</v>
      </c>
      <c r="F54" s="3" t="s">
        <v>93</v>
      </c>
      <c r="G54" s="3">
        <v>750.0</v>
      </c>
    </row>
    <row r="55">
      <c r="A55" s="3" t="s">
        <v>7</v>
      </c>
      <c r="B55" s="3"/>
      <c r="C55" s="3">
        <v>2.0</v>
      </c>
      <c r="D55" s="3">
        <v>2020.0</v>
      </c>
      <c r="E55" s="3" t="s">
        <v>94</v>
      </c>
      <c r="F55" s="3" t="s">
        <v>35</v>
      </c>
      <c r="G55" s="3">
        <v>750.0</v>
      </c>
    </row>
    <row r="56">
      <c r="A56" s="3" t="s">
        <v>7</v>
      </c>
      <c r="B56" s="3"/>
      <c r="C56" s="3">
        <v>1.0</v>
      </c>
      <c r="D56" s="3">
        <v>2021.0</v>
      </c>
      <c r="E56" s="3" t="s">
        <v>95</v>
      </c>
      <c r="F56" s="3" t="s">
        <v>96</v>
      </c>
      <c r="G56" s="3">
        <v>750.0</v>
      </c>
    </row>
    <row r="57">
      <c r="A57" s="3" t="s">
        <v>7</v>
      </c>
      <c r="B57" s="3"/>
      <c r="C57" s="3">
        <v>1.0</v>
      </c>
      <c r="D57" s="3">
        <v>2020.0</v>
      </c>
      <c r="E57" s="3" t="s">
        <v>97</v>
      </c>
      <c r="F57" s="3" t="s">
        <v>98</v>
      </c>
      <c r="G57" s="3">
        <v>750.0</v>
      </c>
    </row>
    <row r="58">
      <c r="A58" s="3" t="s">
        <v>7</v>
      </c>
      <c r="B58" s="3"/>
      <c r="C58" s="3">
        <v>1.0</v>
      </c>
      <c r="D58" s="3">
        <v>2020.0</v>
      </c>
      <c r="E58" s="3" t="s">
        <v>99</v>
      </c>
      <c r="F58" s="3" t="s">
        <v>100</v>
      </c>
      <c r="G58" s="3">
        <v>750.0</v>
      </c>
    </row>
    <row r="59">
      <c r="A59" s="3" t="s">
        <v>7</v>
      </c>
      <c r="B59" s="3"/>
      <c r="C59" s="3">
        <v>1.0</v>
      </c>
      <c r="D59" s="3">
        <v>2018.0</v>
      </c>
      <c r="E59" s="3" t="s">
        <v>101</v>
      </c>
      <c r="F59" s="3" t="s">
        <v>102</v>
      </c>
      <c r="G59" s="3">
        <v>750.0</v>
      </c>
    </row>
    <row r="60">
      <c r="A60" s="3" t="s">
        <v>7</v>
      </c>
      <c r="B60" s="3"/>
      <c r="C60" s="3">
        <v>1.0</v>
      </c>
      <c r="D60" s="3">
        <v>2018.0</v>
      </c>
      <c r="E60" s="3" t="s">
        <v>101</v>
      </c>
      <c r="F60" s="3" t="s">
        <v>103</v>
      </c>
      <c r="G60" s="3">
        <v>750.0</v>
      </c>
    </row>
    <row r="61">
      <c r="A61" s="3" t="s">
        <v>7</v>
      </c>
      <c r="B61" s="3"/>
      <c r="C61" s="3">
        <v>1.0</v>
      </c>
      <c r="D61" s="3">
        <v>2017.0</v>
      </c>
      <c r="E61" s="3" t="s">
        <v>46</v>
      </c>
      <c r="F61" s="3" t="s">
        <v>104</v>
      </c>
      <c r="G61" s="3">
        <v>750.0</v>
      </c>
    </row>
    <row r="62">
      <c r="A62" s="3" t="s">
        <v>7</v>
      </c>
      <c r="B62" s="3"/>
      <c r="C62" s="3">
        <v>1.0</v>
      </c>
      <c r="D62" s="3">
        <v>2018.0</v>
      </c>
      <c r="E62" s="3" t="s">
        <v>105</v>
      </c>
      <c r="F62" s="3" t="s">
        <v>106</v>
      </c>
      <c r="G62" s="3">
        <v>750.0</v>
      </c>
    </row>
    <row r="63">
      <c r="A63" s="3" t="s">
        <v>7</v>
      </c>
      <c r="B63" s="3"/>
      <c r="C63" s="3">
        <v>1.0</v>
      </c>
      <c r="D63" s="3">
        <v>2017.0</v>
      </c>
      <c r="E63" s="3" t="s">
        <v>65</v>
      </c>
      <c r="F63" s="3" t="s">
        <v>107</v>
      </c>
      <c r="G63" s="3">
        <v>750.0</v>
      </c>
    </row>
    <row r="64">
      <c r="A64" s="3" t="s">
        <v>7</v>
      </c>
      <c r="B64" s="3"/>
      <c r="C64" s="3">
        <v>1.0</v>
      </c>
      <c r="D64" s="3">
        <v>2019.0</v>
      </c>
      <c r="E64" s="3" t="s">
        <v>108</v>
      </c>
      <c r="F64" s="3" t="s">
        <v>109</v>
      </c>
      <c r="G64" s="3">
        <v>750.0</v>
      </c>
    </row>
    <row r="65">
      <c r="A65" s="3" t="s">
        <v>7</v>
      </c>
      <c r="B65" s="3"/>
      <c r="C65" s="3">
        <v>1.0</v>
      </c>
      <c r="D65" s="3">
        <v>2019.0</v>
      </c>
      <c r="E65" s="3" t="s">
        <v>23</v>
      </c>
      <c r="F65" s="3" t="s">
        <v>110</v>
      </c>
      <c r="G65" s="3">
        <v>750.0</v>
      </c>
    </row>
    <row r="66">
      <c r="A66" s="3" t="s">
        <v>7</v>
      </c>
      <c r="B66" s="3"/>
      <c r="C66" s="3">
        <v>1.0</v>
      </c>
      <c r="D66" s="3">
        <v>2014.0</v>
      </c>
      <c r="E66" s="3" t="s">
        <v>23</v>
      </c>
      <c r="F66" s="3" t="s">
        <v>111</v>
      </c>
      <c r="G66" s="3">
        <v>750.0</v>
      </c>
    </row>
    <row r="67">
      <c r="A67" s="3" t="s">
        <v>7</v>
      </c>
      <c r="B67" s="3"/>
      <c r="C67" s="3">
        <v>1.0</v>
      </c>
      <c r="D67" s="3">
        <v>2018.0</v>
      </c>
      <c r="E67" s="3" t="s">
        <v>23</v>
      </c>
      <c r="F67" s="3" t="s">
        <v>112</v>
      </c>
      <c r="G67" s="3">
        <v>750.0</v>
      </c>
    </row>
    <row r="68">
      <c r="A68" s="3" t="s">
        <v>7</v>
      </c>
      <c r="B68" s="3"/>
      <c r="C68" s="3">
        <v>2.0</v>
      </c>
      <c r="D68" s="3">
        <v>2019.0</v>
      </c>
      <c r="E68" s="3" t="s">
        <v>23</v>
      </c>
      <c r="F68" s="3" t="s">
        <v>57</v>
      </c>
      <c r="G68" s="3">
        <v>750.0</v>
      </c>
    </row>
    <row r="69">
      <c r="A69" s="3" t="s">
        <v>7</v>
      </c>
      <c r="B69" s="3"/>
      <c r="C69" s="3">
        <v>1.0</v>
      </c>
      <c r="D69" s="3">
        <v>2016.0</v>
      </c>
      <c r="E69" s="3" t="s">
        <v>113</v>
      </c>
      <c r="F69" s="3" t="s">
        <v>114</v>
      </c>
      <c r="G69" s="3">
        <v>750.0</v>
      </c>
    </row>
    <row r="70">
      <c r="A70" s="3" t="s">
        <v>7</v>
      </c>
      <c r="B70" s="3"/>
      <c r="C70" s="3">
        <v>1.0</v>
      </c>
      <c r="D70" s="3">
        <v>2020.0</v>
      </c>
      <c r="E70" s="3" t="s">
        <v>115</v>
      </c>
      <c r="F70" s="3" t="s">
        <v>116</v>
      </c>
      <c r="G70" s="3">
        <v>750.0</v>
      </c>
    </row>
    <row r="71">
      <c r="A71" s="3" t="s">
        <v>7</v>
      </c>
      <c r="B71" s="3"/>
      <c r="C71" s="3">
        <v>1.0</v>
      </c>
      <c r="D71" s="3">
        <v>2017.0</v>
      </c>
      <c r="E71" s="3" t="s">
        <v>117</v>
      </c>
      <c r="F71" s="3" t="s">
        <v>118</v>
      </c>
      <c r="G71" s="3">
        <v>750.0</v>
      </c>
    </row>
    <row r="72">
      <c r="A72" s="3" t="s">
        <v>7</v>
      </c>
      <c r="B72" s="3"/>
      <c r="C72" s="3">
        <v>1.0</v>
      </c>
      <c r="D72" s="3">
        <v>2017.0</v>
      </c>
      <c r="E72" s="3" t="s">
        <v>119</v>
      </c>
      <c r="F72" s="3" t="s">
        <v>120</v>
      </c>
      <c r="G72" s="3">
        <v>750.0</v>
      </c>
    </row>
    <row r="73">
      <c r="A73" s="3" t="s">
        <v>7</v>
      </c>
      <c r="B73" s="3"/>
      <c r="C73" s="3">
        <v>1.0</v>
      </c>
      <c r="D73" s="3">
        <v>2020.0</v>
      </c>
      <c r="E73" s="3" t="s">
        <v>121</v>
      </c>
      <c r="F73" s="3" t="s">
        <v>122</v>
      </c>
      <c r="G73" s="3">
        <v>750.0</v>
      </c>
    </row>
    <row r="74">
      <c r="A74" s="3" t="s">
        <v>7</v>
      </c>
      <c r="B74" s="3"/>
      <c r="C74" s="3">
        <v>1.0</v>
      </c>
      <c r="D74" s="3">
        <v>2021.0</v>
      </c>
      <c r="E74" s="3" t="s">
        <v>123</v>
      </c>
      <c r="F74" s="3" t="s">
        <v>124</v>
      </c>
      <c r="G74" s="3">
        <v>750.0</v>
      </c>
    </row>
    <row r="75">
      <c r="A75" s="3" t="s">
        <v>7</v>
      </c>
      <c r="B75" s="3"/>
      <c r="C75" s="3">
        <v>1.0</v>
      </c>
      <c r="D75" s="3">
        <v>2020.0</v>
      </c>
      <c r="E75" s="3" t="s">
        <v>125</v>
      </c>
      <c r="F75" s="3" t="s">
        <v>126</v>
      </c>
      <c r="G75" s="3">
        <v>750.0</v>
      </c>
    </row>
    <row r="76">
      <c r="A76" s="3" t="s">
        <v>7</v>
      </c>
      <c r="B76" s="3"/>
      <c r="C76" s="3">
        <v>1.0</v>
      </c>
      <c r="D76" s="3">
        <v>2021.0</v>
      </c>
      <c r="E76" s="3" t="s">
        <v>127</v>
      </c>
      <c r="F76" s="3" t="s">
        <v>128</v>
      </c>
      <c r="G76" s="3">
        <v>750.0</v>
      </c>
    </row>
    <row r="77">
      <c r="A77" s="3" t="s">
        <v>7</v>
      </c>
      <c r="B77" s="3"/>
      <c r="C77" s="3">
        <v>1.0</v>
      </c>
      <c r="D77" s="3">
        <v>2018.0</v>
      </c>
      <c r="E77" s="3" t="s">
        <v>129</v>
      </c>
      <c r="F77" s="3" t="s">
        <v>130</v>
      </c>
      <c r="G77" s="3">
        <v>750.0</v>
      </c>
    </row>
    <row r="78">
      <c r="A78" s="3" t="s">
        <v>7</v>
      </c>
      <c r="B78" s="3"/>
      <c r="C78" s="3">
        <v>1.0</v>
      </c>
      <c r="D78" s="3">
        <v>2019.0</v>
      </c>
      <c r="E78" s="3" t="s">
        <v>131</v>
      </c>
      <c r="F78" s="3" t="s">
        <v>35</v>
      </c>
      <c r="G78" s="3">
        <v>750.0</v>
      </c>
    </row>
    <row r="79">
      <c r="A79" s="3" t="s">
        <v>7</v>
      </c>
      <c r="B79" s="3"/>
      <c r="C79" s="3">
        <v>1.0</v>
      </c>
      <c r="D79" s="3">
        <v>2015.0</v>
      </c>
      <c r="E79" s="3" t="s">
        <v>86</v>
      </c>
      <c r="F79" s="3" t="s">
        <v>132</v>
      </c>
      <c r="G79" s="3">
        <v>750.0</v>
      </c>
    </row>
    <row r="80">
      <c r="A80" s="3" t="s">
        <v>7</v>
      </c>
      <c r="B80" s="3"/>
      <c r="C80" s="3">
        <v>1.0</v>
      </c>
      <c r="D80" s="3">
        <v>2014.0</v>
      </c>
      <c r="E80" s="3" t="s">
        <v>86</v>
      </c>
      <c r="F80" s="3" t="s">
        <v>35</v>
      </c>
      <c r="G80" s="3">
        <v>750.0</v>
      </c>
    </row>
    <row r="81">
      <c r="A81" s="3" t="s">
        <v>7</v>
      </c>
      <c r="B81" s="3"/>
      <c r="C81" s="3">
        <v>1.0</v>
      </c>
      <c r="D81" s="3">
        <v>2020.0</v>
      </c>
      <c r="E81" s="3" t="s">
        <v>75</v>
      </c>
      <c r="F81" s="3" t="s">
        <v>133</v>
      </c>
      <c r="G81" s="3">
        <v>750.0</v>
      </c>
    </row>
    <row r="82">
      <c r="A82" s="3" t="s">
        <v>7</v>
      </c>
      <c r="B82" s="3"/>
      <c r="C82" s="3">
        <v>1.0</v>
      </c>
      <c r="D82" s="3">
        <v>2018.0</v>
      </c>
      <c r="E82" s="3" t="s">
        <v>16</v>
      </c>
      <c r="F82" s="3" t="s">
        <v>134</v>
      </c>
      <c r="G82" s="3">
        <v>750.0</v>
      </c>
    </row>
    <row r="83">
      <c r="A83" s="3" t="s">
        <v>7</v>
      </c>
      <c r="B83" s="3"/>
      <c r="C83" s="3">
        <v>3.0</v>
      </c>
      <c r="D83" s="3">
        <v>2014.0</v>
      </c>
      <c r="E83" s="3" t="s">
        <v>135</v>
      </c>
      <c r="F83" s="3" t="s">
        <v>136</v>
      </c>
      <c r="G83" s="3">
        <v>750.0</v>
      </c>
    </row>
    <row r="84">
      <c r="A84" s="3" t="s">
        <v>7</v>
      </c>
      <c r="B84" s="3"/>
      <c r="C84" s="3">
        <v>1.0</v>
      </c>
      <c r="D84" s="3">
        <v>2017.0</v>
      </c>
      <c r="E84" s="3" t="s">
        <v>86</v>
      </c>
      <c r="F84" s="3" t="s">
        <v>39</v>
      </c>
      <c r="G84" s="3">
        <v>750.0</v>
      </c>
    </row>
    <row r="85">
      <c r="A85" s="3" t="s">
        <v>7</v>
      </c>
      <c r="B85" s="3"/>
      <c r="C85" s="3">
        <v>1.0</v>
      </c>
      <c r="D85" s="3">
        <v>2016.0</v>
      </c>
      <c r="E85" s="3" t="s">
        <v>137</v>
      </c>
      <c r="F85" s="3" t="s">
        <v>138</v>
      </c>
      <c r="G85" s="3">
        <v>750.0</v>
      </c>
    </row>
    <row r="86">
      <c r="A86" s="3" t="s">
        <v>7</v>
      </c>
      <c r="B86" s="3"/>
      <c r="C86" s="3">
        <v>1.0</v>
      </c>
      <c r="D86" s="3">
        <v>2017.0</v>
      </c>
      <c r="E86" s="3" t="s">
        <v>139</v>
      </c>
      <c r="F86" s="3" t="s">
        <v>140</v>
      </c>
      <c r="G86" s="3">
        <v>750.0</v>
      </c>
    </row>
    <row r="87">
      <c r="A87" s="3" t="s">
        <v>7</v>
      </c>
      <c r="B87" s="3"/>
      <c r="C87" s="3">
        <v>1.0</v>
      </c>
      <c r="D87" s="3">
        <v>2018.0</v>
      </c>
      <c r="E87" s="3" t="s">
        <v>47</v>
      </c>
      <c r="F87" s="3" t="s">
        <v>141</v>
      </c>
      <c r="G87" s="3">
        <v>750.0</v>
      </c>
    </row>
    <row r="88">
      <c r="A88" s="3" t="s">
        <v>7</v>
      </c>
      <c r="B88" s="3"/>
      <c r="C88" s="3">
        <v>1.0</v>
      </c>
      <c r="D88" s="3">
        <v>2016.0</v>
      </c>
      <c r="E88" s="3" t="s">
        <v>86</v>
      </c>
      <c r="F88" s="3" t="s">
        <v>35</v>
      </c>
      <c r="G88" s="3">
        <v>750.0</v>
      </c>
    </row>
    <row r="89">
      <c r="A89" s="3" t="s">
        <v>7</v>
      </c>
      <c r="B89" s="3"/>
      <c r="C89" s="3">
        <v>1.0</v>
      </c>
      <c r="D89" s="3">
        <v>2018.0</v>
      </c>
      <c r="E89" s="3" t="s">
        <v>142</v>
      </c>
      <c r="F89" s="3" t="s">
        <v>104</v>
      </c>
      <c r="G89" s="3">
        <v>750.0</v>
      </c>
    </row>
    <row r="90">
      <c r="A90" s="3" t="s">
        <v>7</v>
      </c>
      <c r="B90" s="3"/>
      <c r="C90" s="3">
        <v>1.0</v>
      </c>
      <c r="D90" s="3">
        <v>2019.0</v>
      </c>
      <c r="E90" s="3" t="s">
        <v>75</v>
      </c>
      <c r="F90" s="3" t="s">
        <v>133</v>
      </c>
      <c r="G90" s="3">
        <v>750.0</v>
      </c>
    </row>
    <row r="91">
      <c r="A91" s="3" t="s">
        <v>7</v>
      </c>
      <c r="B91" s="3"/>
      <c r="C91" s="3">
        <v>1.0</v>
      </c>
      <c r="D91" s="3">
        <v>2017.0</v>
      </c>
      <c r="E91" s="3" t="s">
        <v>47</v>
      </c>
      <c r="F91" s="3" t="s">
        <v>143</v>
      </c>
      <c r="G91" s="3">
        <v>750.0</v>
      </c>
    </row>
    <row r="92">
      <c r="A92" s="3" t="s">
        <v>7</v>
      </c>
      <c r="B92" s="3"/>
      <c r="C92" s="3">
        <v>1.0</v>
      </c>
      <c r="D92" s="3">
        <v>2018.0</v>
      </c>
      <c r="E92" s="3" t="s">
        <v>42</v>
      </c>
      <c r="F92" s="3" t="s">
        <v>144</v>
      </c>
      <c r="G92" s="3">
        <v>750.0</v>
      </c>
    </row>
    <row r="93">
      <c r="A93" s="3" t="s">
        <v>7</v>
      </c>
      <c r="B93" s="3"/>
      <c r="C93" s="3">
        <v>1.0</v>
      </c>
      <c r="D93" s="3">
        <v>2019.0</v>
      </c>
      <c r="E93" s="3" t="s">
        <v>42</v>
      </c>
      <c r="F93" s="3" t="s">
        <v>35</v>
      </c>
      <c r="G93" s="3">
        <v>750.0</v>
      </c>
    </row>
    <row r="94">
      <c r="A94" s="3" t="s">
        <v>7</v>
      </c>
      <c r="B94" s="3"/>
      <c r="C94" s="3">
        <v>2.0</v>
      </c>
      <c r="D94" s="3">
        <v>2018.0</v>
      </c>
      <c r="E94" s="3" t="s">
        <v>145</v>
      </c>
      <c r="F94" s="3" t="s">
        <v>146</v>
      </c>
      <c r="G94" s="3">
        <v>750.0</v>
      </c>
    </row>
    <row r="95">
      <c r="A95" s="3" t="s">
        <v>7</v>
      </c>
      <c r="B95" s="3"/>
      <c r="C95" s="3">
        <v>1.0</v>
      </c>
      <c r="D95" s="3">
        <v>2019.0</v>
      </c>
      <c r="E95" s="3" t="s">
        <v>147</v>
      </c>
      <c r="F95" s="3" t="s">
        <v>96</v>
      </c>
      <c r="G95" s="3">
        <v>750.0</v>
      </c>
    </row>
    <row r="96">
      <c r="A96" s="3" t="s">
        <v>7</v>
      </c>
      <c r="B96" s="3"/>
      <c r="C96" s="3">
        <v>1.0</v>
      </c>
      <c r="D96" s="3">
        <v>2020.0</v>
      </c>
      <c r="E96" s="3" t="s">
        <v>148</v>
      </c>
      <c r="F96" s="3" t="s">
        <v>149</v>
      </c>
      <c r="G96" s="3">
        <v>750.0</v>
      </c>
    </row>
    <row r="97">
      <c r="A97" s="3" t="s">
        <v>7</v>
      </c>
      <c r="B97" s="3"/>
      <c r="C97" s="3">
        <v>1.0</v>
      </c>
      <c r="D97" s="3">
        <v>2018.0</v>
      </c>
      <c r="E97" s="3" t="s">
        <v>150</v>
      </c>
      <c r="F97" s="3" t="s">
        <v>149</v>
      </c>
      <c r="G97" s="3">
        <v>750.0</v>
      </c>
    </row>
    <row r="98">
      <c r="A98" s="3" t="s">
        <v>7</v>
      </c>
      <c r="B98" s="3"/>
      <c r="C98" s="3">
        <v>1.0</v>
      </c>
      <c r="D98" s="3">
        <v>2016.0</v>
      </c>
      <c r="E98" s="3" t="s">
        <v>151</v>
      </c>
      <c r="F98" s="3" t="s">
        <v>152</v>
      </c>
      <c r="G98" s="3">
        <v>750.0</v>
      </c>
    </row>
    <row r="99">
      <c r="A99" s="3" t="s">
        <v>7</v>
      </c>
      <c r="B99" s="3"/>
      <c r="C99" s="3">
        <v>4.0</v>
      </c>
      <c r="D99" s="3">
        <v>2019.0</v>
      </c>
      <c r="E99" s="3" t="s">
        <v>135</v>
      </c>
      <c r="F99" s="3" t="s">
        <v>104</v>
      </c>
      <c r="G99" s="3">
        <v>750.0</v>
      </c>
    </row>
    <row r="100">
      <c r="A100" s="3" t="s">
        <v>7</v>
      </c>
      <c r="B100" s="3"/>
      <c r="C100" s="3">
        <v>1.0</v>
      </c>
      <c r="D100" s="3">
        <v>2013.0</v>
      </c>
      <c r="E100" s="3" t="s">
        <v>135</v>
      </c>
      <c r="F100" s="3" t="s">
        <v>136</v>
      </c>
      <c r="G100" s="3">
        <v>750.0</v>
      </c>
    </row>
    <row r="101">
      <c r="A101" s="3" t="s">
        <v>7</v>
      </c>
      <c r="B101" s="3"/>
      <c r="C101" s="3">
        <v>1.0</v>
      </c>
      <c r="D101" s="3">
        <v>2019.0</v>
      </c>
      <c r="E101" s="3" t="s">
        <v>153</v>
      </c>
      <c r="F101" s="3" t="s">
        <v>154</v>
      </c>
      <c r="G101" s="3">
        <v>750.0</v>
      </c>
    </row>
    <row r="102">
      <c r="A102" s="3" t="s">
        <v>7</v>
      </c>
      <c r="B102" s="3"/>
      <c r="C102" s="3">
        <v>1.0</v>
      </c>
      <c r="D102" s="3">
        <v>2018.0</v>
      </c>
      <c r="E102" s="3" t="s">
        <v>47</v>
      </c>
      <c r="F102" s="3" t="s">
        <v>155</v>
      </c>
      <c r="G102" s="3">
        <v>750.0</v>
      </c>
    </row>
    <row r="103">
      <c r="A103" s="3" t="s">
        <v>7</v>
      </c>
      <c r="B103" s="3"/>
      <c r="C103" s="3">
        <v>1.0</v>
      </c>
      <c r="D103" s="3">
        <v>2018.0</v>
      </c>
      <c r="E103" s="3" t="s">
        <v>156</v>
      </c>
      <c r="F103" s="3" t="s">
        <v>146</v>
      </c>
      <c r="G103" s="3">
        <v>750.0</v>
      </c>
    </row>
    <row r="104">
      <c r="A104" s="3" t="s">
        <v>7</v>
      </c>
      <c r="B104" s="3"/>
      <c r="C104" s="3">
        <v>1.0</v>
      </c>
      <c r="D104" s="3">
        <v>2021.0</v>
      </c>
      <c r="E104" s="3" t="s">
        <v>95</v>
      </c>
      <c r="F104" s="3" t="s">
        <v>154</v>
      </c>
      <c r="G104" s="3">
        <v>750.0</v>
      </c>
    </row>
    <row r="105">
      <c r="A105" s="3" t="s">
        <v>7</v>
      </c>
      <c r="B105" s="3"/>
      <c r="C105" s="3">
        <v>1.0</v>
      </c>
      <c r="D105" s="3">
        <v>2019.0</v>
      </c>
      <c r="E105" s="3" t="s">
        <v>157</v>
      </c>
      <c r="F105" s="3" t="s">
        <v>158</v>
      </c>
      <c r="G105" s="3">
        <v>750.0</v>
      </c>
    </row>
    <row r="106">
      <c r="A106" s="3" t="s">
        <v>7</v>
      </c>
      <c r="B106" s="3"/>
      <c r="C106" s="3">
        <v>1.0</v>
      </c>
      <c r="D106" s="3">
        <v>2020.0</v>
      </c>
      <c r="E106" s="3" t="s">
        <v>159</v>
      </c>
      <c r="F106" s="3" t="s">
        <v>160</v>
      </c>
      <c r="G106" s="3">
        <v>750.0</v>
      </c>
    </row>
    <row r="107">
      <c r="A107" s="3" t="s">
        <v>7</v>
      </c>
      <c r="B107" s="3"/>
      <c r="C107" s="3">
        <v>1.0</v>
      </c>
      <c r="D107" s="3">
        <v>2020.0</v>
      </c>
      <c r="E107" s="3" t="s">
        <v>161</v>
      </c>
      <c r="F107" s="3" t="s">
        <v>162</v>
      </c>
      <c r="G107" s="3">
        <v>750.0</v>
      </c>
    </row>
    <row r="108">
      <c r="A108" s="3" t="s">
        <v>7</v>
      </c>
      <c r="B108" s="3"/>
      <c r="C108" s="3">
        <v>12.0</v>
      </c>
      <c r="D108" s="3">
        <v>2018.0</v>
      </c>
      <c r="E108" s="3" t="s">
        <v>135</v>
      </c>
      <c r="F108" s="3" t="s">
        <v>163</v>
      </c>
      <c r="G108" s="3">
        <v>750.0</v>
      </c>
    </row>
    <row r="109">
      <c r="A109" s="3" t="s">
        <v>7</v>
      </c>
      <c r="B109" s="3"/>
      <c r="C109" s="3">
        <v>1.0</v>
      </c>
      <c r="D109" s="3">
        <v>2014.0</v>
      </c>
      <c r="E109" s="3" t="s">
        <v>164</v>
      </c>
      <c r="F109" s="3" t="s">
        <v>165</v>
      </c>
      <c r="G109" s="3">
        <v>750.0</v>
      </c>
    </row>
    <row r="110">
      <c r="A110" s="3" t="s">
        <v>7</v>
      </c>
      <c r="B110" s="3"/>
      <c r="C110" s="3">
        <v>1.0</v>
      </c>
      <c r="D110" s="3">
        <v>2012.0</v>
      </c>
      <c r="E110" s="3" t="s">
        <v>8</v>
      </c>
      <c r="F110" s="3" t="s">
        <v>166</v>
      </c>
      <c r="G110" s="3">
        <v>750.0</v>
      </c>
    </row>
    <row r="111">
      <c r="A111" s="3" t="s">
        <v>7</v>
      </c>
      <c r="B111" s="3"/>
      <c r="C111" s="3">
        <v>3.0</v>
      </c>
      <c r="D111" s="3">
        <v>2021.0</v>
      </c>
      <c r="E111" s="3" t="s">
        <v>25</v>
      </c>
      <c r="F111" s="3" t="s">
        <v>167</v>
      </c>
      <c r="G111" s="3">
        <v>750.0</v>
      </c>
    </row>
    <row r="112">
      <c r="A112" s="3" t="s">
        <v>7</v>
      </c>
      <c r="B112" s="3"/>
      <c r="C112" s="3">
        <v>1.0</v>
      </c>
      <c r="D112" s="3">
        <v>2016.0</v>
      </c>
      <c r="E112" s="3" t="s">
        <v>38</v>
      </c>
      <c r="F112" s="3" t="s">
        <v>168</v>
      </c>
      <c r="G112" s="3">
        <v>750.0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0"/>
    <col customWidth="1" min="2" max="2" width="8.38"/>
    <col customWidth="1" min="3" max="3" width="4.38"/>
    <col customWidth="1" min="4" max="4" width="7.0"/>
    <col customWidth="1" min="5" max="5" width="20.63"/>
    <col customWidth="1" min="6" max="6" width="23.5"/>
    <col customWidth="1" min="7" max="7" width="16.88"/>
    <col customWidth="1" min="8" max="8" width="7.25"/>
    <col customWidth="1" min="9" max="9" width="5.25"/>
    <col customWidth="1" min="14" max="14" width="9.25"/>
    <col customWidth="1" min="15" max="15" width="6.75"/>
  </cols>
  <sheetData>
    <row r="1">
      <c r="A1" s="4" t="s">
        <v>0</v>
      </c>
      <c r="B1" s="4" t="s">
        <v>279</v>
      </c>
      <c r="C1" s="4" t="s">
        <v>269</v>
      </c>
      <c r="D1" s="5" t="s">
        <v>270</v>
      </c>
      <c r="E1" s="5" t="s">
        <v>280</v>
      </c>
      <c r="F1" s="5" t="s">
        <v>271</v>
      </c>
      <c r="G1" s="4" t="s">
        <v>281</v>
      </c>
      <c r="H1" s="5" t="s">
        <v>282</v>
      </c>
      <c r="I1" s="5" t="s">
        <v>283</v>
      </c>
      <c r="J1" s="5" t="s">
        <v>284</v>
      </c>
      <c r="K1" s="4" t="s">
        <v>285</v>
      </c>
      <c r="L1" s="5" t="s">
        <v>286</v>
      </c>
      <c r="M1" s="4" t="s">
        <v>287</v>
      </c>
      <c r="N1" s="6" t="s">
        <v>288</v>
      </c>
      <c r="O1" s="4" t="s">
        <v>289</v>
      </c>
      <c r="P1" s="4"/>
      <c r="Q1" s="4"/>
      <c r="R1" s="4"/>
      <c r="S1" s="7"/>
      <c r="T1" s="8"/>
      <c r="U1" s="7"/>
      <c r="V1" s="7"/>
      <c r="W1" s="7"/>
      <c r="X1" s="7"/>
      <c r="Y1" s="7"/>
    </row>
    <row r="2" ht="16.5" hidden="1" customHeight="1">
      <c r="A2" s="9" t="s">
        <v>290</v>
      </c>
      <c r="B2" s="9" t="s">
        <v>291</v>
      </c>
      <c r="C2" s="9">
        <v>1.0</v>
      </c>
      <c r="D2" s="9">
        <v>2015.0</v>
      </c>
      <c r="E2" s="9" t="s">
        <v>292</v>
      </c>
      <c r="F2" s="9" t="s">
        <v>293</v>
      </c>
      <c r="G2" s="9" t="s">
        <v>294</v>
      </c>
      <c r="H2" s="9" t="s">
        <v>295</v>
      </c>
      <c r="I2" s="10"/>
      <c r="J2" s="10"/>
      <c r="K2" s="10"/>
      <c r="L2" s="10"/>
      <c r="M2" s="10"/>
      <c r="N2" s="11">
        <v>40.0</v>
      </c>
      <c r="O2" s="9">
        <v>750.0</v>
      </c>
      <c r="P2" s="9"/>
      <c r="Q2" s="9"/>
      <c r="R2" s="10"/>
      <c r="S2" s="10"/>
      <c r="T2" s="12"/>
      <c r="U2" s="10"/>
      <c r="V2" s="10"/>
      <c r="W2" s="10"/>
      <c r="X2" s="10"/>
      <c r="Y2" s="10"/>
    </row>
    <row r="3">
      <c r="A3" s="9" t="s">
        <v>296</v>
      </c>
      <c r="B3" s="9" t="s">
        <v>291</v>
      </c>
      <c r="C3" s="9">
        <v>2.0</v>
      </c>
      <c r="D3" s="9">
        <v>2016.0</v>
      </c>
      <c r="E3" s="9" t="s">
        <v>297</v>
      </c>
      <c r="F3" s="9" t="s">
        <v>298</v>
      </c>
      <c r="G3" s="9" t="s">
        <v>138</v>
      </c>
      <c r="H3" s="9" t="s">
        <v>299</v>
      </c>
      <c r="I3" s="10"/>
      <c r="J3" s="9" t="s">
        <v>300</v>
      </c>
      <c r="K3" s="9" t="s">
        <v>301</v>
      </c>
      <c r="L3" s="10"/>
      <c r="M3" s="10"/>
      <c r="N3" s="11">
        <v>70.0</v>
      </c>
      <c r="O3" s="9">
        <v>750.0</v>
      </c>
      <c r="P3" s="9"/>
      <c r="Q3" s="10"/>
      <c r="R3" s="10"/>
      <c r="S3" s="10"/>
      <c r="T3" s="12"/>
      <c r="U3" s="10"/>
      <c r="V3" s="10"/>
      <c r="W3" s="10"/>
      <c r="X3" s="10"/>
      <c r="Y3" s="10"/>
    </row>
    <row r="4" hidden="1">
      <c r="A4" s="9" t="s">
        <v>302</v>
      </c>
      <c r="B4" s="9" t="s">
        <v>291</v>
      </c>
      <c r="C4" s="9">
        <v>1.0</v>
      </c>
      <c r="D4" s="9">
        <v>2020.0</v>
      </c>
      <c r="E4" s="9" t="s">
        <v>303</v>
      </c>
      <c r="F4" s="9" t="s">
        <v>304</v>
      </c>
      <c r="G4" s="9" t="s">
        <v>176</v>
      </c>
      <c r="H4" s="9" t="s">
        <v>299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9" t="s">
        <v>296</v>
      </c>
      <c r="B5" s="9" t="s">
        <v>291</v>
      </c>
      <c r="C5" s="9">
        <v>2.0</v>
      </c>
      <c r="D5" s="9">
        <v>2018.0</v>
      </c>
      <c r="E5" s="9" t="s">
        <v>305</v>
      </c>
      <c r="F5" s="9" t="s">
        <v>306</v>
      </c>
      <c r="G5" s="9" t="s">
        <v>138</v>
      </c>
      <c r="H5" s="9" t="s">
        <v>299</v>
      </c>
      <c r="I5" s="10"/>
      <c r="J5" s="9" t="s">
        <v>300</v>
      </c>
      <c r="K5" s="9" t="s">
        <v>301</v>
      </c>
      <c r="L5" s="10"/>
      <c r="M5" s="10"/>
      <c r="N5" s="11">
        <v>28.0</v>
      </c>
      <c r="O5" s="9">
        <v>750.0</v>
      </c>
      <c r="P5" s="9"/>
      <c r="Q5" s="10"/>
      <c r="R5" s="10"/>
      <c r="S5" s="9"/>
      <c r="T5" s="12"/>
      <c r="U5" s="10"/>
      <c r="V5" s="10"/>
      <c r="W5" s="10"/>
      <c r="X5" s="10"/>
      <c r="Y5" s="10"/>
    </row>
    <row r="6" hidden="1">
      <c r="A6" s="9" t="s">
        <v>307</v>
      </c>
      <c r="B6" s="9" t="s">
        <v>291</v>
      </c>
      <c r="C6" s="9">
        <v>1.0</v>
      </c>
      <c r="D6" s="9">
        <v>2013.0</v>
      </c>
      <c r="E6" s="9" t="s">
        <v>308</v>
      </c>
      <c r="F6" s="9" t="s">
        <v>309</v>
      </c>
      <c r="G6" s="9" t="s">
        <v>310</v>
      </c>
      <c r="H6" s="9" t="s">
        <v>311</v>
      </c>
      <c r="I6" s="9" t="s">
        <v>312</v>
      </c>
      <c r="J6" s="9" t="s">
        <v>313</v>
      </c>
      <c r="K6" s="9" t="s">
        <v>314</v>
      </c>
      <c r="L6" s="9" t="s">
        <v>315</v>
      </c>
      <c r="M6" s="10"/>
      <c r="N6" s="11">
        <v>75.0</v>
      </c>
      <c r="O6" s="9">
        <v>750.0</v>
      </c>
      <c r="P6" s="9"/>
      <c r="Q6" s="9"/>
      <c r="R6" s="10"/>
      <c r="S6" s="10"/>
      <c r="T6" s="12"/>
      <c r="U6" s="10"/>
      <c r="V6" s="10"/>
      <c r="W6" s="10"/>
      <c r="X6" s="10"/>
      <c r="Y6" s="10"/>
    </row>
    <row r="7" hidden="1">
      <c r="A7" s="9" t="s">
        <v>307</v>
      </c>
      <c r="B7" s="9" t="s">
        <v>291</v>
      </c>
      <c r="C7" s="9">
        <v>1.0</v>
      </c>
      <c r="D7" s="9">
        <v>2013.0</v>
      </c>
      <c r="E7" s="9" t="s">
        <v>316</v>
      </c>
      <c r="F7" s="9" t="s">
        <v>317</v>
      </c>
      <c r="G7" s="9" t="s">
        <v>39</v>
      </c>
      <c r="H7" s="9" t="s">
        <v>311</v>
      </c>
      <c r="I7" s="9" t="s">
        <v>312</v>
      </c>
      <c r="J7" s="9" t="s">
        <v>318</v>
      </c>
      <c r="K7" s="9" t="s">
        <v>319</v>
      </c>
      <c r="L7" s="9" t="s">
        <v>320</v>
      </c>
      <c r="M7" s="9" t="s">
        <v>321</v>
      </c>
      <c r="N7" s="11">
        <v>175.0</v>
      </c>
      <c r="O7" s="9">
        <v>750.0</v>
      </c>
      <c r="P7" s="9"/>
      <c r="Q7" s="9"/>
      <c r="R7" s="10"/>
      <c r="S7" s="9"/>
      <c r="T7" s="12"/>
      <c r="U7" s="10"/>
      <c r="V7" s="10"/>
      <c r="W7" s="10"/>
      <c r="X7" s="10"/>
      <c r="Y7" s="10"/>
    </row>
    <row r="8">
      <c r="A8" s="9" t="s">
        <v>296</v>
      </c>
      <c r="B8" s="9" t="s">
        <v>291</v>
      </c>
      <c r="C8" s="9">
        <v>2.0</v>
      </c>
      <c r="D8" s="9">
        <v>2020.0</v>
      </c>
      <c r="E8" s="9" t="s">
        <v>92</v>
      </c>
      <c r="F8" s="9" t="s">
        <v>322</v>
      </c>
      <c r="G8" s="9" t="s">
        <v>323</v>
      </c>
      <c r="H8" s="9" t="s">
        <v>299</v>
      </c>
      <c r="I8" s="10"/>
      <c r="J8" s="9" t="s">
        <v>324</v>
      </c>
      <c r="K8" s="9" t="s">
        <v>325</v>
      </c>
      <c r="L8" s="10"/>
      <c r="M8" s="10"/>
      <c r="N8" s="11">
        <v>70.0</v>
      </c>
      <c r="O8" s="9">
        <v>750.0</v>
      </c>
      <c r="P8" s="9"/>
      <c r="Q8" s="10"/>
      <c r="R8" s="10"/>
      <c r="S8" s="10"/>
      <c r="T8" s="12"/>
      <c r="U8" s="10"/>
      <c r="V8" s="10"/>
      <c r="W8" s="10"/>
      <c r="X8" s="10"/>
      <c r="Y8" s="10"/>
    </row>
    <row r="9" hidden="1">
      <c r="A9" s="9" t="s">
        <v>302</v>
      </c>
      <c r="B9" s="9" t="s">
        <v>291</v>
      </c>
      <c r="C9" s="9">
        <v>1.0</v>
      </c>
      <c r="D9" s="9">
        <v>2016.0</v>
      </c>
      <c r="E9" s="9" t="s">
        <v>326</v>
      </c>
      <c r="F9" s="9" t="s">
        <v>172</v>
      </c>
      <c r="G9" s="9" t="s">
        <v>327</v>
      </c>
      <c r="H9" s="9" t="s">
        <v>299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9" t="s">
        <v>296</v>
      </c>
      <c r="B10" s="9" t="s">
        <v>291</v>
      </c>
      <c r="C10" s="9">
        <v>2.0</v>
      </c>
      <c r="D10" s="9">
        <v>2018.0</v>
      </c>
      <c r="E10" s="9" t="s">
        <v>328</v>
      </c>
      <c r="F10" s="9" t="s">
        <v>329</v>
      </c>
      <c r="G10" s="9" t="s">
        <v>146</v>
      </c>
      <c r="H10" s="9" t="s">
        <v>330</v>
      </c>
      <c r="I10" s="10"/>
      <c r="J10" s="9" t="s">
        <v>331</v>
      </c>
      <c r="K10" s="9" t="s">
        <v>329</v>
      </c>
      <c r="L10" s="10"/>
      <c r="M10" s="10"/>
      <c r="N10" s="11">
        <v>40.0</v>
      </c>
      <c r="O10" s="9">
        <v>750.0</v>
      </c>
      <c r="P10" s="9"/>
      <c r="Q10" s="9"/>
      <c r="R10" s="9"/>
      <c r="S10" s="10"/>
      <c r="T10" s="12"/>
      <c r="U10" s="10"/>
      <c r="V10" s="10"/>
      <c r="W10" s="10"/>
      <c r="X10" s="10"/>
      <c r="Y10" s="10"/>
    </row>
    <row r="11" hidden="1">
      <c r="A11" s="9" t="s">
        <v>332</v>
      </c>
      <c r="B11" s="9" t="s">
        <v>291</v>
      </c>
      <c r="C11" s="9">
        <v>1.0</v>
      </c>
      <c r="D11" s="9">
        <v>2018.0</v>
      </c>
      <c r="E11" s="9" t="s">
        <v>34</v>
      </c>
      <c r="F11" s="9" t="s">
        <v>333</v>
      </c>
      <c r="G11" s="9" t="s">
        <v>35</v>
      </c>
      <c r="H11" s="9" t="s">
        <v>311</v>
      </c>
      <c r="I11" s="9" t="s">
        <v>312</v>
      </c>
      <c r="J11" s="13" t="s">
        <v>334</v>
      </c>
      <c r="K11" s="9" t="s">
        <v>335</v>
      </c>
      <c r="L11" s="10"/>
      <c r="M11" s="9" t="s">
        <v>336</v>
      </c>
      <c r="N11" s="11">
        <v>25.0</v>
      </c>
      <c r="O11" s="9">
        <v>750.0</v>
      </c>
      <c r="P11" s="9"/>
      <c r="Q11" s="9"/>
      <c r="R11" s="10"/>
      <c r="S11" s="10"/>
      <c r="T11" s="12"/>
      <c r="U11" s="10"/>
      <c r="V11" s="10"/>
      <c r="W11" s="10"/>
      <c r="X11" s="10"/>
      <c r="Y11" s="10"/>
    </row>
    <row r="12" hidden="1">
      <c r="A12" s="9" t="s">
        <v>332</v>
      </c>
      <c r="B12" s="9" t="s">
        <v>291</v>
      </c>
      <c r="C12" s="9">
        <v>1.0</v>
      </c>
      <c r="D12" s="9">
        <v>2017.0</v>
      </c>
      <c r="E12" s="9" t="s">
        <v>337</v>
      </c>
      <c r="F12" s="9" t="s">
        <v>143</v>
      </c>
      <c r="G12" s="9" t="s">
        <v>35</v>
      </c>
      <c r="H12" s="13" t="s">
        <v>311</v>
      </c>
      <c r="I12" s="13" t="s">
        <v>312</v>
      </c>
      <c r="J12" s="13" t="s">
        <v>334</v>
      </c>
      <c r="K12" s="13" t="s">
        <v>335</v>
      </c>
      <c r="L12" s="9" t="s">
        <v>338</v>
      </c>
      <c r="M12" s="9" t="s">
        <v>336</v>
      </c>
      <c r="N12" s="11">
        <v>40.0</v>
      </c>
      <c r="O12" s="9">
        <v>750.0</v>
      </c>
      <c r="P12" s="9"/>
      <c r="Q12" s="9"/>
      <c r="R12" s="10"/>
      <c r="S12" s="10"/>
      <c r="T12" s="12"/>
      <c r="U12" s="10"/>
      <c r="V12" s="10"/>
      <c r="W12" s="10"/>
      <c r="X12" s="10"/>
      <c r="Y12" s="10"/>
    </row>
    <row r="13" hidden="1">
      <c r="A13" s="9" t="s">
        <v>332</v>
      </c>
      <c r="B13" s="9" t="s">
        <v>291</v>
      </c>
      <c r="C13" s="9">
        <v>1.0</v>
      </c>
      <c r="D13" s="9">
        <v>2019.0</v>
      </c>
      <c r="E13" s="9" t="s">
        <v>164</v>
      </c>
      <c r="F13" s="9" t="s">
        <v>339</v>
      </c>
      <c r="G13" s="9" t="s">
        <v>35</v>
      </c>
      <c r="H13" s="9" t="s">
        <v>340</v>
      </c>
      <c r="I13" s="9" t="s">
        <v>312</v>
      </c>
      <c r="J13" s="13" t="s">
        <v>334</v>
      </c>
      <c r="K13" s="9" t="s">
        <v>341</v>
      </c>
      <c r="L13" s="9" t="s">
        <v>342</v>
      </c>
      <c r="M13" s="10"/>
      <c r="N13" s="11">
        <v>20.0</v>
      </c>
      <c r="O13" s="9">
        <v>750.0</v>
      </c>
      <c r="P13" s="9"/>
      <c r="Q13" s="9"/>
      <c r="R13" s="10"/>
      <c r="S13" s="14"/>
      <c r="T13" s="15">
        <f>SUMIF(O:O,"=500", C:C)</f>
        <v>0</v>
      </c>
      <c r="U13" s="10"/>
      <c r="V13" s="10"/>
      <c r="W13" s="10"/>
      <c r="X13" s="10"/>
      <c r="Y13" s="10"/>
    </row>
    <row r="14" hidden="1">
      <c r="A14" s="9" t="s">
        <v>332</v>
      </c>
      <c r="B14" s="9" t="s">
        <v>291</v>
      </c>
      <c r="C14" s="9">
        <v>1.0</v>
      </c>
      <c r="D14" s="9">
        <v>2017.0</v>
      </c>
      <c r="E14" s="9" t="s">
        <v>164</v>
      </c>
      <c r="F14" s="9" t="s">
        <v>43</v>
      </c>
      <c r="G14" s="9" t="s">
        <v>343</v>
      </c>
      <c r="H14" s="9" t="s">
        <v>340</v>
      </c>
      <c r="I14" s="9" t="s">
        <v>312</v>
      </c>
      <c r="J14" s="13" t="s">
        <v>334</v>
      </c>
      <c r="K14" s="9" t="s">
        <v>341</v>
      </c>
      <c r="L14" s="9" t="s">
        <v>342</v>
      </c>
      <c r="M14" s="9" t="s">
        <v>344</v>
      </c>
      <c r="N14" s="11">
        <v>30.0</v>
      </c>
      <c r="O14" s="9">
        <v>750.0</v>
      </c>
      <c r="P14" s="9"/>
      <c r="Q14" s="9"/>
      <c r="R14" s="10"/>
      <c r="S14" s="10"/>
      <c r="T14" s="12"/>
      <c r="U14" s="10"/>
      <c r="V14" s="10"/>
      <c r="W14" s="10"/>
      <c r="X14" s="10"/>
      <c r="Y14" s="10"/>
    </row>
    <row r="15" hidden="1">
      <c r="A15" s="9" t="s">
        <v>332</v>
      </c>
      <c r="B15" s="9" t="s">
        <v>291</v>
      </c>
      <c r="C15" s="9">
        <v>1.0</v>
      </c>
      <c r="D15" s="9">
        <v>2021.0</v>
      </c>
      <c r="E15" s="9" t="s">
        <v>345</v>
      </c>
      <c r="F15" s="9" t="s">
        <v>323</v>
      </c>
      <c r="G15" s="9" t="s">
        <v>323</v>
      </c>
      <c r="H15" s="9" t="s">
        <v>299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hidden="1">
      <c r="A16" s="9" t="s">
        <v>332</v>
      </c>
      <c r="B16" s="9" t="s">
        <v>291</v>
      </c>
      <c r="C16" s="9">
        <v>7.0</v>
      </c>
      <c r="D16" s="9">
        <v>2020.0</v>
      </c>
      <c r="E16" s="9" t="s">
        <v>346</v>
      </c>
      <c r="F16" s="9" t="s">
        <v>122</v>
      </c>
      <c r="G16" s="9" t="s">
        <v>122</v>
      </c>
      <c r="H16" s="9" t="s">
        <v>311</v>
      </c>
      <c r="I16" s="9" t="s">
        <v>347</v>
      </c>
      <c r="J16" s="9" t="s">
        <v>348</v>
      </c>
      <c r="K16" s="9" t="s">
        <v>335</v>
      </c>
      <c r="L16" s="9" t="s">
        <v>349</v>
      </c>
      <c r="M16" s="10"/>
      <c r="N16" s="11">
        <v>45.0</v>
      </c>
      <c r="O16" s="9">
        <v>750.0</v>
      </c>
      <c r="P16" s="10"/>
      <c r="Q16" s="10"/>
      <c r="R16" s="10"/>
      <c r="S16" s="10"/>
      <c r="T16" s="12"/>
      <c r="U16" s="10"/>
      <c r="V16" s="10"/>
      <c r="W16" s="10"/>
      <c r="X16" s="10"/>
      <c r="Y16" s="10"/>
    </row>
    <row r="17" hidden="1">
      <c r="A17" s="9" t="s">
        <v>350</v>
      </c>
      <c r="B17" s="9" t="s">
        <v>291</v>
      </c>
      <c r="C17" s="9">
        <v>1.0</v>
      </c>
      <c r="D17" s="9">
        <v>2021.0</v>
      </c>
      <c r="E17" s="9" t="s">
        <v>346</v>
      </c>
      <c r="F17" s="9" t="s">
        <v>211</v>
      </c>
      <c r="G17" s="9" t="s">
        <v>211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idden="1">
      <c r="A18" s="9" t="s">
        <v>350</v>
      </c>
      <c r="B18" s="9" t="s">
        <v>291</v>
      </c>
      <c r="C18" s="9">
        <v>1.0</v>
      </c>
      <c r="D18" s="9">
        <v>2019.0</v>
      </c>
      <c r="E18" s="9" t="s">
        <v>159</v>
      </c>
      <c r="F18" s="9" t="s">
        <v>351</v>
      </c>
      <c r="G18" s="9" t="s">
        <v>211</v>
      </c>
      <c r="H18" s="9" t="s">
        <v>340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hidden="1">
      <c r="A19" s="9" t="s">
        <v>350</v>
      </c>
      <c r="B19" s="9" t="s">
        <v>291</v>
      </c>
      <c r="C19" s="9">
        <v>3.0</v>
      </c>
      <c r="D19" s="9">
        <v>2019.0</v>
      </c>
      <c r="E19" s="9" t="s">
        <v>352</v>
      </c>
      <c r="F19" s="9" t="s">
        <v>353</v>
      </c>
      <c r="G19" s="9" t="s">
        <v>211</v>
      </c>
      <c r="H19" s="9" t="s">
        <v>311</v>
      </c>
      <c r="I19" s="9" t="s">
        <v>347</v>
      </c>
      <c r="J19" s="9" t="s">
        <v>348</v>
      </c>
      <c r="K19" s="10"/>
      <c r="L19" s="10"/>
      <c r="M19" s="10"/>
      <c r="N19" s="16"/>
      <c r="O19" s="10"/>
      <c r="P19" s="10"/>
      <c r="Q19" s="10"/>
      <c r="R19" s="10"/>
      <c r="S19" s="10"/>
      <c r="T19" s="12"/>
      <c r="U19" s="10"/>
      <c r="V19" s="10"/>
      <c r="W19" s="10"/>
      <c r="X19" s="10"/>
      <c r="Y19" s="10"/>
    </row>
    <row r="20" hidden="1">
      <c r="A20" s="9" t="s">
        <v>350</v>
      </c>
      <c r="B20" s="9" t="s">
        <v>291</v>
      </c>
      <c r="C20" s="9">
        <v>1.0</v>
      </c>
      <c r="D20" s="9">
        <v>2020.0</v>
      </c>
      <c r="E20" s="9" t="s">
        <v>354</v>
      </c>
      <c r="F20" s="9" t="s">
        <v>211</v>
      </c>
      <c r="G20" s="9" t="s">
        <v>211</v>
      </c>
      <c r="H20" s="9" t="s">
        <v>340</v>
      </c>
      <c r="I20" s="9" t="s">
        <v>312</v>
      </c>
      <c r="J20" s="13" t="s">
        <v>334</v>
      </c>
      <c r="K20" s="9" t="s">
        <v>355</v>
      </c>
      <c r="L20" s="9"/>
      <c r="M20" s="9" t="s">
        <v>356</v>
      </c>
      <c r="N20" s="11">
        <v>25.0</v>
      </c>
      <c r="O20" s="9">
        <v>750.0</v>
      </c>
      <c r="P20" s="9"/>
      <c r="Q20" s="9"/>
      <c r="R20" s="10"/>
      <c r="S20" s="14"/>
      <c r="T20" s="15">
        <f>SUMIF(O:O,"=375", C:C)</f>
        <v>0</v>
      </c>
      <c r="U20" s="10"/>
      <c r="V20" s="10"/>
      <c r="W20" s="10"/>
      <c r="X20" s="10"/>
      <c r="Y20" s="10"/>
    </row>
    <row r="21" hidden="1">
      <c r="A21" s="9" t="s">
        <v>350</v>
      </c>
      <c r="B21" s="9" t="s">
        <v>291</v>
      </c>
      <c r="C21" s="9">
        <v>1.0</v>
      </c>
      <c r="D21" s="9">
        <v>2018.0</v>
      </c>
      <c r="E21" s="9" t="s">
        <v>101</v>
      </c>
      <c r="F21" s="9" t="s">
        <v>357</v>
      </c>
      <c r="G21" s="9" t="s">
        <v>211</v>
      </c>
      <c r="H21" s="9" t="s">
        <v>340</v>
      </c>
      <c r="I21" s="9" t="s">
        <v>347</v>
      </c>
      <c r="J21" s="9" t="s">
        <v>318</v>
      </c>
      <c r="K21" s="9" t="s">
        <v>358</v>
      </c>
      <c r="L21" s="10"/>
      <c r="M21" s="10"/>
      <c r="N21" s="11">
        <v>70.0</v>
      </c>
      <c r="O21" s="9">
        <v>750.0</v>
      </c>
      <c r="P21" s="9"/>
      <c r="Q21" s="9"/>
      <c r="R21" s="9"/>
      <c r="S21" s="10"/>
      <c r="T21" s="12"/>
      <c r="U21" s="10"/>
      <c r="V21" s="10"/>
      <c r="W21" s="10"/>
      <c r="X21" s="10"/>
      <c r="Y21" s="10"/>
    </row>
    <row r="22" hidden="1">
      <c r="A22" s="9" t="s">
        <v>350</v>
      </c>
      <c r="B22" s="9" t="s">
        <v>291</v>
      </c>
      <c r="C22" s="9">
        <v>1.0</v>
      </c>
      <c r="D22" s="9">
        <v>2018.0</v>
      </c>
      <c r="E22" s="9" t="s">
        <v>101</v>
      </c>
      <c r="F22" s="9" t="s">
        <v>359</v>
      </c>
      <c r="G22" s="9" t="s">
        <v>211</v>
      </c>
      <c r="H22" s="9" t="s">
        <v>340</v>
      </c>
      <c r="I22" s="9" t="s">
        <v>347</v>
      </c>
      <c r="J22" s="9" t="s">
        <v>318</v>
      </c>
      <c r="K22" s="9" t="s">
        <v>358</v>
      </c>
      <c r="L22" s="10"/>
      <c r="M22" s="10"/>
      <c r="N22" s="11">
        <v>70.0</v>
      </c>
      <c r="O22" s="9">
        <v>750.0</v>
      </c>
      <c r="P22" s="9"/>
      <c r="Q22" s="9"/>
      <c r="R22" s="10"/>
      <c r="S22" s="10"/>
      <c r="T22" s="12"/>
      <c r="U22" s="10"/>
      <c r="V22" s="10"/>
      <c r="W22" s="10"/>
      <c r="X22" s="10"/>
      <c r="Y22" s="10"/>
    </row>
    <row r="23" hidden="1">
      <c r="A23" s="9" t="s">
        <v>350</v>
      </c>
      <c r="B23" s="9" t="s">
        <v>291</v>
      </c>
      <c r="C23" s="9">
        <v>1.0</v>
      </c>
      <c r="D23" s="9">
        <v>2019.0</v>
      </c>
      <c r="E23" s="9" t="s">
        <v>360</v>
      </c>
      <c r="F23" s="9" t="s">
        <v>211</v>
      </c>
      <c r="G23" s="9" t="s">
        <v>211</v>
      </c>
      <c r="H23" s="9" t="s">
        <v>340</v>
      </c>
      <c r="I23" s="9" t="s">
        <v>347</v>
      </c>
      <c r="J23" s="9" t="s">
        <v>318</v>
      </c>
      <c r="K23" s="9" t="s">
        <v>358</v>
      </c>
      <c r="L23" s="9" t="s">
        <v>361</v>
      </c>
      <c r="M23" s="10"/>
      <c r="N23" s="11">
        <v>40.0</v>
      </c>
      <c r="O23" s="9">
        <v>750.0</v>
      </c>
      <c r="P23" s="9"/>
      <c r="Q23" s="9"/>
      <c r="R23" s="10"/>
      <c r="S23" s="10"/>
      <c r="T23" s="12"/>
      <c r="U23" s="10"/>
      <c r="V23" s="10"/>
      <c r="W23" s="10"/>
      <c r="X23" s="10"/>
      <c r="Y23" s="10"/>
    </row>
    <row r="24" hidden="1">
      <c r="A24" s="9" t="s">
        <v>350</v>
      </c>
      <c r="B24" s="9" t="s">
        <v>291</v>
      </c>
      <c r="C24" s="9">
        <v>1.0</v>
      </c>
      <c r="D24" s="9">
        <v>2018.0</v>
      </c>
      <c r="E24" s="9" t="s">
        <v>362</v>
      </c>
      <c r="F24" s="9" t="s">
        <v>363</v>
      </c>
      <c r="G24" s="9" t="s">
        <v>211</v>
      </c>
      <c r="H24" s="9" t="s">
        <v>311</v>
      </c>
      <c r="I24" s="9" t="s">
        <v>312</v>
      </c>
      <c r="J24" s="9" t="s">
        <v>348</v>
      </c>
      <c r="K24" s="9" t="s">
        <v>364</v>
      </c>
      <c r="L24" s="10"/>
      <c r="M24" s="10"/>
      <c r="N24" s="11">
        <v>50.0</v>
      </c>
      <c r="O24" s="9">
        <v>750.0</v>
      </c>
      <c r="P24" s="9"/>
      <c r="Q24" s="9"/>
      <c r="R24" s="10"/>
      <c r="S24" s="10"/>
      <c r="T24" s="12"/>
      <c r="U24" s="10"/>
      <c r="V24" s="10"/>
      <c r="W24" s="10"/>
      <c r="X24" s="10"/>
      <c r="Y24" s="10"/>
    </row>
    <row r="25" hidden="1">
      <c r="A25" s="9" t="s">
        <v>350</v>
      </c>
      <c r="B25" s="9" t="s">
        <v>291</v>
      </c>
      <c r="C25" s="9">
        <v>1.0</v>
      </c>
      <c r="D25" s="9">
        <v>2021.0</v>
      </c>
      <c r="E25" s="9" t="s">
        <v>365</v>
      </c>
      <c r="F25" s="9" t="s">
        <v>366</v>
      </c>
      <c r="G25" s="9" t="s">
        <v>211</v>
      </c>
      <c r="H25" s="9" t="s">
        <v>311</v>
      </c>
      <c r="I25" s="9" t="s">
        <v>347</v>
      </c>
      <c r="J25" s="9" t="s">
        <v>348</v>
      </c>
      <c r="K25" s="9" t="s">
        <v>335</v>
      </c>
      <c r="L25" s="9" t="s">
        <v>349</v>
      </c>
      <c r="M25" s="10"/>
      <c r="N25" s="11">
        <v>22.0</v>
      </c>
      <c r="O25" s="9">
        <v>750.0</v>
      </c>
      <c r="P25" s="10"/>
      <c r="Q25" s="10"/>
      <c r="R25" s="10"/>
      <c r="S25" s="10"/>
      <c r="T25" s="12"/>
      <c r="U25" s="10"/>
      <c r="V25" s="10"/>
      <c r="W25" s="10"/>
      <c r="X25" s="10"/>
      <c r="Y25" s="10"/>
    </row>
    <row r="26" hidden="1">
      <c r="A26" s="9" t="s">
        <v>350</v>
      </c>
      <c r="B26" s="9" t="s">
        <v>291</v>
      </c>
      <c r="C26" s="9" t="s">
        <v>367</v>
      </c>
      <c r="D26" s="9">
        <v>2019.0</v>
      </c>
      <c r="E26" s="9" t="s">
        <v>368</v>
      </c>
      <c r="F26" s="9" t="s">
        <v>369</v>
      </c>
      <c r="G26" s="9" t="s">
        <v>211</v>
      </c>
      <c r="H26" s="9" t="s">
        <v>340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idden="1">
      <c r="A27" s="9" t="s">
        <v>290</v>
      </c>
      <c r="B27" s="9" t="s">
        <v>291</v>
      </c>
      <c r="C27" s="9">
        <v>2.0</v>
      </c>
      <c r="D27" s="9">
        <v>2016.0</v>
      </c>
      <c r="E27" s="9" t="s">
        <v>370</v>
      </c>
      <c r="F27" s="9" t="s">
        <v>371</v>
      </c>
      <c r="G27" s="9" t="s">
        <v>372</v>
      </c>
      <c r="H27" s="9" t="s">
        <v>330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>
      <c r="A28" s="9" t="s">
        <v>296</v>
      </c>
      <c r="B28" s="9" t="s">
        <v>291</v>
      </c>
      <c r="C28" s="9">
        <v>2.0</v>
      </c>
      <c r="D28" s="9">
        <v>2010.0</v>
      </c>
      <c r="E28" s="9" t="s">
        <v>373</v>
      </c>
      <c r="F28" s="9" t="s">
        <v>374</v>
      </c>
      <c r="G28" s="9" t="s">
        <v>39</v>
      </c>
      <c r="H28" s="9" t="s">
        <v>330</v>
      </c>
      <c r="I28" s="10"/>
      <c r="J28" s="9" t="s">
        <v>225</v>
      </c>
      <c r="K28" s="9" t="s">
        <v>375</v>
      </c>
      <c r="L28" s="9"/>
      <c r="M28" s="10"/>
      <c r="N28" s="11">
        <v>30.0</v>
      </c>
      <c r="O28" s="9">
        <v>750.0</v>
      </c>
      <c r="P28" s="9"/>
      <c r="Q28" s="9"/>
      <c r="R28" s="10"/>
      <c r="S28" s="10"/>
      <c r="T28" s="12"/>
      <c r="U28" s="9"/>
      <c r="V28" s="10"/>
      <c r="W28" s="10"/>
      <c r="X28" s="10"/>
      <c r="Y28" s="10"/>
    </row>
    <row r="29" hidden="1">
      <c r="A29" s="9" t="s">
        <v>332</v>
      </c>
      <c r="B29" s="9" t="s">
        <v>291</v>
      </c>
      <c r="C29" s="9">
        <v>1.0</v>
      </c>
      <c r="D29" s="9">
        <v>2017.0</v>
      </c>
      <c r="E29" s="9" t="s">
        <v>376</v>
      </c>
      <c r="F29" s="9" t="s">
        <v>104</v>
      </c>
      <c r="G29" s="9" t="s">
        <v>377</v>
      </c>
      <c r="H29" s="9" t="s">
        <v>311</v>
      </c>
      <c r="I29" s="9" t="s">
        <v>312</v>
      </c>
      <c r="J29" s="13" t="s">
        <v>334</v>
      </c>
      <c r="K29" s="9" t="s">
        <v>341</v>
      </c>
      <c r="L29" s="10"/>
      <c r="M29" s="10"/>
      <c r="N29" s="11">
        <v>45.0</v>
      </c>
      <c r="O29" s="9">
        <v>750.0</v>
      </c>
      <c r="P29" s="9"/>
      <c r="Q29" s="9"/>
      <c r="R29" s="10"/>
      <c r="S29" s="10"/>
      <c r="T29" s="12"/>
      <c r="U29" s="10"/>
      <c r="V29" s="10"/>
      <c r="W29" s="10"/>
      <c r="X29" s="10"/>
      <c r="Y29" s="10"/>
    </row>
    <row r="30" hidden="1">
      <c r="A30" s="9" t="s">
        <v>307</v>
      </c>
      <c r="B30" s="9" t="s">
        <v>291</v>
      </c>
      <c r="C30" s="9">
        <v>2.0</v>
      </c>
      <c r="D30" s="9">
        <v>2019.0</v>
      </c>
      <c r="E30" s="9" t="s">
        <v>378</v>
      </c>
      <c r="F30" s="9" t="s">
        <v>339</v>
      </c>
      <c r="G30" s="9" t="s">
        <v>35</v>
      </c>
      <c r="H30" s="9" t="s">
        <v>311</v>
      </c>
      <c r="I30" s="9" t="s">
        <v>312</v>
      </c>
      <c r="J30" s="9" t="s">
        <v>318</v>
      </c>
      <c r="K30" s="9" t="s">
        <v>319</v>
      </c>
      <c r="L30" s="10"/>
      <c r="M30" s="10"/>
      <c r="N30" s="11">
        <v>80.0</v>
      </c>
      <c r="O30" s="9">
        <v>750.0</v>
      </c>
      <c r="P30" s="9"/>
      <c r="Q30" s="10"/>
      <c r="R30" s="10"/>
      <c r="S30" s="10"/>
      <c r="T30" s="12"/>
      <c r="U30" s="10"/>
      <c r="V30" s="10"/>
      <c r="W30" s="10"/>
      <c r="X30" s="10"/>
      <c r="Y30" s="10"/>
    </row>
    <row r="31" hidden="1">
      <c r="A31" s="9" t="s">
        <v>307</v>
      </c>
      <c r="B31" s="9" t="s">
        <v>291</v>
      </c>
      <c r="C31" s="9">
        <v>1.0</v>
      </c>
      <c r="D31" s="9">
        <v>2013.0</v>
      </c>
      <c r="E31" s="9" t="s">
        <v>316</v>
      </c>
      <c r="F31" s="9" t="s">
        <v>379</v>
      </c>
      <c r="G31" s="9" t="s">
        <v>380</v>
      </c>
      <c r="H31" s="9" t="s">
        <v>311</v>
      </c>
      <c r="I31" s="9" t="s">
        <v>312</v>
      </c>
      <c r="J31" s="9" t="s">
        <v>318</v>
      </c>
      <c r="K31" s="9" t="s">
        <v>319</v>
      </c>
      <c r="L31" s="9" t="s">
        <v>381</v>
      </c>
      <c r="M31" s="9" t="s">
        <v>382</v>
      </c>
      <c r="N31" s="11">
        <v>50.0</v>
      </c>
      <c r="O31" s="9">
        <v>750.0</v>
      </c>
      <c r="P31" s="9"/>
      <c r="Q31" s="9"/>
      <c r="R31" s="9"/>
      <c r="S31" s="9"/>
      <c r="T31" s="12"/>
      <c r="U31" s="9"/>
      <c r="V31" s="10"/>
      <c r="W31" s="10"/>
      <c r="X31" s="10"/>
      <c r="Y31" s="10"/>
    </row>
    <row r="32" hidden="1">
      <c r="A32" s="9" t="s">
        <v>307</v>
      </c>
      <c r="B32" s="9" t="s">
        <v>291</v>
      </c>
      <c r="C32" s="9">
        <v>1.0</v>
      </c>
      <c r="D32" s="9">
        <v>2018.0</v>
      </c>
      <c r="E32" s="9" t="s">
        <v>383</v>
      </c>
      <c r="F32" s="9" t="s">
        <v>384</v>
      </c>
      <c r="G32" s="9" t="s">
        <v>138</v>
      </c>
      <c r="H32" s="9" t="s">
        <v>311</v>
      </c>
      <c r="I32" s="9" t="s">
        <v>347</v>
      </c>
      <c r="J32" s="9" t="s">
        <v>318</v>
      </c>
      <c r="K32" s="9" t="s">
        <v>358</v>
      </c>
      <c r="L32" s="10"/>
      <c r="M32" s="10"/>
      <c r="N32" s="11">
        <v>55.0</v>
      </c>
      <c r="O32" s="9">
        <v>750.0</v>
      </c>
      <c r="P32" s="9"/>
      <c r="Q32" s="9"/>
      <c r="R32" s="10"/>
      <c r="S32" s="10"/>
      <c r="T32" s="12"/>
      <c r="U32" s="10"/>
      <c r="V32" s="10"/>
      <c r="W32" s="10"/>
      <c r="X32" s="10"/>
      <c r="Y32" s="10"/>
    </row>
    <row r="33" hidden="1">
      <c r="A33" s="9" t="s">
        <v>307</v>
      </c>
      <c r="B33" s="9" t="s">
        <v>291</v>
      </c>
      <c r="C33" s="9">
        <v>1.0</v>
      </c>
      <c r="D33" s="9">
        <v>2019.0</v>
      </c>
      <c r="E33" s="9" t="s">
        <v>383</v>
      </c>
      <c r="F33" s="9" t="s">
        <v>385</v>
      </c>
      <c r="G33" s="9" t="s">
        <v>385</v>
      </c>
      <c r="H33" s="9" t="s">
        <v>311</v>
      </c>
      <c r="I33" s="9" t="s">
        <v>347</v>
      </c>
      <c r="J33" s="9" t="s">
        <v>318</v>
      </c>
      <c r="K33" s="9" t="s">
        <v>358</v>
      </c>
      <c r="L33" s="9" t="s">
        <v>386</v>
      </c>
      <c r="M33" s="9" t="s">
        <v>387</v>
      </c>
      <c r="N33" s="11">
        <v>45.0</v>
      </c>
      <c r="O33" s="9">
        <v>750.0</v>
      </c>
      <c r="P33" s="9"/>
      <c r="Q33" s="9"/>
      <c r="R33" s="10"/>
      <c r="S33" s="10"/>
      <c r="T33" s="12"/>
      <c r="U33" s="10"/>
      <c r="V33" s="10"/>
      <c r="W33" s="10"/>
      <c r="X33" s="10"/>
      <c r="Y33" s="10"/>
    </row>
    <row r="34" hidden="1">
      <c r="A34" s="9" t="s">
        <v>169</v>
      </c>
      <c r="B34" s="9" t="s">
        <v>291</v>
      </c>
      <c r="C34" s="9">
        <v>1.0</v>
      </c>
      <c r="D34" s="9">
        <v>2013.0</v>
      </c>
      <c r="E34" s="9" t="s">
        <v>388</v>
      </c>
      <c r="F34" s="9" t="s">
        <v>389</v>
      </c>
      <c r="G34" s="9" t="s">
        <v>39</v>
      </c>
      <c r="H34" s="9" t="s">
        <v>311</v>
      </c>
      <c r="I34" s="9" t="s">
        <v>312</v>
      </c>
      <c r="J34" s="9" t="s">
        <v>318</v>
      </c>
      <c r="K34" s="9" t="s">
        <v>319</v>
      </c>
      <c r="L34" s="9"/>
      <c r="M34" s="10"/>
      <c r="N34" s="11">
        <v>100.0</v>
      </c>
      <c r="O34" s="9">
        <v>750.0</v>
      </c>
      <c r="P34" s="9"/>
      <c r="Q34" s="9"/>
      <c r="R34" s="10"/>
      <c r="S34" s="10"/>
      <c r="T34" s="12"/>
      <c r="U34" s="10"/>
      <c r="V34" s="10"/>
      <c r="W34" s="10"/>
      <c r="X34" s="10"/>
      <c r="Y34" s="10"/>
    </row>
    <row r="35" hidden="1">
      <c r="A35" s="9" t="s">
        <v>390</v>
      </c>
      <c r="B35" s="9" t="s">
        <v>291</v>
      </c>
      <c r="C35" s="9">
        <v>1.0</v>
      </c>
      <c r="D35" s="9">
        <v>2016.0</v>
      </c>
      <c r="E35" s="9" t="s">
        <v>391</v>
      </c>
      <c r="F35" s="9" t="s">
        <v>392</v>
      </c>
      <c r="G35" s="9" t="s">
        <v>393</v>
      </c>
      <c r="H35" s="9" t="s">
        <v>311</v>
      </c>
      <c r="I35" s="9" t="s">
        <v>312</v>
      </c>
      <c r="J35" s="9" t="s">
        <v>318</v>
      </c>
      <c r="K35" s="9" t="s">
        <v>319</v>
      </c>
      <c r="L35" s="9" t="s">
        <v>394</v>
      </c>
      <c r="M35" s="10"/>
      <c r="N35" s="11">
        <v>130.0</v>
      </c>
      <c r="O35" s="9">
        <v>750.0</v>
      </c>
      <c r="P35" s="9"/>
      <c r="Q35" s="9"/>
      <c r="R35" s="10"/>
      <c r="S35" s="10"/>
      <c r="T35" s="12"/>
      <c r="U35" s="10"/>
      <c r="V35" s="10"/>
      <c r="W35" s="10"/>
      <c r="X35" s="10"/>
      <c r="Y35" s="10"/>
    </row>
    <row r="36" hidden="1">
      <c r="A36" s="9" t="s">
        <v>332</v>
      </c>
      <c r="B36" s="9" t="s">
        <v>291</v>
      </c>
      <c r="C36" s="9">
        <v>1.0</v>
      </c>
      <c r="D36" s="9">
        <v>2017.0</v>
      </c>
      <c r="E36" s="9" t="s">
        <v>308</v>
      </c>
      <c r="F36" s="9" t="s">
        <v>395</v>
      </c>
      <c r="G36" s="9" t="s">
        <v>39</v>
      </c>
      <c r="H36" s="9" t="s">
        <v>311</v>
      </c>
      <c r="I36" s="9" t="s">
        <v>312</v>
      </c>
      <c r="J36" s="9" t="s">
        <v>313</v>
      </c>
      <c r="K36" s="9" t="s">
        <v>358</v>
      </c>
      <c r="L36" s="9" t="s">
        <v>396</v>
      </c>
      <c r="M36" s="10"/>
      <c r="N36" s="11">
        <v>45.0</v>
      </c>
      <c r="O36" s="9">
        <v>750.0</v>
      </c>
      <c r="P36" s="9"/>
      <c r="Q36" s="9"/>
      <c r="R36" s="10"/>
      <c r="S36" s="10"/>
      <c r="T36" s="12"/>
      <c r="U36" s="10"/>
      <c r="V36" s="10"/>
      <c r="W36" s="10"/>
      <c r="X36" s="10"/>
      <c r="Y36" s="10"/>
    </row>
    <row r="37" hidden="1">
      <c r="A37" s="9" t="s">
        <v>332</v>
      </c>
      <c r="B37" s="9" t="s">
        <v>291</v>
      </c>
      <c r="C37" s="9">
        <v>1.0</v>
      </c>
      <c r="D37" s="9">
        <v>2018.0</v>
      </c>
      <c r="E37" s="9" t="s">
        <v>46</v>
      </c>
      <c r="F37" s="9" t="s">
        <v>39</v>
      </c>
      <c r="G37" s="9" t="s">
        <v>39</v>
      </c>
      <c r="H37" s="9" t="s">
        <v>311</v>
      </c>
      <c r="I37" s="9" t="s">
        <v>312</v>
      </c>
      <c r="J37" s="13" t="s">
        <v>334</v>
      </c>
      <c r="K37" s="9" t="s">
        <v>341</v>
      </c>
      <c r="L37" s="10"/>
      <c r="M37" s="10"/>
      <c r="N37" s="11">
        <v>34.0</v>
      </c>
      <c r="O37" s="9">
        <v>750.0</v>
      </c>
      <c r="P37" s="9"/>
      <c r="Q37" s="9"/>
      <c r="R37" s="10"/>
      <c r="S37" s="10"/>
      <c r="T37" s="12"/>
      <c r="U37" s="10"/>
      <c r="V37" s="10"/>
      <c r="W37" s="10"/>
      <c r="X37" s="10"/>
      <c r="Y37" s="10"/>
    </row>
    <row r="38" hidden="1">
      <c r="A38" s="9" t="s">
        <v>332</v>
      </c>
      <c r="B38" s="9" t="s">
        <v>291</v>
      </c>
      <c r="C38" s="9">
        <v>1.0</v>
      </c>
      <c r="D38" s="9">
        <v>2019.0</v>
      </c>
      <c r="E38" s="9" t="s">
        <v>47</v>
      </c>
      <c r="F38" s="9" t="s">
        <v>397</v>
      </c>
      <c r="G38" s="9" t="s">
        <v>397</v>
      </c>
      <c r="H38" s="9" t="s">
        <v>340</v>
      </c>
      <c r="I38" s="9" t="s">
        <v>312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idden="1">
      <c r="A39" s="9" t="s">
        <v>307</v>
      </c>
      <c r="B39" s="9" t="s">
        <v>291</v>
      </c>
      <c r="C39" s="9">
        <v>1.0</v>
      </c>
      <c r="D39" s="9">
        <v>2018.0</v>
      </c>
      <c r="E39" s="9" t="s">
        <v>65</v>
      </c>
      <c r="F39" s="9" t="s">
        <v>398</v>
      </c>
      <c r="G39" s="9" t="s">
        <v>138</v>
      </c>
      <c r="H39" s="9" t="s">
        <v>340</v>
      </c>
      <c r="I39" s="9" t="s">
        <v>347</v>
      </c>
      <c r="J39" s="9" t="s">
        <v>318</v>
      </c>
      <c r="K39" s="9" t="s">
        <v>358</v>
      </c>
      <c r="L39" s="9" t="s">
        <v>315</v>
      </c>
      <c r="M39" s="10"/>
      <c r="N39" s="11">
        <v>40.0</v>
      </c>
      <c r="O39" s="9">
        <v>750.0</v>
      </c>
      <c r="P39" s="9"/>
      <c r="Q39" s="9"/>
      <c r="R39" s="10"/>
      <c r="S39" s="10"/>
      <c r="T39" s="12"/>
      <c r="U39" s="10"/>
      <c r="V39" s="10"/>
      <c r="W39" s="10"/>
      <c r="X39" s="10"/>
      <c r="Y39" s="10"/>
    </row>
    <row r="40" hidden="1">
      <c r="A40" s="9" t="s">
        <v>307</v>
      </c>
      <c r="B40" s="9" t="s">
        <v>291</v>
      </c>
      <c r="C40" s="9">
        <v>3.0</v>
      </c>
      <c r="D40" s="9">
        <v>2019.0</v>
      </c>
      <c r="E40" s="9" t="s">
        <v>73</v>
      </c>
      <c r="F40" s="9" t="s">
        <v>35</v>
      </c>
      <c r="G40" s="9" t="s">
        <v>35</v>
      </c>
      <c r="H40" s="9" t="s">
        <v>340</v>
      </c>
      <c r="I40" s="9" t="s">
        <v>347</v>
      </c>
      <c r="J40" s="9" t="s">
        <v>318</v>
      </c>
      <c r="K40" s="9" t="s">
        <v>358</v>
      </c>
      <c r="L40" s="9" t="s">
        <v>399</v>
      </c>
      <c r="M40" s="9" t="s">
        <v>400</v>
      </c>
      <c r="N40" s="11">
        <v>30.0</v>
      </c>
      <c r="O40" s="9">
        <v>750.0</v>
      </c>
      <c r="P40" s="9"/>
      <c r="Q40" s="9"/>
      <c r="R40" s="10"/>
      <c r="S40" s="10"/>
      <c r="T40" s="12"/>
      <c r="U40" s="10"/>
      <c r="V40" s="10"/>
      <c r="W40" s="10"/>
      <c r="X40" s="10"/>
      <c r="Y40" s="10"/>
    </row>
    <row r="41" hidden="1">
      <c r="A41" s="9" t="s">
        <v>307</v>
      </c>
      <c r="B41" s="9" t="s">
        <v>291</v>
      </c>
      <c r="C41" s="9">
        <v>1.0</v>
      </c>
      <c r="D41" s="9">
        <v>2014.0</v>
      </c>
      <c r="E41" s="9" t="s">
        <v>308</v>
      </c>
      <c r="F41" s="9" t="s">
        <v>35</v>
      </c>
      <c r="G41" s="9" t="s">
        <v>35</v>
      </c>
      <c r="H41" s="9" t="s">
        <v>311</v>
      </c>
      <c r="I41" s="9" t="s">
        <v>312</v>
      </c>
      <c r="J41" s="9" t="s">
        <v>318</v>
      </c>
      <c r="K41" s="9" t="s">
        <v>358</v>
      </c>
      <c r="L41" s="10"/>
      <c r="M41" s="10"/>
      <c r="N41" s="11">
        <v>29.0</v>
      </c>
      <c r="O41" s="9">
        <v>750.0</v>
      </c>
      <c r="P41" s="9"/>
      <c r="Q41" s="9"/>
      <c r="R41" s="10"/>
      <c r="S41" s="10"/>
      <c r="T41" s="12"/>
      <c r="U41" s="10"/>
      <c r="V41" s="10"/>
      <c r="W41" s="10"/>
      <c r="X41" s="10"/>
      <c r="Y41" s="10"/>
    </row>
    <row r="42" hidden="1">
      <c r="A42" s="9" t="s">
        <v>307</v>
      </c>
      <c r="B42" s="9" t="s">
        <v>291</v>
      </c>
      <c r="C42" s="9">
        <v>1.0</v>
      </c>
      <c r="D42" s="9">
        <v>2015.0</v>
      </c>
      <c r="E42" s="9" t="s">
        <v>308</v>
      </c>
      <c r="F42" s="9" t="s">
        <v>104</v>
      </c>
      <c r="G42" s="9" t="s">
        <v>401</v>
      </c>
      <c r="H42" s="9" t="s">
        <v>311</v>
      </c>
      <c r="I42" s="9" t="s">
        <v>312</v>
      </c>
      <c r="J42" s="9" t="s">
        <v>318</v>
      </c>
      <c r="K42" s="9" t="s">
        <v>358</v>
      </c>
      <c r="L42" s="10"/>
      <c r="M42" s="10"/>
      <c r="N42" s="11">
        <v>36.0</v>
      </c>
      <c r="O42" s="9">
        <v>750.0</v>
      </c>
      <c r="P42" s="9"/>
      <c r="Q42" s="9"/>
      <c r="R42" s="10"/>
      <c r="S42" s="10"/>
      <c r="T42" s="12"/>
      <c r="U42" s="10"/>
      <c r="V42" s="10"/>
      <c r="W42" s="10"/>
      <c r="X42" s="10"/>
      <c r="Y42" s="10"/>
    </row>
    <row r="43">
      <c r="A43" s="9" t="s">
        <v>402</v>
      </c>
      <c r="B43" s="9" t="s">
        <v>291</v>
      </c>
      <c r="C43" s="9">
        <v>2.0</v>
      </c>
      <c r="D43" s="9">
        <v>2016.0</v>
      </c>
      <c r="E43" s="9" t="s">
        <v>316</v>
      </c>
      <c r="F43" s="9" t="s">
        <v>208</v>
      </c>
      <c r="G43" s="9" t="s">
        <v>39</v>
      </c>
      <c r="H43" s="9" t="s">
        <v>311</v>
      </c>
      <c r="I43" s="9" t="s">
        <v>312</v>
      </c>
      <c r="J43" s="9" t="s">
        <v>318</v>
      </c>
      <c r="K43" s="9" t="s">
        <v>319</v>
      </c>
      <c r="L43" s="9" t="s">
        <v>320</v>
      </c>
      <c r="M43" s="10"/>
      <c r="N43" s="11">
        <v>65.0</v>
      </c>
      <c r="O43" s="9">
        <v>750.0</v>
      </c>
      <c r="P43" s="9"/>
      <c r="Q43" s="9"/>
      <c r="R43" s="10"/>
      <c r="S43" s="10"/>
      <c r="T43" s="12"/>
      <c r="U43" s="10"/>
      <c r="V43" s="10"/>
      <c r="W43" s="10"/>
      <c r="X43" s="10"/>
      <c r="Y43" s="10"/>
    </row>
    <row r="44" hidden="1">
      <c r="A44" s="9" t="s">
        <v>307</v>
      </c>
      <c r="B44" s="9" t="s">
        <v>291</v>
      </c>
      <c r="C44" s="9">
        <v>2.0</v>
      </c>
      <c r="D44" s="9">
        <v>2016.0</v>
      </c>
      <c r="E44" s="9" t="s">
        <v>308</v>
      </c>
      <c r="F44" s="9" t="s">
        <v>35</v>
      </c>
      <c r="G44" s="9" t="s">
        <v>35</v>
      </c>
      <c r="H44" s="9" t="s">
        <v>311</v>
      </c>
      <c r="I44" s="9" t="s">
        <v>312</v>
      </c>
      <c r="J44" s="9" t="s">
        <v>318</v>
      </c>
      <c r="K44" s="9" t="s">
        <v>358</v>
      </c>
      <c r="L44" s="10"/>
      <c r="M44" s="10"/>
      <c r="N44" s="11">
        <v>29.0</v>
      </c>
      <c r="O44" s="9">
        <v>750.0</v>
      </c>
      <c r="P44" s="9"/>
      <c r="Q44" s="9"/>
      <c r="R44" s="10"/>
      <c r="S44" s="10"/>
      <c r="T44" s="12"/>
      <c r="U44" s="10"/>
      <c r="V44" s="10"/>
      <c r="W44" s="10"/>
      <c r="X44" s="10"/>
      <c r="Y44" s="10"/>
    </row>
    <row r="45" hidden="1">
      <c r="A45" s="9" t="s">
        <v>307</v>
      </c>
      <c r="B45" s="9" t="s">
        <v>291</v>
      </c>
      <c r="C45" s="9">
        <v>1.0</v>
      </c>
      <c r="D45" s="9">
        <v>2017.0</v>
      </c>
      <c r="E45" s="9" t="s">
        <v>403</v>
      </c>
      <c r="F45" s="9" t="s">
        <v>404</v>
      </c>
      <c r="G45" s="9" t="s">
        <v>404</v>
      </c>
      <c r="H45" s="9" t="s">
        <v>340</v>
      </c>
      <c r="I45" s="9" t="s">
        <v>312</v>
      </c>
      <c r="J45" s="9" t="s">
        <v>318</v>
      </c>
      <c r="K45" s="9" t="s">
        <v>405</v>
      </c>
      <c r="L45" s="9" t="s">
        <v>406</v>
      </c>
      <c r="M45" s="9" t="s">
        <v>407</v>
      </c>
      <c r="N45" s="11">
        <v>70.0</v>
      </c>
      <c r="O45" s="9">
        <v>750.0</v>
      </c>
      <c r="P45" s="9"/>
      <c r="Q45" s="9"/>
      <c r="R45" s="10"/>
      <c r="S45" s="10"/>
      <c r="T45" s="12"/>
      <c r="U45" s="10"/>
      <c r="V45" s="10"/>
      <c r="W45" s="10"/>
      <c r="X45" s="10"/>
      <c r="Y45" s="10"/>
    </row>
    <row r="46" hidden="1">
      <c r="A46" s="9" t="s">
        <v>307</v>
      </c>
      <c r="B46" s="9" t="s">
        <v>291</v>
      </c>
      <c r="C46" s="9">
        <v>1.0</v>
      </c>
      <c r="D46" s="9">
        <v>2019.0</v>
      </c>
      <c r="E46" s="9" t="s">
        <v>73</v>
      </c>
      <c r="F46" s="9" t="s">
        <v>408</v>
      </c>
      <c r="G46" s="9" t="s">
        <v>39</v>
      </c>
      <c r="H46" s="9" t="s">
        <v>340</v>
      </c>
      <c r="I46" s="9" t="s">
        <v>312</v>
      </c>
      <c r="J46" s="9" t="s">
        <v>318</v>
      </c>
      <c r="K46" s="9" t="s">
        <v>358</v>
      </c>
      <c r="L46" s="9" t="s">
        <v>386</v>
      </c>
      <c r="M46" s="9" t="s">
        <v>409</v>
      </c>
      <c r="N46" s="11">
        <v>45.0</v>
      </c>
      <c r="O46" s="9">
        <v>750.0</v>
      </c>
      <c r="P46" s="9"/>
      <c r="Q46" s="9"/>
      <c r="R46" s="10"/>
      <c r="S46" s="10"/>
      <c r="T46" s="12"/>
      <c r="U46" s="10"/>
      <c r="V46" s="10"/>
      <c r="W46" s="10"/>
      <c r="X46" s="10"/>
      <c r="Y46" s="10"/>
    </row>
    <row r="47" hidden="1">
      <c r="A47" s="9" t="s">
        <v>390</v>
      </c>
      <c r="B47" s="9" t="s">
        <v>291</v>
      </c>
      <c r="C47" s="9">
        <v>1.0</v>
      </c>
      <c r="D47" s="9">
        <v>2016.0</v>
      </c>
      <c r="E47" s="9" t="s">
        <v>410</v>
      </c>
      <c r="F47" s="9" t="s">
        <v>411</v>
      </c>
      <c r="G47" s="9" t="s">
        <v>122</v>
      </c>
      <c r="H47" s="9" t="s">
        <v>311</v>
      </c>
      <c r="I47" s="9" t="s">
        <v>312</v>
      </c>
      <c r="J47" s="9" t="s">
        <v>313</v>
      </c>
      <c r="K47" s="9" t="s">
        <v>405</v>
      </c>
      <c r="L47" s="9" t="s">
        <v>412</v>
      </c>
      <c r="M47" s="10"/>
      <c r="N47" s="11">
        <v>45.0</v>
      </c>
      <c r="O47" s="9">
        <v>750.0</v>
      </c>
      <c r="P47" s="9"/>
      <c r="Q47" s="9"/>
      <c r="R47" s="10"/>
      <c r="S47" s="10"/>
      <c r="T47" s="12"/>
      <c r="U47" s="10"/>
      <c r="V47" s="10"/>
      <c r="W47" s="10"/>
      <c r="X47" s="10"/>
      <c r="Y47" s="10"/>
    </row>
    <row r="48" hidden="1">
      <c r="A48" s="9" t="s">
        <v>307</v>
      </c>
      <c r="B48" s="9" t="s">
        <v>291</v>
      </c>
      <c r="C48" s="9">
        <v>1.0</v>
      </c>
      <c r="D48" s="9">
        <v>2016.0</v>
      </c>
      <c r="E48" s="9" t="s">
        <v>410</v>
      </c>
      <c r="F48" s="9" t="s">
        <v>395</v>
      </c>
      <c r="G48" s="9" t="s">
        <v>39</v>
      </c>
      <c r="H48" s="9" t="s">
        <v>311</v>
      </c>
      <c r="I48" s="9" t="s">
        <v>312</v>
      </c>
      <c r="J48" s="9" t="s">
        <v>318</v>
      </c>
      <c r="K48" s="9" t="s">
        <v>319</v>
      </c>
      <c r="L48" s="9"/>
      <c r="M48" s="9"/>
      <c r="N48" s="11">
        <v>50.0</v>
      </c>
      <c r="O48" s="9">
        <v>750.0</v>
      </c>
      <c r="P48" s="9"/>
      <c r="Q48" s="9"/>
      <c r="R48" s="10"/>
      <c r="S48" s="10"/>
      <c r="T48" s="12"/>
      <c r="U48" s="10"/>
      <c r="V48" s="10"/>
      <c r="W48" s="10"/>
      <c r="X48" s="10"/>
      <c r="Y48" s="10"/>
    </row>
    <row r="49" hidden="1">
      <c r="A49" s="9" t="s">
        <v>332</v>
      </c>
      <c r="B49" s="9" t="s">
        <v>291</v>
      </c>
      <c r="C49" s="9">
        <v>1.0</v>
      </c>
      <c r="D49" s="9">
        <v>2018.0</v>
      </c>
      <c r="E49" s="9" t="s">
        <v>129</v>
      </c>
      <c r="F49" s="9" t="s">
        <v>413</v>
      </c>
      <c r="G49" s="9" t="s">
        <v>39</v>
      </c>
      <c r="H49" s="9" t="s">
        <v>311</v>
      </c>
      <c r="I49" s="9" t="s">
        <v>312</v>
      </c>
      <c r="J49" s="13" t="s">
        <v>334</v>
      </c>
      <c r="K49" s="9" t="s">
        <v>341</v>
      </c>
      <c r="L49" s="10"/>
      <c r="M49" s="10"/>
      <c r="N49" s="11">
        <v>56.0</v>
      </c>
      <c r="O49" s="9">
        <v>750.0</v>
      </c>
      <c r="P49" s="9"/>
      <c r="Q49" s="9"/>
      <c r="R49" s="10"/>
      <c r="S49" s="10"/>
      <c r="T49" s="12"/>
      <c r="U49" s="10"/>
      <c r="V49" s="10"/>
      <c r="W49" s="10"/>
      <c r="X49" s="10"/>
      <c r="Y49" s="10"/>
    </row>
    <row r="50" hidden="1">
      <c r="A50" s="9" t="s">
        <v>332</v>
      </c>
      <c r="B50" s="9" t="s">
        <v>291</v>
      </c>
      <c r="C50" s="9">
        <v>1.0</v>
      </c>
      <c r="D50" s="9">
        <v>2018.0</v>
      </c>
      <c r="E50" s="9" t="s">
        <v>414</v>
      </c>
      <c r="F50" s="9" t="s">
        <v>57</v>
      </c>
      <c r="G50" s="9" t="s">
        <v>415</v>
      </c>
      <c r="H50" s="9" t="s">
        <v>311</v>
      </c>
      <c r="I50" s="9" t="s">
        <v>312</v>
      </c>
      <c r="J50" s="13" t="s">
        <v>334</v>
      </c>
      <c r="K50" s="9" t="s">
        <v>341</v>
      </c>
      <c r="L50" s="10"/>
      <c r="M50" s="10"/>
      <c r="N50" s="11">
        <v>65.0</v>
      </c>
      <c r="O50" s="9">
        <v>750.0</v>
      </c>
      <c r="P50" s="9"/>
      <c r="Q50" s="9"/>
      <c r="R50" s="10"/>
      <c r="S50" s="10"/>
      <c r="T50" s="12"/>
      <c r="U50" s="10"/>
      <c r="V50" s="10"/>
      <c r="W50" s="10"/>
      <c r="X50" s="10"/>
      <c r="Y50" s="10"/>
    </row>
    <row r="51" hidden="1">
      <c r="A51" s="9" t="s">
        <v>332</v>
      </c>
      <c r="B51" s="9" t="s">
        <v>291</v>
      </c>
      <c r="C51" s="9">
        <v>1.0</v>
      </c>
      <c r="D51" s="9">
        <v>2018.0</v>
      </c>
      <c r="E51" s="9" t="s">
        <v>142</v>
      </c>
      <c r="F51" s="9" t="s">
        <v>104</v>
      </c>
      <c r="G51" s="9" t="s">
        <v>39</v>
      </c>
      <c r="H51" s="9" t="s">
        <v>311</v>
      </c>
      <c r="I51" s="9" t="s">
        <v>312</v>
      </c>
      <c r="J51" s="13" t="s">
        <v>334</v>
      </c>
      <c r="K51" s="9" t="s">
        <v>341</v>
      </c>
      <c r="L51" s="10"/>
      <c r="M51" s="10"/>
      <c r="N51" s="11">
        <v>27.0</v>
      </c>
      <c r="O51" s="9">
        <v>750.0</v>
      </c>
      <c r="P51" s="9"/>
      <c r="Q51" s="9"/>
      <c r="R51" s="10"/>
      <c r="S51" s="10"/>
      <c r="T51" s="12"/>
      <c r="U51" s="10"/>
      <c r="V51" s="10"/>
      <c r="W51" s="10"/>
      <c r="X51" s="10"/>
      <c r="Y51" s="10"/>
    </row>
    <row r="52" hidden="1">
      <c r="A52" s="9" t="s">
        <v>332</v>
      </c>
      <c r="B52" s="9" t="s">
        <v>291</v>
      </c>
      <c r="C52" s="9">
        <v>1.0</v>
      </c>
      <c r="D52" s="9">
        <v>2016.0</v>
      </c>
      <c r="E52" s="9" t="s">
        <v>416</v>
      </c>
      <c r="F52" s="9" t="s">
        <v>39</v>
      </c>
      <c r="G52" s="9" t="s">
        <v>39</v>
      </c>
      <c r="H52" s="9" t="s">
        <v>340</v>
      </c>
      <c r="I52" s="9" t="s">
        <v>312</v>
      </c>
      <c r="J52" s="9" t="s">
        <v>348</v>
      </c>
      <c r="K52" s="9" t="s">
        <v>335</v>
      </c>
      <c r="L52" s="10"/>
      <c r="M52" s="10"/>
      <c r="N52" s="11">
        <v>50.0</v>
      </c>
      <c r="O52" s="9">
        <v>750.0</v>
      </c>
      <c r="P52" s="9"/>
      <c r="Q52" s="9"/>
      <c r="R52" s="10"/>
      <c r="S52" s="10"/>
      <c r="T52" s="12"/>
      <c r="U52" s="10"/>
      <c r="V52" s="10"/>
      <c r="W52" s="10"/>
      <c r="X52" s="10"/>
      <c r="Y52" s="10"/>
    </row>
    <row r="53" hidden="1">
      <c r="A53" s="9" t="s">
        <v>332</v>
      </c>
      <c r="B53" s="9" t="s">
        <v>291</v>
      </c>
      <c r="C53" s="9">
        <v>1.0</v>
      </c>
      <c r="D53" s="9">
        <v>2019.0</v>
      </c>
      <c r="E53" s="9" t="s">
        <v>198</v>
      </c>
      <c r="F53" s="9" t="s">
        <v>395</v>
      </c>
      <c r="G53" s="9" t="s">
        <v>39</v>
      </c>
      <c r="H53" s="9" t="s">
        <v>311</v>
      </c>
      <c r="I53" s="9" t="s">
        <v>347</v>
      </c>
      <c r="J53" s="9" t="s">
        <v>348</v>
      </c>
      <c r="K53" s="9" t="s">
        <v>335</v>
      </c>
      <c r="L53" s="9" t="s">
        <v>417</v>
      </c>
      <c r="M53" s="9" t="s">
        <v>234</v>
      </c>
      <c r="N53" s="11">
        <v>143.0</v>
      </c>
      <c r="O53" s="9">
        <v>1500.0</v>
      </c>
      <c r="P53" s="9"/>
      <c r="Q53" s="9"/>
      <c r="R53" s="10"/>
      <c r="S53" s="10"/>
      <c r="T53" s="12"/>
      <c r="U53" s="10"/>
      <c r="V53" s="10"/>
      <c r="W53" s="10"/>
      <c r="X53" s="10"/>
      <c r="Y53" s="10"/>
    </row>
    <row r="54" hidden="1">
      <c r="A54" s="9" t="s">
        <v>332</v>
      </c>
      <c r="B54" s="9" t="s">
        <v>291</v>
      </c>
      <c r="C54" s="9">
        <v>1.0</v>
      </c>
      <c r="D54" s="9">
        <v>2019.0</v>
      </c>
      <c r="E54" s="9" t="s">
        <v>198</v>
      </c>
      <c r="F54" s="9" t="s">
        <v>339</v>
      </c>
      <c r="G54" s="9" t="s">
        <v>35</v>
      </c>
      <c r="H54" s="9" t="s">
        <v>311</v>
      </c>
      <c r="I54" s="9" t="s">
        <v>347</v>
      </c>
      <c r="J54" s="9" t="s">
        <v>348</v>
      </c>
      <c r="K54" s="9" t="s">
        <v>335</v>
      </c>
      <c r="L54" s="9" t="s">
        <v>417</v>
      </c>
      <c r="M54" s="9" t="s">
        <v>234</v>
      </c>
      <c r="N54" s="11">
        <v>60.0</v>
      </c>
      <c r="O54" s="9">
        <v>750.0</v>
      </c>
      <c r="P54" s="9"/>
      <c r="Q54" s="9"/>
      <c r="R54" s="10"/>
      <c r="S54" s="10"/>
      <c r="T54" s="12"/>
      <c r="U54" s="10"/>
      <c r="V54" s="10"/>
      <c r="W54" s="10"/>
      <c r="X54" s="10"/>
      <c r="Y54" s="10"/>
    </row>
    <row r="55" hidden="1">
      <c r="A55" s="9" t="s">
        <v>332</v>
      </c>
      <c r="B55" s="9" t="s">
        <v>291</v>
      </c>
      <c r="C55" s="9">
        <v>1.0</v>
      </c>
      <c r="D55" s="9">
        <v>2018.0</v>
      </c>
      <c r="E55" s="9" t="s">
        <v>198</v>
      </c>
      <c r="F55" s="9" t="s">
        <v>234</v>
      </c>
      <c r="G55" s="9" t="s">
        <v>393</v>
      </c>
      <c r="H55" s="9" t="s">
        <v>311</v>
      </c>
      <c r="I55" s="9" t="s">
        <v>347</v>
      </c>
      <c r="J55" s="9" t="s">
        <v>348</v>
      </c>
      <c r="K55" s="9" t="s">
        <v>335</v>
      </c>
      <c r="L55" s="9" t="s">
        <v>417</v>
      </c>
      <c r="M55" s="9" t="s">
        <v>234</v>
      </c>
      <c r="N55" s="11">
        <v>235.0</v>
      </c>
      <c r="O55" s="9">
        <v>750.0</v>
      </c>
      <c r="P55" s="9"/>
      <c r="Q55" s="9"/>
      <c r="R55" s="10"/>
      <c r="S55" s="10"/>
      <c r="T55" s="12"/>
      <c r="U55" s="10"/>
      <c r="V55" s="10"/>
      <c r="W55" s="10"/>
      <c r="X55" s="10"/>
      <c r="Y55" s="10"/>
    </row>
    <row r="56" hidden="1">
      <c r="A56" s="9" t="s">
        <v>332</v>
      </c>
      <c r="B56" s="9" t="s">
        <v>291</v>
      </c>
      <c r="C56" s="9">
        <v>2.0</v>
      </c>
      <c r="D56" s="9">
        <v>2020.0</v>
      </c>
      <c r="E56" s="9" t="s">
        <v>198</v>
      </c>
      <c r="F56" s="9" t="s">
        <v>395</v>
      </c>
      <c r="G56" s="9" t="s">
        <v>39</v>
      </c>
      <c r="H56" s="9" t="s">
        <v>311</v>
      </c>
      <c r="I56" s="9" t="s">
        <v>347</v>
      </c>
      <c r="J56" s="9" t="s">
        <v>348</v>
      </c>
      <c r="K56" s="9" t="s">
        <v>335</v>
      </c>
      <c r="L56" s="9" t="s">
        <v>417</v>
      </c>
      <c r="M56" s="9" t="s">
        <v>234</v>
      </c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hidden="1">
      <c r="A57" s="9" t="s">
        <v>332</v>
      </c>
      <c r="B57" s="9" t="s">
        <v>291</v>
      </c>
      <c r="C57" s="9">
        <v>2.0</v>
      </c>
      <c r="D57" s="9">
        <v>2020.0</v>
      </c>
      <c r="E57" s="9" t="s">
        <v>198</v>
      </c>
      <c r="F57" s="9" t="s">
        <v>339</v>
      </c>
      <c r="G57" s="9" t="s">
        <v>122</v>
      </c>
      <c r="H57" s="9" t="s">
        <v>311</v>
      </c>
      <c r="I57" s="9" t="s">
        <v>347</v>
      </c>
      <c r="J57" s="9" t="s">
        <v>348</v>
      </c>
      <c r="K57" s="9" t="s">
        <v>335</v>
      </c>
      <c r="L57" s="9" t="s">
        <v>417</v>
      </c>
      <c r="M57" s="9" t="s">
        <v>234</v>
      </c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idden="1">
      <c r="A58" s="9" t="s">
        <v>332</v>
      </c>
      <c r="B58" s="9" t="s">
        <v>291</v>
      </c>
      <c r="C58" s="9">
        <v>1.0</v>
      </c>
      <c r="D58" s="9">
        <v>2019.0</v>
      </c>
      <c r="E58" s="9" t="s">
        <v>198</v>
      </c>
      <c r="F58" s="9" t="s">
        <v>200</v>
      </c>
      <c r="G58" s="9" t="s">
        <v>200</v>
      </c>
      <c r="H58" s="9" t="s">
        <v>311</v>
      </c>
      <c r="I58" s="9" t="s">
        <v>347</v>
      </c>
      <c r="J58" s="9" t="s">
        <v>318</v>
      </c>
      <c r="K58" s="9" t="s">
        <v>358</v>
      </c>
      <c r="L58" s="9" t="s">
        <v>386</v>
      </c>
      <c r="M58" s="9" t="s">
        <v>418</v>
      </c>
      <c r="N58" s="11">
        <v>34.0</v>
      </c>
      <c r="O58" s="9">
        <v>750.0</v>
      </c>
      <c r="P58" s="9"/>
      <c r="Q58" s="9"/>
      <c r="R58" s="10"/>
      <c r="S58" s="10"/>
      <c r="T58" s="12"/>
      <c r="U58" s="10"/>
      <c r="V58" s="10"/>
      <c r="W58" s="10"/>
      <c r="X58" s="10"/>
      <c r="Y58" s="10"/>
    </row>
    <row r="59" hidden="1">
      <c r="A59" s="9" t="s">
        <v>332</v>
      </c>
      <c r="B59" s="9" t="s">
        <v>291</v>
      </c>
      <c r="C59" s="9">
        <v>1.0</v>
      </c>
      <c r="D59" s="9">
        <v>2016.0</v>
      </c>
      <c r="E59" s="9" t="s">
        <v>198</v>
      </c>
      <c r="F59" s="9" t="s">
        <v>146</v>
      </c>
      <c r="G59" s="9" t="s">
        <v>146</v>
      </c>
      <c r="H59" s="9" t="s">
        <v>311</v>
      </c>
      <c r="I59" s="9" t="s">
        <v>347</v>
      </c>
      <c r="J59" s="9" t="s">
        <v>318</v>
      </c>
      <c r="K59" s="9" t="s">
        <v>358</v>
      </c>
      <c r="L59" s="9" t="s">
        <v>399</v>
      </c>
      <c r="M59" s="9" t="s">
        <v>246</v>
      </c>
      <c r="N59" s="11">
        <v>48.0</v>
      </c>
      <c r="O59" s="9">
        <v>750.0</v>
      </c>
      <c r="P59" s="9"/>
      <c r="Q59" s="9"/>
      <c r="R59" s="10"/>
      <c r="S59" s="10"/>
      <c r="T59" s="12"/>
      <c r="U59" s="10"/>
      <c r="V59" s="10"/>
      <c r="W59" s="10"/>
      <c r="X59" s="10"/>
      <c r="Y59" s="10"/>
    </row>
    <row r="60" hidden="1">
      <c r="A60" s="9" t="s">
        <v>332</v>
      </c>
      <c r="B60" s="9" t="s">
        <v>291</v>
      </c>
      <c r="C60" s="9">
        <v>1.0</v>
      </c>
      <c r="D60" s="9">
        <v>2018.0</v>
      </c>
      <c r="E60" s="9" t="s">
        <v>198</v>
      </c>
      <c r="F60" s="9" t="s">
        <v>419</v>
      </c>
      <c r="G60" s="9" t="s">
        <v>420</v>
      </c>
      <c r="H60" s="9" t="s">
        <v>311</v>
      </c>
      <c r="I60" s="9" t="s">
        <v>347</v>
      </c>
      <c r="J60" s="9" t="s">
        <v>318</v>
      </c>
      <c r="K60" s="3" t="s">
        <v>318</v>
      </c>
      <c r="L60" s="9" t="s">
        <v>421</v>
      </c>
      <c r="M60" s="9" t="s">
        <v>422</v>
      </c>
      <c r="N60" s="11"/>
      <c r="O60" s="9">
        <v>750.0</v>
      </c>
      <c r="P60" s="9"/>
      <c r="Q60" s="9"/>
      <c r="R60" s="10"/>
      <c r="S60" s="10"/>
      <c r="T60" s="12"/>
      <c r="U60" s="10"/>
      <c r="V60" s="10"/>
      <c r="W60" s="10"/>
      <c r="X60" s="10"/>
      <c r="Y60" s="10"/>
    </row>
    <row r="61" hidden="1">
      <c r="A61" s="9" t="s">
        <v>307</v>
      </c>
      <c r="B61" s="9" t="s">
        <v>291</v>
      </c>
      <c r="C61" s="9">
        <v>1.0</v>
      </c>
      <c r="D61" s="9">
        <v>2016.0</v>
      </c>
      <c r="E61" s="9" t="s">
        <v>65</v>
      </c>
      <c r="F61" s="9" t="s">
        <v>423</v>
      </c>
      <c r="G61" s="9" t="s">
        <v>138</v>
      </c>
      <c r="H61" s="9" t="s">
        <v>311</v>
      </c>
      <c r="I61" s="9" t="s">
        <v>312</v>
      </c>
      <c r="J61" s="9" t="s">
        <v>313</v>
      </c>
      <c r="K61" s="9" t="s">
        <v>358</v>
      </c>
      <c r="L61" s="9" t="s">
        <v>315</v>
      </c>
      <c r="M61" s="10"/>
      <c r="N61" s="11">
        <v>50.0</v>
      </c>
      <c r="O61" s="9">
        <v>750.0</v>
      </c>
      <c r="P61" s="9"/>
      <c r="Q61" s="9"/>
      <c r="R61" s="10"/>
      <c r="S61" s="10"/>
      <c r="T61" s="12"/>
      <c r="U61" s="10"/>
      <c r="V61" s="10"/>
      <c r="W61" s="10"/>
      <c r="X61" s="10"/>
      <c r="Y61" s="10"/>
    </row>
    <row r="62">
      <c r="A62" s="9" t="s">
        <v>424</v>
      </c>
      <c r="B62" s="9" t="s">
        <v>291</v>
      </c>
      <c r="C62" s="9">
        <v>2.0</v>
      </c>
      <c r="D62" s="9">
        <v>2017.0</v>
      </c>
      <c r="E62" s="9" t="s">
        <v>425</v>
      </c>
      <c r="F62" s="9" t="s">
        <v>39</v>
      </c>
      <c r="G62" s="9" t="s">
        <v>39</v>
      </c>
      <c r="H62" s="9" t="s">
        <v>340</v>
      </c>
      <c r="I62" s="9" t="s">
        <v>426</v>
      </c>
      <c r="J62" s="9" t="s">
        <v>427</v>
      </c>
      <c r="L62" s="9" t="s">
        <v>428</v>
      </c>
      <c r="M62" s="10"/>
      <c r="N62" s="11">
        <v>42.0</v>
      </c>
      <c r="O62" s="9">
        <v>750.0</v>
      </c>
      <c r="P62" s="9"/>
      <c r="Q62" s="9"/>
      <c r="R62" s="10"/>
      <c r="S62" s="9"/>
      <c r="T62" s="12"/>
      <c r="U62" s="10"/>
      <c r="V62" s="10"/>
      <c r="W62" s="10"/>
      <c r="X62" s="10"/>
      <c r="Y62" s="10"/>
    </row>
    <row r="63" hidden="1">
      <c r="A63" s="9" t="s">
        <v>332</v>
      </c>
      <c r="B63" s="9" t="s">
        <v>291</v>
      </c>
      <c r="C63" s="9">
        <v>1.0</v>
      </c>
      <c r="D63" s="9">
        <v>2017.0</v>
      </c>
      <c r="E63" s="9" t="s">
        <v>429</v>
      </c>
      <c r="F63" s="9" t="s">
        <v>39</v>
      </c>
      <c r="G63" s="9" t="s">
        <v>39</v>
      </c>
      <c r="H63" s="9" t="s">
        <v>311</v>
      </c>
      <c r="I63" s="9" t="s">
        <v>312</v>
      </c>
      <c r="J63" s="9" t="s">
        <v>318</v>
      </c>
      <c r="K63" s="9" t="s">
        <v>430</v>
      </c>
      <c r="L63" s="9" t="s">
        <v>431</v>
      </c>
      <c r="M63" s="10"/>
      <c r="N63" s="11">
        <v>25.0</v>
      </c>
      <c r="O63" s="9">
        <v>750.0</v>
      </c>
      <c r="P63" s="9"/>
      <c r="Q63" s="9"/>
      <c r="R63" s="10"/>
      <c r="S63" s="10"/>
      <c r="T63" s="12"/>
      <c r="U63" s="10"/>
      <c r="V63" s="10"/>
      <c r="W63" s="10"/>
      <c r="X63" s="10"/>
      <c r="Y63" s="10"/>
    </row>
    <row r="64" hidden="1">
      <c r="A64" s="9" t="s">
        <v>332</v>
      </c>
      <c r="B64" s="9" t="s">
        <v>291</v>
      </c>
      <c r="C64" s="9">
        <v>1.0</v>
      </c>
      <c r="D64" s="9">
        <v>2018.0</v>
      </c>
      <c r="E64" s="9" t="s">
        <v>8</v>
      </c>
      <c r="F64" s="9" t="s">
        <v>395</v>
      </c>
      <c r="G64" s="9" t="s">
        <v>39</v>
      </c>
      <c r="H64" s="9" t="s">
        <v>340</v>
      </c>
      <c r="I64" s="9" t="s">
        <v>312</v>
      </c>
      <c r="J64" s="13" t="s">
        <v>334</v>
      </c>
      <c r="K64" s="9" t="s">
        <v>341</v>
      </c>
      <c r="L64" s="10"/>
      <c r="M64" s="10"/>
      <c r="N64" s="11">
        <v>26.0</v>
      </c>
      <c r="O64" s="9">
        <v>750.0</v>
      </c>
      <c r="P64" s="9"/>
      <c r="Q64" s="9"/>
      <c r="R64" s="10"/>
      <c r="S64" s="10"/>
      <c r="T64" s="12"/>
      <c r="U64" s="10"/>
      <c r="V64" s="10"/>
      <c r="W64" s="10"/>
      <c r="X64" s="10"/>
      <c r="Y64" s="10"/>
    </row>
    <row r="65" hidden="1">
      <c r="A65" s="9" t="s">
        <v>307</v>
      </c>
      <c r="B65" s="9" t="s">
        <v>291</v>
      </c>
      <c r="C65" s="9">
        <v>1.0</v>
      </c>
      <c r="D65" s="9">
        <v>2016.0</v>
      </c>
      <c r="E65" s="9" t="s">
        <v>432</v>
      </c>
      <c r="F65" s="9" t="s">
        <v>433</v>
      </c>
      <c r="G65" s="9" t="s">
        <v>138</v>
      </c>
      <c r="H65" s="9" t="s">
        <v>311</v>
      </c>
      <c r="I65" s="9" t="s">
        <v>312</v>
      </c>
      <c r="J65" s="9" t="s">
        <v>318</v>
      </c>
      <c r="K65" s="9" t="s">
        <v>319</v>
      </c>
      <c r="L65" s="9" t="s">
        <v>381</v>
      </c>
      <c r="M65" s="10"/>
      <c r="N65" s="11">
        <v>55.0</v>
      </c>
      <c r="O65" s="9">
        <v>750.0</v>
      </c>
      <c r="P65" s="9"/>
      <c r="Q65" s="9"/>
      <c r="R65" s="10"/>
      <c r="S65" s="10"/>
      <c r="T65" s="12"/>
      <c r="U65" s="10"/>
      <c r="V65" s="10"/>
      <c r="W65" s="10"/>
      <c r="X65" s="10"/>
      <c r="Y65" s="10"/>
    </row>
    <row r="66" hidden="1">
      <c r="A66" s="9" t="s">
        <v>307</v>
      </c>
      <c r="B66" s="9" t="s">
        <v>291</v>
      </c>
      <c r="C66" s="9">
        <v>1.0</v>
      </c>
      <c r="D66" s="9">
        <v>2014.0</v>
      </c>
      <c r="E66" s="9" t="s">
        <v>434</v>
      </c>
      <c r="F66" s="9" t="s">
        <v>194</v>
      </c>
      <c r="G66" s="9" t="s">
        <v>194</v>
      </c>
      <c r="H66" s="9" t="s">
        <v>311</v>
      </c>
      <c r="I66" s="9" t="s">
        <v>347</v>
      </c>
      <c r="J66" s="9" t="s">
        <v>318</v>
      </c>
      <c r="K66" s="9" t="s">
        <v>319</v>
      </c>
      <c r="L66" s="9" t="s">
        <v>435</v>
      </c>
      <c r="M66" s="10"/>
      <c r="N66" s="11">
        <v>70.0</v>
      </c>
      <c r="O66" s="9">
        <v>750.0</v>
      </c>
      <c r="P66" s="9"/>
      <c r="Q66" s="9"/>
      <c r="R66" s="10"/>
      <c r="S66" s="10"/>
      <c r="T66" s="12"/>
      <c r="U66" s="10"/>
      <c r="V66" s="10"/>
      <c r="W66" s="10"/>
      <c r="X66" s="10"/>
      <c r="Y66" s="10"/>
    </row>
    <row r="67" hidden="1">
      <c r="A67" s="9" t="s">
        <v>307</v>
      </c>
      <c r="B67" s="9" t="s">
        <v>291</v>
      </c>
      <c r="C67" s="9">
        <v>1.0</v>
      </c>
      <c r="D67" s="9">
        <v>2016.0</v>
      </c>
      <c r="E67" s="9" t="s">
        <v>65</v>
      </c>
      <c r="F67" s="9" t="s">
        <v>404</v>
      </c>
      <c r="G67" s="9" t="s">
        <v>404</v>
      </c>
      <c r="H67" s="9" t="s">
        <v>340</v>
      </c>
      <c r="I67" s="9" t="s">
        <v>347</v>
      </c>
      <c r="J67" s="9" t="s">
        <v>318</v>
      </c>
      <c r="K67" s="9" t="s">
        <v>358</v>
      </c>
      <c r="L67" s="9" t="s">
        <v>315</v>
      </c>
      <c r="M67" s="9" t="s">
        <v>436</v>
      </c>
      <c r="N67" s="11">
        <v>34.0</v>
      </c>
      <c r="O67" s="9">
        <v>750.0</v>
      </c>
      <c r="P67" s="9"/>
      <c r="Q67" s="9"/>
      <c r="R67" s="10"/>
      <c r="S67" s="10"/>
      <c r="T67" s="12"/>
      <c r="U67" s="10"/>
      <c r="V67" s="10"/>
      <c r="W67" s="10"/>
      <c r="X67" s="10"/>
      <c r="Y67" s="10"/>
    </row>
    <row r="68" hidden="1">
      <c r="A68" s="9" t="s">
        <v>307</v>
      </c>
      <c r="B68" s="9" t="s">
        <v>291</v>
      </c>
      <c r="C68" s="9">
        <v>1.0</v>
      </c>
      <c r="D68" s="9">
        <v>2019.0</v>
      </c>
      <c r="E68" s="9" t="s">
        <v>437</v>
      </c>
      <c r="F68" s="9" t="s">
        <v>35</v>
      </c>
      <c r="G68" s="9" t="s">
        <v>35</v>
      </c>
      <c r="H68" s="9" t="s">
        <v>311</v>
      </c>
      <c r="I68" s="9" t="s">
        <v>347</v>
      </c>
      <c r="J68" s="9" t="s">
        <v>318</v>
      </c>
      <c r="K68" s="9" t="s">
        <v>319</v>
      </c>
      <c r="L68" s="9" t="s">
        <v>435</v>
      </c>
      <c r="M68" s="9" t="s">
        <v>438</v>
      </c>
      <c r="N68" s="11">
        <v>80.0</v>
      </c>
      <c r="O68" s="9">
        <v>750.0</v>
      </c>
      <c r="P68" s="9"/>
      <c r="Q68" s="9"/>
      <c r="R68" s="10"/>
      <c r="S68" s="10"/>
      <c r="T68" s="12"/>
      <c r="U68" s="10"/>
      <c r="V68" s="10"/>
      <c r="W68" s="10"/>
      <c r="X68" s="10"/>
      <c r="Y68" s="10"/>
    </row>
    <row r="69" hidden="1">
      <c r="A69" s="9" t="s">
        <v>307</v>
      </c>
      <c r="B69" s="9" t="s">
        <v>291</v>
      </c>
      <c r="C69" s="9">
        <v>1.0</v>
      </c>
      <c r="D69" s="9">
        <v>2015.0</v>
      </c>
      <c r="E69" s="9" t="s">
        <v>10</v>
      </c>
      <c r="F69" s="9" t="s">
        <v>104</v>
      </c>
      <c r="G69" s="9" t="s">
        <v>401</v>
      </c>
      <c r="H69" s="9" t="s">
        <v>311</v>
      </c>
      <c r="I69" s="9" t="s">
        <v>347</v>
      </c>
      <c r="J69" s="9" t="s">
        <v>318</v>
      </c>
      <c r="K69" s="9" t="s">
        <v>319</v>
      </c>
      <c r="L69" s="9" t="s">
        <v>439</v>
      </c>
      <c r="M69" s="10"/>
      <c r="N69" s="11">
        <v>50.0</v>
      </c>
      <c r="O69" s="9">
        <v>750.0</v>
      </c>
      <c r="P69" s="9"/>
      <c r="Q69" s="9"/>
      <c r="R69" s="10"/>
      <c r="S69" s="10"/>
      <c r="T69" s="12"/>
      <c r="U69" s="10"/>
      <c r="V69" s="10"/>
      <c r="W69" s="10"/>
      <c r="X69" s="10"/>
      <c r="Y69" s="10"/>
    </row>
    <row r="70" hidden="1">
      <c r="A70" s="9" t="s">
        <v>307</v>
      </c>
      <c r="B70" s="9" t="s">
        <v>291</v>
      </c>
      <c r="C70" s="9">
        <v>1.0</v>
      </c>
      <c r="D70" s="9">
        <v>2016.0</v>
      </c>
      <c r="E70" s="9" t="s">
        <v>316</v>
      </c>
      <c r="F70" s="9" t="s">
        <v>317</v>
      </c>
      <c r="G70" s="9" t="s">
        <v>39</v>
      </c>
      <c r="H70" s="9" t="s">
        <v>311</v>
      </c>
      <c r="I70" s="9" t="s">
        <v>312</v>
      </c>
      <c r="J70" s="9" t="s">
        <v>318</v>
      </c>
      <c r="K70" s="9" t="s">
        <v>319</v>
      </c>
      <c r="L70" s="9" t="s">
        <v>320</v>
      </c>
      <c r="M70" s="9" t="s">
        <v>321</v>
      </c>
      <c r="N70" s="11">
        <v>175.0</v>
      </c>
      <c r="O70" s="9">
        <v>750.0</v>
      </c>
      <c r="P70" s="9"/>
      <c r="Q70" s="9"/>
      <c r="R70" s="10"/>
      <c r="S70" s="10"/>
      <c r="T70" s="12"/>
      <c r="U70" s="9"/>
      <c r="V70" s="10"/>
      <c r="W70" s="10"/>
      <c r="X70" s="10"/>
      <c r="Y70" s="10"/>
    </row>
    <row r="71" hidden="1">
      <c r="A71" s="9" t="s">
        <v>307</v>
      </c>
      <c r="B71" s="9" t="s">
        <v>291</v>
      </c>
      <c r="C71" s="9">
        <v>1.0</v>
      </c>
      <c r="D71" s="9">
        <v>2014.0</v>
      </c>
      <c r="E71" s="9" t="s">
        <v>316</v>
      </c>
      <c r="F71" s="9" t="s">
        <v>317</v>
      </c>
      <c r="G71" s="9" t="s">
        <v>39</v>
      </c>
      <c r="H71" s="9" t="s">
        <v>311</v>
      </c>
      <c r="I71" s="9" t="s">
        <v>312</v>
      </c>
      <c r="J71" s="9" t="s">
        <v>318</v>
      </c>
      <c r="K71" s="9" t="s">
        <v>319</v>
      </c>
      <c r="L71" s="9" t="s">
        <v>320</v>
      </c>
      <c r="M71" s="9" t="s">
        <v>321</v>
      </c>
      <c r="N71" s="11">
        <v>175.0</v>
      </c>
      <c r="O71" s="9">
        <v>750.0</v>
      </c>
      <c r="P71" s="9"/>
      <c r="Q71" s="9"/>
      <c r="R71" s="10"/>
      <c r="S71" s="10"/>
      <c r="T71" s="12"/>
      <c r="U71" s="10"/>
      <c r="V71" s="10"/>
      <c r="W71" s="10"/>
      <c r="X71" s="10"/>
      <c r="Y71" s="10"/>
    </row>
    <row r="72" hidden="1">
      <c r="A72" s="9" t="s">
        <v>307</v>
      </c>
      <c r="B72" s="9" t="s">
        <v>291</v>
      </c>
      <c r="C72" s="9">
        <v>1.0</v>
      </c>
      <c r="D72" s="9">
        <v>2015.0</v>
      </c>
      <c r="E72" s="9" t="s">
        <v>316</v>
      </c>
      <c r="F72" s="9" t="s">
        <v>317</v>
      </c>
      <c r="G72" s="9" t="s">
        <v>39</v>
      </c>
      <c r="H72" s="9" t="s">
        <v>311</v>
      </c>
      <c r="I72" s="9" t="s">
        <v>312</v>
      </c>
      <c r="J72" s="9" t="s">
        <v>318</v>
      </c>
      <c r="K72" s="9" t="s">
        <v>319</v>
      </c>
      <c r="L72" s="9" t="s">
        <v>320</v>
      </c>
      <c r="M72" s="9" t="s">
        <v>321</v>
      </c>
      <c r="N72" s="11">
        <v>175.0</v>
      </c>
      <c r="O72" s="9">
        <v>750.0</v>
      </c>
      <c r="P72" s="9"/>
      <c r="Q72" s="9"/>
      <c r="R72" s="10"/>
      <c r="S72" s="10"/>
      <c r="T72" s="12"/>
      <c r="U72" s="10"/>
      <c r="V72" s="10"/>
      <c r="W72" s="10"/>
      <c r="X72" s="10"/>
      <c r="Y72" s="10"/>
    </row>
    <row r="73">
      <c r="A73" s="9" t="s">
        <v>440</v>
      </c>
      <c r="B73" s="9" t="s">
        <v>291</v>
      </c>
      <c r="C73" s="9">
        <v>1.0</v>
      </c>
      <c r="D73" s="9">
        <v>2016.0</v>
      </c>
      <c r="E73" s="9" t="s">
        <v>441</v>
      </c>
      <c r="F73" s="9" t="s">
        <v>389</v>
      </c>
      <c r="G73" s="9" t="s">
        <v>39</v>
      </c>
      <c r="H73" s="9" t="s">
        <v>311</v>
      </c>
      <c r="I73" s="9" t="s">
        <v>312</v>
      </c>
      <c r="J73" s="9" t="s">
        <v>318</v>
      </c>
      <c r="K73" s="9" t="s">
        <v>319</v>
      </c>
      <c r="L73" s="9" t="s">
        <v>442</v>
      </c>
      <c r="M73" s="10"/>
      <c r="N73" s="11">
        <v>65.0</v>
      </c>
      <c r="O73" s="9">
        <v>750.0</v>
      </c>
      <c r="P73" s="9"/>
      <c r="Q73" s="10"/>
      <c r="R73" s="9"/>
      <c r="S73" s="17"/>
      <c r="T73" s="12"/>
      <c r="U73" s="10"/>
      <c r="V73" s="10"/>
      <c r="W73" s="10"/>
      <c r="X73" s="10"/>
      <c r="Y73" s="10"/>
    </row>
    <row r="74" hidden="1">
      <c r="A74" s="9" t="s">
        <v>307</v>
      </c>
      <c r="B74" s="9" t="s">
        <v>291</v>
      </c>
      <c r="C74" s="9">
        <v>1.0</v>
      </c>
      <c r="D74" s="9">
        <v>2017.0</v>
      </c>
      <c r="E74" s="9" t="s">
        <v>316</v>
      </c>
      <c r="F74" s="9" t="s">
        <v>317</v>
      </c>
      <c r="G74" s="9" t="s">
        <v>39</v>
      </c>
      <c r="H74" s="9" t="s">
        <v>311</v>
      </c>
      <c r="I74" s="9" t="s">
        <v>347</v>
      </c>
      <c r="J74" s="9" t="s">
        <v>318</v>
      </c>
      <c r="K74" s="9" t="s">
        <v>319</v>
      </c>
      <c r="L74" s="9" t="s">
        <v>394</v>
      </c>
      <c r="M74" s="9" t="s">
        <v>443</v>
      </c>
      <c r="N74" s="11">
        <v>175.0</v>
      </c>
      <c r="O74" s="9">
        <v>750.0</v>
      </c>
      <c r="P74" s="9"/>
      <c r="Q74" s="9"/>
      <c r="R74" s="10"/>
      <c r="S74" s="10"/>
      <c r="T74" s="12"/>
      <c r="U74" s="10"/>
      <c r="V74" s="10"/>
      <c r="W74" s="10"/>
      <c r="X74" s="10"/>
      <c r="Y74" s="10"/>
    </row>
    <row r="75">
      <c r="A75" s="9" t="s">
        <v>402</v>
      </c>
      <c r="B75" s="9" t="s">
        <v>291</v>
      </c>
      <c r="C75" s="9">
        <v>2.0</v>
      </c>
      <c r="D75" s="9">
        <v>2014.0</v>
      </c>
      <c r="E75" s="9" t="s">
        <v>316</v>
      </c>
      <c r="F75" s="9" t="s">
        <v>444</v>
      </c>
      <c r="G75" s="9" t="s">
        <v>393</v>
      </c>
      <c r="H75" s="9" t="s">
        <v>311</v>
      </c>
      <c r="I75" s="9" t="s">
        <v>312</v>
      </c>
      <c r="J75" s="9" t="s">
        <v>318</v>
      </c>
      <c r="K75" s="9" t="s">
        <v>319</v>
      </c>
      <c r="L75" s="9" t="s">
        <v>394</v>
      </c>
      <c r="M75" s="9" t="s">
        <v>321</v>
      </c>
      <c r="N75" s="11">
        <v>100.0</v>
      </c>
      <c r="O75" s="9">
        <v>750.0</v>
      </c>
      <c r="P75" s="9"/>
      <c r="Q75" s="9"/>
      <c r="R75" s="10"/>
      <c r="S75" s="10"/>
      <c r="T75" s="12"/>
      <c r="U75" s="10"/>
      <c r="V75" s="10"/>
      <c r="W75" s="10"/>
      <c r="X75" s="10"/>
      <c r="Y75" s="10"/>
    </row>
    <row r="76">
      <c r="A76" s="9" t="s">
        <v>440</v>
      </c>
      <c r="B76" s="9" t="s">
        <v>291</v>
      </c>
      <c r="C76" s="9">
        <v>1.0</v>
      </c>
      <c r="D76" s="9">
        <v>2016.0</v>
      </c>
      <c r="E76" s="9" t="s">
        <v>445</v>
      </c>
      <c r="F76" s="9" t="s">
        <v>39</v>
      </c>
      <c r="G76" s="9" t="s">
        <v>39</v>
      </c>
      <c r="H76" s="9" t="s">
        <v>311</v>
      </c>
      <c r="I76" s="9" t="s">
        <v>312</v>
      </c>
      <c r="J76" s="9" t="s">
        <v>313</v>
      </c>
      <c r="K76" s="9" t="s">
        <v>405</v>
      </c>
      <c r="L76" s="10"/>
      <c r="M76" s="10"/>
      <c r="N76" s="11">
        <v>80.0</v>
      </c>
      <c r="O76" s="9">
        <v>750.0</v>
      </c>
      <c r="P76" s="9"/>
      <c r="Q76" s="9"/>
      <c r="R76" s="10"/>
      <c r="S76" s="17"/>
      <c r="T76" s="12"/>
      <c r="U76" s="10"/>
      <c r="V76" s="10"/>
      <c r="W76" s="10"/>
      <c r="X76" s="10"/>
      <c r="Y76" s="10"/>
    </row>
    <row r="77" hidden="1">
      <c r="A77" s="9" t="s">
        <v>332</v>
      </c>
      <c r="B77" s="9" t="s">
        <v>291</v>
      </c>
      <c r="C77" s="9">
        <v>1.0</v>
      </c>
      <c r="D77" s="9">
        <v>2019.0</v>
      </c>
      <c r="E77" s="9" t="s">
        <v>446</v>
      </c>
      <c r="F77" s="9" t="s">
        <v>80</v>
      </c>
      <c r="G77" s="9" t="s">
        <v>415</v>
      </c>
      <c r="H77" s="9" t="s">
        <v>311</v>
      </c>
      <c r="I77" s="9" t="s">
        <v>347</v>
      </c>
      <c r="J77" s="9" t="s">
        <v>348</v>
      </c>
      <c r="K77" s="9" t="s">
        <v>447</v>
      </c>
      <c r="L77" s="9" t="s">
        <v>448</v>
      </c>
      <c r="M77" s="10"/>
      <c r="N77" s="11">
        <v>44.0</v>
      </c>
      <c r="O77" s="9">
        <v>750.0</v>
      </c>
      <c r="P77" s="9"/>
      <c r="Q77" s="9"/>
      <c r="R77" s="9"/>
      <c r="S77" s="10"/>
      <c r="T77" s="12"/>
      <c r="U77" s="10"/>
      <c r="V77" s="10"/>
      <c r="W77" s="10"/>
      <c r="X77" s="10"/>
      <c r="Y77" s="10"/>
    </row>
    <row r="78" hidden="1">
      <c r="A78" s="9" t="s">
        <v>332</v>
      </c>
      <c r="B78" s="9" t="s">
        <v>291</v>
      </c>
      <c r="C78" s="9">
        <v>1.0</v>
      </c>
      <c r="D78" s="9">
        <v>2018.0</v>
      </c>
      <c r="E78" s="9" t="s">
        <v>164</v>
      </c>
      <c r="F78" s="9" t="s">
        <v>449</v>
      </c>
      <c r="G78" s="9" t="s">
        <v>109</v>
      </c>
      <c r="H78" s="9" t="s">
        <v>340</v>
      </c>
      <c r="I78" s="9" t="s">
        <v>312</v>
      </c>
      <c r="J78" s="13" t="s">
        <v>334</v>
      </c>
      <c r="K78" s="9" t="s">
        <v>341</v>
      </c>
      <c r="L78" s="9" t="s">
        <v>342</v>
      </c>
      <c r="M78" s="9" t="s">
        <v>344</v>
      </c>
      <c r="N78" s="11">
        <v>30.0</v>
      </c>
      <c r="O78" s="9">
        <v>750.0</v>
      </c>
      <c r="P78" s="9"/>
      <c r="Q78" s="9"/>
      <c r="R78" s="10"/>
      <c r="S78" s="10"/>
      <c r="T78" s="12"/>
      <c r="U78" s="10"/>
      <c r="V78" s="10"/>
      <c r="W78" s="10"/>
      <c r="X78" s="10"/>
      <c r="Y78" s="10"/>
    </row>
    <row r="79" hidden="1">
      <c r="A79" s="9" t="s">
        <v>307</v>
      </c>
      <c r="B79" s="9" t="s">
        <v>291</v>
      </c>
      <c r="C79" s="9">
        <v>1.0</v>
      </c>
      <c r="D79" s="9">
        <v>2017.0</v>
      </c>
      <c r="E79" s="9" t="s">
        <v>368</v>
      </c>
      <c r="F79" s="9" t="s">
        <v>450</v>
      </c>
      <c r="G79" s="9" t="s">
        <v>109</v>
      </c>
      <c r="H79" s="9" t="s">
        <v>311</v>
      </c>
      <c r="I79" s="9" t="s">
        <v>347</v>
      </c>
      <c r="J79" s="9" t="s">
        <v>318</v>
      </c>
      <c r="K79" s="9" t="s">
        <v>358</v>
      </c>
      <c r="L79" s="9" t="s">
        <v>386</v>
      </c>
      <c r="M79" s="10"/>
      <c r="N79" s="11">
        <v>75.0</v>
      </c>
      <c r="O79" s="9">
        <v>750.0</v>
      </c>
      <c r="P79" s="9"/>
      <c r="Q79" s="9"/>
      <c r="R79" s="9"/>
      <c r="S79" s="10"/>
      <c r="T79" s="12"/>
      <c r="U79" s="10"/>
      <c r="V79" s="10"/>
      <c r="W79" s="10"/>
      <c r="X79" s="10"/>
      <c r="Y79" s="10"/>
    </row>
    <row r="80" hidden="1">
      <c r="A80" s="9" t="s">
        <v>332</v>
      </c>
      <c r="B80" s="9" t="s">
        <v>291</v>
      </c>
      <c r="C80" s="9">
        <v>1.0</v>
      </c>
      <c r="D80" s="9">
        <v>2020.0</v>
      </c>
      <c r="E80" s="9" t="s">
        <v>446</v>
      </c>
      <c r="F80" s="9" t="s">
        <v>451</v>
      </c>
      <c r="G80" s="9" t="s">
        <v>184</v>
      </c>
      <c r="H80" s="9" t="s">
        <v>311</v>
      </c>
      <c r="I80" s="9" t="s">
        <v>347</v>
      </c>
      <c r="J80" s="9" t="s">
        <v>348</v>
      </c>
      <c r="K80" s="9" t="s">
        <v>447</v>
      </c>
      <c r="L80" s="9" t="s">
        <v>448</v>
      </c>
      <c r="M80" s="9" t="s">
        <v>452</v>
      </c>
      <c r="N80" s="11">
        <v>52.0</v>
      </c>
      <c r="O80" s="9">
        <v>750.0</v>
      </c>
      <c r="P80" s="9"/>
      <c r="Q80" s="10"/>
      <c r="R80" s="10"/>
      <c r="S80" s="10"/>
      <c r="T80" s="12"/>
      <c r="U80" s="10"/>
      <c r="V80" s="10"/>
      <c r="W80" s="10"/>
      <c r="X80" s="10"/>
      <c r="Y80" s="10"/>
    </row>
    <row r="81" hidden="1">
      <c r="A81" s="9" t="s">
        <v>332</v>
      </c>
      <c r="B81" s="9" t="s">
        <v>291</v>
      </c>
      <c r="C81" s="9">
        <v>1.0</v>
      </c>
      <c r="D81" s="9">
        <v>2020.0</v>
      </c>
      <c r="E81" s="9" t="s">
        <v>446</v>
      </c>
      <c r="F81" s="9" t="s">
        <v>184</v>
      </c>
      <c r="G81" s="9" t="s">
        <v>184</v>
      </c>
      <c r="H81" s="9" t="s">
        <v>311</v>
      </c>
      <c r="I81" s="9" t="s">
        <v>347</v>
      </c>
      <c r="J81" s="9" t="s">
        <v>348</v>
      </c>
      <c r="K81" s="9" t="s">
        <v>447</v>
      </c>
      <c r="L81" s="9" t="s">
        <v>448</v>
      </c>
      <c r="M81" s="9" t="s">
        <v>453</v>
      </c>
      <c r="N81" s="11">
        <v>44.0</v>
      </c>
      <c r="O81" s="9">
        <v>750.0</v>
      </c>
      <c r="P81" s="9"/>
      <c r="Q81" s="9"/>
      <c r="R81" s="10"/>
      <c r="S81" s="10"/>
      <c r="T81" s="12"/>
      <c r="U81" s="10"/>
      <c r="V81" s="10"/>
      <c r="W81" s="10"/>
      <c r="X81" s="10"/>
      <c r="Y81" s="10"/>
    </row>
    <row r="82" hidden="1">
      <c r="A82" s="9" t="s">
        <v>332</v>
      </c>
      <c r="B82" s="9" t="s">
        <v>291</v>
      </c>
      <c r="C82" s="9">
        <v>1.0</v>
      </c>
      <c r="D82" s="9">
        <v>2019.0</v>
      </c>
      <c r="E82" s="9" t="s">
        <v>446</v>
      </c>
      <c r="F82" s="9" t="s">
        <v>184</v>
      </c>
      <c r="G82" s="9" t="s">
        <v>184</v>
      </c>
      <c r="H82" s="9" t="s">
        <v>311</v>
      </c>
      <c r="I82" s="9" t="s">
        <v>347</v>
      </c>
      <c r="J82" s="9" t="s">
        <v>348</v>
      </c>
      <c r="K82" s="9" t="s">
        <v>447</v>
      </c>
      <c r="L82" s="9" t="s">
        <v>448</v>
      </c>
      <c r="M82" s="9" t="s">
        <v>453</v>
      </c>
      <c r="N82" s="11">
        <v>44.0</v>
      </c>
      <c r="O82" s="9">
        <v>750.0</v>
      </c>
      <c r="P82" s="9"/>
      <c r="Q82" s="9"/>
      <c r="R82" s="10"/>
      <c r="S82" s="10"/>
      <c r="T82" s="12"/>
      <c r="U82" s="10"/>
      <c r="V82" s="10"/>
      <c r="W82" s="10"/>
      <c r="X82" s="10"/>
      <c r="Y82" s="10"/>
    </row>
    <row r="83" hidden="1">
      <c r="A83" s="9" t="s">
        <v>332</v>
      </c>
      <c r="B83" s="9" t="s">
        <v>291</v>
      </c>
      <c r="C83" s="9">
        <v>1.0</v>
      </c>
      <c r="D83" s="9">
        <v>2018.0</v>
      </c>
      <c r="E83" s="9" t="s">
        <v>446</v>
      </c>
      <c r="F83" s="9" t="s">
        <v>454</v>
      </c>
      <c r="G83" s="9" t="s">
        <v>146</v>
      </c>
      <c r="H83" s="9" t="s">
        <v>311</v>
      </c>
      <c r="I83" s="9" t="s">
        <v>312</v>
      </c>
      <c r="J83" s="13" t="s">
        <v>334</v>
      </c>
      <c r="K83" s="9" t="s">
        <v>341</v>
      </c>
      <c r="L83" s="10"/>
      <c r="M83" s="10"/>
      <c r="N83" s="11">
        <v>42.0</v>
      </c>
      <c r="O83" s="9">
        <v>750.0</v>
      </c>
      <c r="P83" s="9"/>
      <c r="Q83" s="9"/>
      <c r="R83" s="10"/>
      <c r="S83" s="10"/>
      <c r="T83" s="12"/>
      <c r="U83" s="10"/>
      <c r="V83" s="10"/>
      <c r="W83" s="10"/>
      <c r="X83" s="10"/>
      <c r="Y83" s="10"/>
    </row>
    <row r="84">
      <c r="A84" s="9" t="s">
        <v>440</v>
      </c>
      <c r="B84" s="9" t="s">
        <v>291</v>
      </c>
      <c r="C84" s="9">
        <v>1.0</v>
      </c>
      <c r="D84" s="9">
        <v>2016.0</v>
      </c>
      <c r="E84" s="9" t="s">
        <v>455</v>
      </c>
      <c r="F84" s="9" t="s">
        <v>389</v>
      </c>
      <c r="G84" s="9" t="s">
        <v>39</v>
      </c>
      <c r="H84" s="9" t="s">
        <v>311</v>
      </c>
      <c r="I84" s="9" t="s">
        <v>312</v>
      </c>
      <c r="J84" s="9" t="s">
        <v>318</v>
      </c>
      <c r="K84" s="9" t="s">
        <v>319</v>
      </c>
      <c r="L84" s="10"/>
      <c r="M84" s="10"/>
      <c r="N84" s="11">
        <v>65.0</v>
      </c>
      <c r="O84" s="9">
        <v>750.0</v>
      </c>
      <c r="P84" s="9"/>
      <c r="Q84" s="10"/>
      <c r="R84" s="10"/>
      <c r="S84" s="17"/>
      <c r="T84" s="12"/>
      <c r="U84" s="10"/>
      <c r="V84" s="10"/>
      <c r="W84" s="10"/>
      <c r="X84" s="10"/>
      <c r="Y84" s="10"/>
    </row>
    <row r="85">
      <c r="A85" s="9" t="s">
        <v>440</v>
      </c>
      <c r="B85" s="9" t="s">
        <v>291</v>
      </c>
      <c r="C85" s="9">
        <v>1.0</v>
      </c>
      <c r="D85" s="9">
        <v>2016.0</v>
      </c>
      <c r="E85" s="9" t="s">
        <v>456</v>
      </c>
      <c r="F85" s="9" t="s">
        <v>457</v>
      </c>
      <c r="G85" s="9" t="s">
        <v>393</v>
      </c>
      <c r="H85" s="9" t="s">
        <v>311</v>
      </c>
      <c r="I85" s="9" t="s">
        <v>312</v>
      </c>
      <c r="J85" s="9" t="s">
        <v>318</v>
      </c>
      <c r="K85" s="9" t="s">
        <v>319</v>
      </c>
      <c r="L85" s="10"/>
      <c r="M85" s="10"/>
      <c r="N85" s="11">
        <v>60.0</v>
      </c>
      <c r="O85" s="9">
        <v>750.0</v>
      </c>
      <c r="P85" s="9"/>
      <c r="Q85" s="9"/>
      <c r="R85" s="10"/>
      <c r="S85" s="17"/>
      <c r="T85" s="12"/>
      <c r="U85" s="10"/>
      <c r="V85" s="10"/>
      <c r="W85" s="10"/>
      <c r="X85" s="10"/>
      <c r="Y85" s="10"/>
    </row>
    <row r="86" hidden="1">
      <c r="A86" s="9" t="s">
        <v>332</v>
      </c>
      <c r="B86" s="9" t="s">
        <v>291</v>
      </c>
      <c r="C86" s="9">
        <v>1.0</v>
      </c>
      <c r="D86" s="9">
        <v>2017.0</v>
      </c>
      <c r="E86" s="9" t="s">
        <v>458</v>
      </c>
      <c r="F86" s="9" t="s">
        <v>118</v>
      </c>
      <c r="G86" s="9" t="s">
        <v>146</v>
      </c>
      <c r="H86" s="9" t="s">
        <v>340</v>
      </c>
      <c r="I86" s="9" t="s">
        <v>426</v>
      </c>
      <c r="J86" s="9" t="s">
        <v>459</v>
      </c>
      <c r="K86" s="9" t="s">
        <v>460</v>
      </c>
      <c r="L86" s="10"/>
      <c r="M86" s="9" t="s">
        <v>461</v>
      </c>
      <c r="N86" s="11">
        <v>36.0</v>
      </c>
      <c r="O86" s="9">
        <v>750.0</v>
      </c>
      <c r="P86" s="9"/>
      <c r="Q86" s="9"/>
      <c r="R86" s="9"/>
      <c r="S86" s="10"/>
      <c r="T86" s="12"/>
      <c r="U86" s="10"/>
      <c r="V86" s="10"/>
      <c r="W86" s="10"/>
      <c r="X86" s="10"/>
      <c r="Y86" s="10"/>
    </row>
    <row r="87" hidden="1">
      <c r="A87" s="9" t="s">
        <v>302</v>
      </c>
      <c r="B87" s="9" t="s">
        <v>291</v>
      </c>
      <c r="C87" s="9">
        <v>1.0</v>
      </c>
      <c r="D87" s="9">
        <v>2018.0</v>
      </c>
      <c r="E87" s="9" t="s">
        <v>462</v>
      </c>
      <c r="F87" s="9" t="s">
        <v>463</v>
      </c>
      <c r="G87" s="9" t="s">
        <v>415</v>
      </c>
      <c r="H87" s="9" t="s">
        <v>330</v>
      </c>
      <c r="I87" s="10"/>
      <c r="J87" s="9" t="s">
        <v>331</v>
      </c>
      <c r="K87" s="9" t="s">
        <v>463</v>
      </c>
      <c r="L87" s="10"/>
      <c r="M87" s="10"/>
      <c r="N87" s="11">
        <v>18.0</v>
      </c>
      <c r="O87" s="9">
        <v>750.0</v>
      </c>
      <c r="P87" s="9"/>
      <c r="Q87" s="9"/>
      <c r="R87" s="10"/>
      <c r="S87" s="10"/>
      <c r="T87" s="12"/>
      <c r="U87" s="10"/>
      <c r="V87" s="10"/>
      <c r="W87" s="10"/>
      <c r="X87" s="10"/>
      <c r="Y87" s="10"/>
    </row>
    <row r="88" hidden="1">
      <c r="A88" s="9" t="s">
        <v>332</v>
      </c>
      <c r="B88" s="9" t="s">
        <v>291</v>
      </c>
      <c r="C88" s="9">
        <v>1.0</v>
      </c>
      <c r="D88" s="9">
        <v>2017.0</v>
      </c>
      <c r="E88" s="9" t="s">
        <v>464</v>
      </c>
      <c r="F88" s="9" t="s">
        <v>465</v>
      </c>
      <c r="G88" s="9" t="s">
        <v>415</v>
      </c>
      <c r="H88" s="9" t="s">
        <v>311</v>
      </c>
      <c r="I88" s="9" t="s">
        <v>312</v>
      </c>
      <c r="J88" s="13" t="s">
        <v>334</v>
      </c>
      <c r="K88" s="9" t="s">
        <v>341</v>
      </c>
      <c r="L88" s="9" t="s">
        <v>466</v>
      </c>
      <c r="M88" s="10"/>
      <c r="N88" s="11">
        <v>75.0</v>
      </c>
      <c r="O88" s="9">
        <v>750.0</v>
      </c>
      <c r="P88" s="9"/>
      <c r="Q88" s="9"/>
      <c r="R88" s="9"/>
      <c r="S88" s="10"/>
      <c r="T88" s="12"/>
      <c r="U88" s="10"/>
      <c r="V88" s="10"/>
      <c r="W88" s="10"/>
      <c r="X88" s="10"/>
      <c r="Y88" s="10"/>
    </row>
    <row r="89" hidden="1">
      <c r="A89" s="9" t="s">
        <v>332</v>
      </c>
      <c r="B89" s="9" t="s">
        <v>291</v>
      </c>
      <c r="C89" s="9">
        <v>1.0</v>
      </c>
      <c r="D89" s="9">
        <v>2017.0</v>
      </c>
      <c r="E89" s="9" t="s">
        <v>464</v>
      </c>
      <c r="F89" s="9" t="s">
        <v>467</v>
      </c>
      <c r="G89" s="9" t="s">
        <v>415</v>
      </c>
      <c r="H89" s="9" t="s">
        <v>311</v>
      </c>
      <c r="I89" s="9" t="s">
        <v>312</v>
      </c>
      <c r="J89" s="13" t="s">
        <v>334</v>
      </c>
      <c r="K89" s="9" t="s">
        <v>341</v>
      </c>
      <c r="L89" s="9" t="s">
        <v>466</v>
      </c>
      <c r="M89" s="10"/>
      <c r="N89" s="11">
        <v>55.0</v>
      </c>
      <c r="O89" s="9">
        <v>750.0</v>
      </c>
      <c r="P89" s="9"/>
      <c r="Q89" s="9"/>
      <c r="R89" s="9"/>
      <c r="S89" s="10"/>
      <c r="T89" s="12"/>
      <c r="U89" s="10"/>
      <c r="V89" s="10"/>
      <c r="W89" s="10"/>
      <c r="X89" s="10"/>
      <c r="Y89" s="10"/>
    </row>
    <row r="90" hidden="1">
      <c r="A90" s="9" t="s">
        <v>307</v>
      </c>
      <c r="B90" s="9" t="s">
        <v>291</v>
      </c>
      <c r="C90" s="9">
        <v>1.0</v>
      </c>
      <c r="D90" s="9">
        <v>2020.0</v>
      </c>
      <c r="E90" s="9" t="s">
        <v>468</v>
      </c>
      <c r="F90" s="9" t="s">
        <v>35</v>
      </c>
      <c r="G90" s="9" t="s">
        <v>35</v>
      </c>
      <c r="H90" s="9" t="s">
        <v>311</v>
      </c>
      <c r="I90" s="9" t="s">
        <v>312</v>
      </c>
      <c r="J90" s="9" t="s">
        <v>313</v>
      </c>
      <c r="K90" s="9" t="s">
        <v>405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hidden="1">
      <c r="A91" s="9" t="s">
        <v>469</v>
      </c>
      <c r="B91" s="9" t="s">
        <v>291</v>
      </c>
      <c r="C91" s="9">
        <v>1.0</v>
      </c>
      <c r="D91" s="9">
        <v>2018.0</v>
      </c>
      <c r="E91" s="9" t="s">
        <v>352</v>
      </c>
      <c r="F91" s="9" t="s">
        <v>470</v>
      </c>
      <c r="G91" s="9" t="s">
        <v>377</v>
      </c>
      <c r="H91" s="9" t="s">
        <v>311</v>
      </c>
      <c r="I91" s="9" t="s">
        <v>347</v>
      </c>
      <c r="J91" s="9" t="s">
        <v>348</v>
      </c>
      <c r="K91" s="9" t="s">
        <v>335</v>
      </c>
      <c r="L91" s="9" t="s">
        <v>417</v>
      </c>
      <c r="M91" s="9" t="s">
        <v>471</v>
      </c>
      <c r="N91" s="11">
        <v>75.0</v>
      </c>
      <c r="O91" s="9">
        <v>750.0</v>
      </c>
      <c r="P91" s="10"/>
      <c r="Q91" s="10"/>
      <c r="R91" s="10"/>
      <c r="S91" s="10"/>
      <c r="T91" s="12"/>
      <c r="U91" s="10"/>
      <c r="V91" s="10"/>
      <c r="W91" s="10"/>
      <c r="X91" s="10"/>
      <c r="Y91" s="10"/>
    </row>
    <row r="92" hidden="1">
      <c r="A92" s="9" t="s">
        <v>332</v>
      </c>
      <c r="B92" s="9" t="s">
        <v>291</v>
      </c>
      <c r="C92" s="9">
        <v>1.0</v>
      </c>
      <c r="D92" s="9">
        <v>2018.0</v>
      </c>
      <c r="E92" s="9" t="s">
        <v>352</v>
      </c>
      <c r="F92" s="9" t="s">
        <v>472</v>
      </c>
      <c r="G92" s="9" t="s">
        <v>200</v>
      </c>
      <c r="H92" s="9" t="s">
        <v>311</v>
      </c>
      <c r="I92" s="9" t="s">
        <v>347</v>
      </c>
      <c r="J92" s="9" t="s">
        <v>348</v>
      </c>
      <c r="K92" s="9"/>
      <c r="L92" s="10"/>
      <c r="M92" s="10"/>
      <c r="N92" s="16"/>
      <c r="O92" s="10"/>
      <c r="P92" s="10"/>
      <c r="Q92" s="10"/>
      <c r="R92" s="10"/>
      <c r="S92" s="10"/>
      <c r="T92" s="12"/>
      <c r="U92" s="10"/>
      <c r="V92" s="10"/>
      <c r="W92" s="10"/>
      <c r="X92" s="10"/>
      <c r="Y92" s="10"/>
    </row>
    <row r="93" hidden="1">
      <c r="A93" s="9" t="s">
        <v>332</v>
      </c>
      <c r="B93" s="9" t="s">
        <v>291</v>
      </c>
      <c r="C93" s="9">
        <v>1.0</v>
      </c>
      <c r="D93" s="9">
        <v>2018.0</v>
      </c>
      <c r="E93" s="9" t="s">
        <v>352</v>
      </c>
      <c r="F93" s="9" t="s">
        <v>259</v>
      </c>
      <c r="G93" s="9" t="s">
        <v>393</v>
      </c>
      <c r="H93" s="9" t="s">
        <v>340</v>
      </c>
      <c r="I93" s="9" t="s">
        <v>312</v>
      </c>
      <c r="J93" s="13" t="s">
        <v>334</v>
      </c>
      <c r="K93" s="9" t="s">
        <v>355</v>
      </c>
      <c r="L93" s="9" t="s">
        <v>473</v>
      </c>
      <c r="M93" s="9" t="s">
        <v>474</v>
      </c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hidden="1">
      <c r="A94" s="9" t="s">
        <v>332</v>
      </c>
      <c r="B94" s="9" t="s">
        <v>291</v>
      </c>
      <c r="C94" s="9">
        <v>4.0</v>
      </c>
      <c r="D94" s="9">
        <v>2018.0</v>
      </c>
      <c r="E94" s="9" t="s">
        <v>352</v>
      </c>
      <c r="F94" s="9" t="s">
        <v>57</v>
      </c>
      <c r="G94" s="9" t="s">
        <v>475</v>
      </c>
      <c r="H94" s="9" t="s">
        <v>311</v>
      </c>
      <c r="I94" s="9" t="s">
        <v>347</v>
      </c>
      <c r="J94" s="9" t="s">
        <v>348</v>
      </c>
      <c r="K94" s="9" t="s">
        <v>473</v>
      </c>
      <c r="L94" s="10"/>
      <c r="M94" s="10"/>
      <c r="N94" s="16"/>
      <c r="O94" s="10"/>
      <c r="P94" s="10"/>
      <c r="Q94" s="10"/>
      <c r="R94" s="10"/>
      <c r="S94" s="10"/>
      <c r="T94" s="12"/>
      <c r="U94" s="10"/>
      <c r="V94" s="10"/>
      <c r="W94" s="10"/>
      <c r="X94" s="10"/>
      <c r="Y94" s="10"/>
    </row>
    <row r="95" hidden="1">
      <c r="A95" s="9" t="s">
        <v>332</v>
      </c>
      <c r="B95" s="9" t="s">
        <v>291</v>
      </c>
      <c r="C95" s="9">
        <v>1.0</v>
      </c>
      <c r="D95" s="9">
        <v>2016.0</v>
      </c>
      <c r="E95" s="9" t="s">
        <v>352</v>
      </c>
      <c r="F95" s="9" t="s">
        <v>58</v>
      </c>
      <c r="G95" s="9" t="s">
        <v>377</v>
      </c>
      <c r="H95" s="9" t="s">
        <v>311</v>
      </c>
      <c r="I95" s="9" t="s">
        <v>347</v>
      </c>
      <c r="J95" s="9" t="s">
        <v>348</v>
      </c>
      <c r="K95" s="9" t="s">
        <v>335</v>
      </c>
      <c r="L95" s="10"/>
      <c r="M95" s="10"/>
      <c r="N95" s="16"/>
      <c r="O95" s="10"/>
      <c r="P95" s="10"/>
      <c r="Q95" s="10"/>
      <c r="R95" s="10"/>
      <c r="S95" s="10"/>
      <c r="T95" s="12"/>
      <c r="U95" s="10"/>
      <c r="V95" s="10"/>
      <c r="W95" s="10"/>
      <c r="X95" s="10"/>
      <c r="Y95" s="10"/>
    </row>
    <row r="96" hidden="1">
      <c r="A96" s="9" t="s">
        <v>332</v>
      </c>
      <c r="B96" s="9" t="s">
        <v>291</v>
      </c>
      <c r="C96" s="9">
        <v>1.0</v>
      </c>
      <c r="D96" s="9">
        <v>2016.0</v>
      </c>
      <c r="E96" s="9" t="s">
        <v>352</v>
      </c>
      <c r="F96" s="9" t="s">
        <v>229</v>
      </c>
      <c r="G96" s="9" t="s">
        <v>146</v>
      </c>
      <c r="H96" s="9" t="s">
        <v>340</v>
      </c>
      <c r="I96" s="9" t="s">
        <v>312</v>
      </c>
      <c r="J96" s="13" t="s">
        <v>334</v>
      </c>
      <c r="K96" s="9" t="s">
        <v>355</v>
      </c>
      <c r="L96" s="9" t="s">
        <v>473</v>
      </c>
      <c r="M96" s="9" t="s">
        <v>474</v>
      </c>
      <c r="N96" s="11">
        <v>109.0</v>
      </c>
      <c r="O96" s="9">
        <v>1500.0</v>
      </c>
      <c r="P96" s="9"/>
      <c r="Q96" s="9"/>
      <c r="R96" s="10"/>
      <c r="S96" s="10"/>
      <c r="T96" s="12"/>
      <c r="U96" s="10"/>
      <c r="V96" s="10"/>
      <c r="W96" s="10"/>
      <c r="X96" s="10"/>
      <c r="Y96" s="10"/>
    </row>
    <row r="97" hidden="1">
      <c r="A97" s="9" t="s">
        <v>332</v>
      </c>
      <c r="B97" s="9" t="s">
        <v>291</v>
      </c>
      <c r="C97" s="9">
        <v>1.0</v>
      </c>
      <c r="D97" s="9">
        <v>2018.0</v>
      </c>
      <c r="E97" s="13" t="s">
        <v>352</v>
      </c>
      <c r="F97" s="13" t="s">
        <v>476</v>
      </c>
      <c r="G97" s="9" t="s">
        <v>146</v>
      </c>
      <c r="H97" s="13" t="s">
        <v>311</v>
      </c>
      <c r="I97" s="13" t="s">
        <v>312</v>
      </c>
      <c r="J97" s="13" t="s">
        <v>334</v>
      </c>
      <c r="K97" s="13" t="s">
        <v>335</v>
      </c>
      <c r="L97" s="13" t="s">
        <v>338</v>
      </c>
      <c r="M97" s="13"/>
      <c r="N97" s="16">
        <v>36.0</v>
      </c>
      <c r="O97" s="9">
        <v>750.0</v>
      </c>
      <c r="P97" s="9"/>
      <c r="Q97" s="9"/>
      <c r="R97" s="10"/>
      <c r="S97" s="10"/>
      <c r="T97" s="12"/>
      <c r="U97" s="10"/>
      <c r="V97" s="10"/>
      <c r="W97" s="10"/>
      <c r="X97" s="10"/>
      <c r="Y97" s="10"/>
    </row>
    <row r="98" hidden="1">
      <c r="A98" s="9" t="s">
        <v>350</v>
      </c>
      <c r="B98" s="9" t="s">
        <v>291</v>
      </c>
      <c r="C98" s="9">
        <v>1.0</v>
      </c>
      <c r="D98" s="9">
        <v>2021.0</v>
      </c>
      <c r="E98" s="9" t="s">
        <v>477</v>
      </c>
      <c r="F98" s="9" t="s">
        <v>211</v>
      </c>
      <c r="G98" s="9" t="s">
        <v>211</v>
      </c>
      <c r="H98" s="9" t="s">
        <v>311</v>
      </c>
      <c r="I98" s="9" t="s">
        <v>347</v>
      </c>
      <c r="J98" s="9" t="s">
        <v>318</v>
      </c>
      <c r="K98" s="9" t="s">
        <v>358</v>
      </c>
      <c r="L98" s="9" t="s">
        <v>478</v>
      </c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hidden="1">
      <c r="A99" s="9" t="s">
        <v>302</v>
      </c>
      <c r="B99" s="9" t="s">
        <v>291</v>
      </c>
      <c r="C99" s="9">
        <v>1.0</v>
      </c>
      <c r="D99" s="9">
        <v>2020.0</v>
      </c>
      <c r="E99" s="9" t="s">
        <v>479</v>
      </c>
      <c r="F99" s="9" t="s">
        <v>480</v>
      </c>
      <c r="G99" s="9" t="s">
        <v>415</v>
      </c>
      <c r="H99" s="9" t="s">
        <v>330</v>
      </c>
      <c r="I99" s="10"/>
      <c r="J99" s="9" t="s">
        <v>481</v>
      </c>
      <c r="K99" s="9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hidden="1">
      <c r="A100" s="9" t="s">
        <v>302</v>
      </c>
      <c r="B100" s="9" t="s">
        <v>291</v>
      </c>
      <c r="C100" s="9">
        <v>1.0</v>
      </c>
      <c r="D100" s="9">
        <v>2020.0</v>
      </c>
      <c r="E100" s="9" t="s">
        <v>482</v>
      </c>
      <c r="F100" s="18" t="s">
        <v>483</v>
      </c>
      <c r="G100" s="9" t="s">
        <v>415</v>
      </c>
      <c r="H100" s="9" t="s">
        <v>330</v>
      </c>
      <c r="I100" s="10"/>
      <c r="J100" s="9" t="s">
        <v>331</v>
      </c>
      <c r="K100" s="9" t="s">
        <v>463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hidden="1">
      <c r="A101" s="9" t="s">
        <v>302</v>
      </c>
      <c r="B101" s="9" t="s">
        <v>291</v>
      </c>
      <c r="C101" s="9">
        <v>1.0</v>
      </c>
      <c r="D101" s="9">
        <v>2017.0</v>
      </c>
      <c r="E101" s="9" t="s">
        <v>484</v>
      </c>
      <c r="F101" s="9" t="s">
        <v>485</v>
      </c>
      <c r="G101" s="9" t="s">
        <v>415</v>
      </c>
      <c r="H101" s="9" t="s">
        <v>330</v>
      </c>
      <c r="I101" s="10"/>
      <c r="J101" s="9" t="s">
        <v>486</v>
      </c>
      <c r="K101" s="9" t="s">
        <v>485</v>
      </c>
      <c r="L101" s="10"/>
      <c r="M101" s="10"/>
      <c r="N101" s="11">
        <v>13.0</v>
      </c>
      <c r="O101" s="9">
        <v>750.0</v>
      </c>
      <c r="P101" s="9"/>
      <c r="Q101" s="9"/>
      <c r="R101" s="10"/>
      <c r="S101" s="14"/>
      <c r="T101" s="15">
        <f>SUMIF('Master Old'!O:O,"=3000", 'Master Old'!C:C)</f>
        <v>5</v>
      </c>
      <c r="U101" s="10"/>
      <c r="V101" s="10"/>
      <c r="W101" s="10"/>
      <c r="X101" s="10"/>
      <c r="Y101" s="10"/>
    </row>
    <row r="102" hidden="1">
      <c r="A102" s="9" t="s">
        <v>302</v>
      </c>
      <c r="B102" s="9" t="s">
        <v>291</v>
      </c>
      <c r="C102" s="9">
        <v>1.0</v>
      </c>
      <c r="D102" s="9">
        <v>2020.0</v>
      </c>
      <c r="E102" s="19" t="s">
        <v>487</v>
      </c>
      <c r="F102" s="9" t="s">
        <v>488</v>
      </c>
      <c r="G102" s="9" t="s">
        <v>415</v>
      </c>
      <c r="H102" s="9" t="s">
        <v>295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idden="1">
      <c r="A103" s="9" t="s">
        <v>302</v>
      </c>
      <c r="B103" s="9" t="s">
        <v>291</v>
      </c>
      <c r="C103" s="9">
        <v>1.0</v>
      </c>
      <c r="D103" s="9">
        <v>2019.0</v>
      </c>
      <c r="E103" s="9" t="s">
        <v>489</v>
      </c>
      <c r="F103" s="9" t="s">
        <v>158</v>
      </c>
      <c r="G103" s="9" t="s">
        <v>146</v>
      </c>
      <c r="H103" s="9" t="s">
        <v>490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hidden="1">
      <c r="A104" s="9" t="s">
        <v>302</v>
      </c>
      <c r="B104" s="9" t="s">
        <v>291</v>
      </c>
      <c r="C104" s="9">
        <v>1.0</v>
      </c>
      <c r="D104" s="9">
        <v>2021.0</v>
      </c>
      <c r="E104" s="9" t="s">
        <v>123</v>
      </c>
      <c r="F104" s="9" t="s">
        <v>124</v>
      </c>
      <c r="G104" s="9" t="s">
        <v>146</v>
      </c>
      <c r="H104" s="9" t="s">
        <v>490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hidden="1">
      <c r="A105" s="9" t="s">
        <v>302</v>
      </c>
      <c r="B105" s="9" t="s">
        <v>291</v>
      </c>
      <c r="C105" s="9">
        <v>1.0</v>
      </c>
      <c r="D105" s="9">
        <v>2020.0</v>
      </c>
      <c r="E105" s="9" t="s">
        <v>491</v>
      </c>
      <c r="F105" s="9" t="s">
        <v>492</v>
      </c>
      <c r="G105" s="10"/>
      <c r="H105" s="9" t="s">
        <v>493</v>
      </c>
      <c r="I105" s="10"/>
      <c r="J105" s="10"/>
      <c r="K105" s="10"/>
      <c r="L105" s="10"/>
      <c r="M105" s="10"/>
      <c r="N105" s="16"/>
      <c r="O105" s="10"/>
      <c r="P105" s="10"/>
      <c r="Q105" s="10"/>
      <c r="R105" s="10"/>
      <c r="S105" s="10"/>
      <c r="T105" s="12"/>
      <c r="U105" s="10"/>
      <c r="V105" s="10"/>
      <c r="W105" s="10"/>
      <c r="X105" s="10"/>
      <c r="Y105" s="10"/>
    </row>
    <row r="106" hidden="1">
      <c r="A106" s="9" t="s">
        <v>302</v>
      </c>
      <c r="B106" s="9" t="s">
        <v>291</v>
      </c>
      <c r="C106" s="9">
        <v>1.0</v>
      </c>
      <c r="D106" s="9">
        <v>2020.0</v>
      </c>
      <c r="E106" s="9" t="s">
        <v>494</v>
      </c>
      <c r="F106" s="9" t="s">
        <v>495</v>
      </c>
      <c r="G106" s="9" t="s">
        <v>146</v>
      </c>
      <c r="H106" s="9" t="s">
        <v>299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hidden="1">
      <c r="A107" s="9" t="s">
        <v>302</v>
      </c>
      <c r="B107" s="9" t="s">
        <v>291</v>
      </c>
      <c r="C107" s="9">
        <v>1.0</v>
      </c>
      <c r="D107" s="9">
        <v>2020.0</v>
      </c>
      <c r="E107" s="9" t="s">
        <v>496</v>
      </c>
      <c r="F107" s="9" t="s">
        <v>35</v>
      </c>
      <c r="G107" s="9" t="s">
        <v>35</v>
      </c>
      <c r="H107" s="9" t="s">
        <v>497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hidden="1">
      <c r="A108" s="9" t="s">
        <v>302</v>
      </c>
      <c r="B108" s="9" t="s">
        <v>291</v>
      </c>
      <c r="C108" s="9">
        <v>1.0</v>
      </c>
      <c r="D108" s="9">
        <v>2020.0</v>
      </c>
      <c r="E108" s="9" t="s">
        <v>125</v>
      </c>
      <c r="F108" s="9" t="s">
        <v>498</v>
      </c>
      <c r="G108" s="9" t="s">
        <v>498</v>
      </c>
      <c r="H108" s="9" t="s">
        <v>499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idden="1">
      <c r="A109" s="9" t="s">
        <v>302</v>
      </c>
      <c r="B109" s="9" t="s">
        <v>291</v>
      </c>
      <c r="C109" s="9">
        <v>1.0</v>
      </c>
      <c r="D109" s="9">
        <v>2019.0</v>
      </c>
      <c r="E109" s="9" t="s">
        <v>108</v>
      </c>
      <c r="F109" s="9" t="s">
        <v>498</v>
      </c>
      <c r="G109" s="9" t="s">
        <v>498</v>
      </c>
      <c r="H109" s="9" t="s">
        <v>499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>
      <c r="A110" s="9" t="s">
        <v>440</v>
      </c>
      <c r="B110" s="9" t="s">
        <v>291</v>
      </c>
      <c r="C110" s="9">
        <v>1.0</v>
      </c>
      <c r="D110" s="9">
        <v>2019.0</v>
      </c>
      <c r="E110" s="9" t="s">
        <v>500</v>
      </c>
      <c r="F110" s="9" t="s">
        <v>395</v>
      </c>
      <c r="G110" s="9" t="s">
        <v>39</v>
      </c>
      <c r="H110" s="9" t="s">
        <v>311</v>
      </c>
      <c r="I110" s="9" t="s">
        <v>347</v>
      </c>
      <c r="J110" s="9" t="s">
        <v>318</v>
      </c>
      <c r="K110" s="9" t="s">
        <v>319</v>
      </c>
      <c r="L110" s="9" t="s">
        <v>501</v>
      </c>
      <c r="M110" s="10"/>
      <c r="N110" s="11">
        <v>80.0</v>
      </c>
      <c r="O110" s="9">
        <v>750.0</v>
      </c>
      <c r="P110" s="9"/>
      <c r="Q110" s="9"/>
      <c r="R110" s="10"/>
      <c r="S110" s="17"/>
      <c r="T110" s="12"/>
      <c r="U110" s="10"/>
      <c r="V110" s="10"/>
      <c r="W110" s="10"/>
      <c r="X110" s="10"/>
      <c r="Y110" s="10"/>
    </row>
    <row r="111" hidden="1">
      <c r="A111" s="9" t="s">
        <v>307</v>
      </c>
      <c r="B111" s="9" t="s">
        <v>291</v>
      </c>
      <c r="C111" s="9">
        <v>1.0</v>
      </c>
      <c r="D111" s="9">
        <v>2018.0</v>
      </c>
      <c r="E111" s="9" t="s">
        <v>378</v>
      </c>
      <c r="F111" s="9" t="s">
        <v>502</v>
      </c>
      <c r="G111" s="9" t="s">
        <v>35</v>
      </c>
      <c r="H111" s="9" t="s">
        <v>311</v>
      </c>
      <c r="I111" s="9" t="s">
        <v>347</v>
      </c>
      <c r="J111" s="9" t="s">
        <v>318</v>
      </c>
      <c r="K111" s="9" t="s">
        <v>319</v>
      </c>
      <c r="L111" s="10"/>
      <c r="M111" s="10"/>
      <c r="N111" s="11">
        <v>80.0</v>
      </c>
      <c r="O111" s="9">
        <v>750.0</v>
      </c>
      <c r="P111" s="9"/>
      <c r="Q111" s="9"/>
      <c r="R111" s="10"/>
      <c r="S111" s="10"/>
      <c r="T111" s="12"/>
      <c r="U111" s="10"/>
      <c r="V111" s="10"/>
      <c r="W111" s="10"/>
      <c r="X111" s="10"/>
      <c r="Y111" s="10"/>
    </row>
    <row r="112">
      <c r="A112" s="9" t="s">
        <v>440</v>
      </c>
      <c r="B112" s="9" t="s">
        <v>291</v>
      </c>
      <c r="C112" s="9">
        <v>2.0</v>
      </c>
      <c r="D112" s="9">
        <v>2019.0</v>
      </c>
      <c r="E112" s="9" t="s">
        <v>503</v>
      </c>
      <c r="F112" s="9" t="s">
        <v>504</v>
      </c>
      <c r="G112" s="9" t="s">
        <v>323</v>
      </c>
      <c r="H112" s="9" t="s">
        <v>299</v>
      </c>
      <c r="I112" s="10"/>
      <c r="J112" s="9" t="s">
        <v>324</v>
      </c>
      <c r="K112" s="9" t="s">
        <v>325</v>
      </c>
      <c r="L112" s="20"/>
      <c r="M112" s="10"/>
      <c r="N112" s="11">
        <v>35.0</v>
      </c>
      <c r="O112" s="9">
        <v>750.0</v>
      </c>
      <c r="P112" s="9"/>
      <c r="Q112" s="10"/>
      <c r="R112" s="10"/>
      <c r="S112" s="17"/>
      <c r="T112" s="12"/>
      <c r="U112" s="10"/>
      <c r="V112" s="10"/>
      <c r="W112" s="10"/>
      <c r="X112" s="10"/>
      <c r="Y112" s="10"/>
    </row>
    <row r="113">
      <c r="A113" s="9" t="s">
        <v>505</v>
      </c>
      <c r="B113" s="9" t="s">
        <v>291</v>
      </c>
      <c r="C113" s="9">
        <v>2.0</v>
      </c>
      <c r="D113" s="9">
        <v>2015.0</v>
      </c>
      <c r="E113" s="9" t="s">
        <v>316</v>
      </c>
      <c r="F113" s="9" t="s">
        <v>444</v>
      </c>
      <c r="G113" s="9" t="s">
        <v>393</v>
      </c>
      <c r="H113" s="9" t="s">
        <v>311</v>
      </c>
      <c r="I113" s="9" t="s">
        <v>347</v>
      </c>
      <c r="J113" s="9" t="s">
        <v>318</v>
      </c>
      <c r="K113" s="9" t="s">
        <v>319</v>
      </c>
      <c r="L113" s="21" t="s">
        <v>394</v>
      </c>
      <c r="M113" s="9" t="s">
        <v>443</v>
      </c>
      <c r="N113" s="11">
        <v>100.0</v>
      </c>
      <c r="O113" s="9">
        <v>750.0</v>
      </c>
      <c r="P113" s="9"/>
      <c r="Q113" s="9"/>
      <c r="R113" s="10"/>
      <c r="S113" s="20"/>
      <c r="T113" s="22"/>
      <c r="U113" s="10"/>
      <c r="V113" s="10"/>
      <c r="W113" s="10"/>
      <c r="X113" s="10"/>
      <c r="Y113" s="10"/>
    </row>
    <row r="114">
      <c r="A114" s="9" t="s">
        <v>440</v>
      </c>
      <c r="B114" s="9" t="s">
        <v>291</v>
      </c>
      <c r="C114" s="9">
        <v>5.0</v>
      </c>
      <c r="D114" s="9">
        <v>2014.0</v>
      </c>
      <c r="E114" s="9" t="s">
        <v>316</v>
      </c>
      <c r="F114" s="9" t="s">
        <v>379</v>
      </c>
      <c r="G114" s="9" t="s">
        <v>393</v>
      </c>
      <c r="H114" s="9" t="s">
        <v>311</v>
      </c>
      <c r="I114" s="9" t="s">
        <v>312</v>
      </c>
      <c r="J114" s="9" t="s">
        <v>318</v>
      </c>
      <c r="K114" s="9" t="s">
        <v>319</v>
      </c>
      <c r="L114" s="9" t="s">
        <v>381</v>
      </c>
      <c r="M114" s="9" t="s">
        <v>382</v>
      </c>
      <c r="N114" s="11">
        <v>50.0</v>
      </c>
      <c r="O114" s="9">
        <v>750.0</v>
      </c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ht="15.0" customHeight="1">
      <c r="A115" s="9" t="s">
        <v>440</v>
      </c>
      <c r="B115" s="9" t="s">
        <v>291</v>
      </c>
      <c r="C115" s="9">
        <v>1.0</v>
      </c>
      <c r="D115" s="9">
        <v>2016.0</v>
      </c>
      <c r="E115" s="9" t="s">
        <v>506</v>
      </c>
      <c r="F115" s="9" t="s">
        <v>507</v>
      </c>
      <c r="G115" s="9" t="s">
        <v>323</v>
      </c>
      <c r="H115" s="9" t="s">
        <v>299</v>
      </c>
      <c r="I115" s="10"/>
      <c r="J115" s="9" t="s">
        <v>324</v>
      </c>
      <c r="K115" s="10"/>
      <c r="L115" s="10"/>
      <c r="M115" s="10"/>
      <c r="N115" s="11">
        <v>36.99</v>
      </c>
      <c r="O115" s="9">
        <v>750.0</v>
      </c>
      <c r="P115" s="9"/>
      <c r="Q115" s="10"/>
      <c r="R115" s="9"/>
      <c r="S115" s="17"/>
      <c r="T115" s="12"/>
      <c r="U115" s="10"/>
      <c r="V115" s="10"/>
      <c r="W115" s="10"/>
      <c r="X115" s="10"/>
      <c r="Y115" s="10"/>
    </row>
    <row r="116">
      <c r="A116" s="9" t="s">
        <v>440</v>
      </c>
      <c r="B116" s="9" t="s">
        <v>291</v>
      </c>
      <c r="C116" s="9">
        <v>1.0</v>
      </c>
      <c r="D116" s="9">
        <v>2016.0</v>
      </c>
      <c r="E116" s="9" t="s">
        <v>508</v>
      </c>
      <c r="F116" s="9" t="s">
        <v>509</v>
      </c>
      <c r="G116" s="9" t="s">
        <v>415</v>
      </c>
      <c r="H116" s="9" t="s">
        <v>330</v>
      </c>
      <c r="I116" s="10"/>
      <c r="J116" s="9" t="s">
        <v>331</v>
      </c>
      <c r="K116" s="9" t="s">
        <v>509</v>
      </c>
      <c r="L116" s="9"/>
      <c r="M116" s="10"/>
      <c r="N116" s="11">
        <v>50.0</v>
      </c>
      <c r="O116" s="9">
        <v>750.0</v>
      </c>
      <c r="P116" s="9"/>
      <c r="Q116" s="9"/>
      <c r="R116" s="10"/>
      <c r="S116" s="17"/>
      <c r="T116" s="12"/>
      <c r="U116" s="10"/>
      <c r="V116" s="10"/>
      <c r="W116" s="10"/>
      <c r="X116" s="10"/>
      <c r="Y116" s="10"/>
    </row>
    <row r="117">
      <c r="A117" s="9" t="s">
        <v>440</v>
      </c>
      <c r="B117" s="9" t="s">
        <v>291</v>
      </c>
      <c r="C117" s="9">
        <v>1.0</v>
      </c>
      <c r="D117" s="9">
        <v>2018.0</v>
      </c>
      <c r="E117" s="9" t="s">
        <v>510</v>
      </c>
      <c r="F117" s="9" t="s">
        <v>511</v>
      </c>
      <c r="G117" s="9" t="s">
        <v>415</v>
      </c>
      <c r="H117" s="9" t="s">
        <v>330</v>
      </c>
      <c r="I117" s="10"/>
      <c r="J117" s="9" t="s">
        <v>331</v>
      </c>
      <c r="K117" s="9" t="s">
        <v>511</v>
      </c>
      <c r="L117" s="10"/>
      <c r="M117" s="10"/>
      <c r="N117" s="11">
        <v>50.0</v>
      </c>
      <c r="O117" s="9">
        <v>750.0</v>
      </c>
      <c r="P117" s="9"/>
      <c r="Q117" s="9"/>
      <c r="R117" s="10"/>
      <c r="S117" s="17"/>
      <c r="T117" s="12"/>
      <c r="U117" s="10"/>
      <c r="V117" s="10"/>
      <c r="W117" s="10"/>
      <c r="X117" s="10"/>
      <c r="Y117" s="10"/>
    </row>
    <row r="118">
      <c r="A118" s="9" t="s">
        <v>440</v>
      </c>
      <c r="B118" s="9" t="s">
        <v>291</v>
      </c>
      <c r="C118" s="9">
        <v>1.0</v>
      </c>
      <c r="D118" s="9">
        <v>2018.0</v>
      </c>
      <c r="E118" s="9" t="s">
        <v>512</v>
      </c>
      <c r="F118" s="9" t="s">
        <v>513</v>
      </c>
      <c r="G118" s="9" t="s">
        <v>146</v>
      </c>
      <c r="H118" s="9" t="s">
        <v>330</v>
      </c>
      <c r="I118" s="10"/>
      <c r="J118" s="9" t="s">
        <v>331</v>
      </c>
      <c r="K118" s="9" t="s">
        <v>514</v>
      </c>
      <c r="L118" s="10"/>
      <c r="M118" s="10"/>
      <c r="N118" s="11">
        <v>38.0</v>
      </c>
      <c r="O118" s="9">
        <v>750.0</v>
      </c>
      <c r="P118" s="9"/>
      <c r="Q118" s="9"/>
      <c r="R118" s="10"/>
      <c r="S118" s="17"/>
      <c r="T118" s="12"/>
      <c r="U118" s="10"/>
      <c r="V118" s="10"/>
      <c r="W118" s="10"/>
      <c r="X118" s="10"/>
      <c r="Y118" s="10"/>
    </row>
    <row r="119" hidden="1">
      <c r="A119" s="9" t="s">
        <v>307</v>
      </c>
      <c r="B119" s="9" t="s">
        <v>291</v>
      </c>
      <c r="C119" s="9">
        <v>1.0</v>
      </c>
      <c r="D119" s="9">
        <v>2018.0</v>
      </c>
      <c r="E119" s="9" t="s">
        <v>403</v>
      </c>
      <c r="F119" s="9" t="s">
        <v>502</v>
      </c>
      <c r="G119" s="9" t="s">
        <v>35</v>
      </c>
      <c r="H119" s="9" t="s">
        <v>311</v>
      </c>
      <c r="I119" s="9" t="s">
        <v>347</v>
      </c>
      <c r="J119" s="9" t="s">
        <v>318</v>
      </c>
      <c r="K119" s="9" t="s">
        <v>319</v>
      </c>
      <c r="L119" s="9" t="s">
        <v>515</v>
      </c>
      <c r="M119" s="10"/>
      <c r="N119" s="11">
        <v>48.0</v>
      </c>
      <c r="O119" s="9">
        <v>750.0</v>
      </c>
      <c r="P119" s="9"/>
      <c r="Q119" s="9"/>
      <c r="R119" s="9"/>
      <c r="S119" s="10"/>
      <c r="T119" s="12"/>
      <c r="U119" s="10"/>
      <c r="V119" s="10"/>
      <c r="W119" s="10"/>
      <c r="X119" s="10"/>
      <c r="Y119" s="10"/>
    </row>
    <row r="120">
      <c r="A120" s="9" t="s">
        <v>440</v>
      </c>
      <c r="B120" s="9" t="s">
        <v>291</v>
      </c>
      <c r="C120" s="9">
        <v>1.0</v>
      </c>
      <c r="D120" s="9">
        <v>2015.0</v>
      </c>
      <c r="E120" s="9" t="s">
        <v>516</v>
      </c>
      <c r="F120" s="9" t="s">
        <v>517</v>
      </c>
      <c r="G120" s="9" t="s">
        <v>393</v>
      </c>
      <c r="H120" s="9" t="s">
        <v>311</v>
      </c>
      <c r="I120" s="9" t="s">
        <v>312</v>
      </c>
      <c r="J120" s="9" t="s">
        <v>318</v>
      </c>
      <c r="K120" s="9" t="s">
        <v>319</v>
      </c>
      <c r="L120" s="10"/>
      <c r="M120" s="10"/>
      <c r="N120" s="11">
        <v>150.0</v>
      </c>
      <c r="O120" s="9">
        <v>750.0</v>
      </c>
      <c r="P120" s="9"/>
      <c r="Q120" s="9"/>
      <c r="R120" s="10"/>
      <c r="S120" s="17"/>
      <c r="T120" s="12"/>
      <c r="U120" s="10"/>
      <c r="V120" s="10"/>
      <c r="W120" s="10"/>
      <c r="X120" s="10"/>
      <c r="Y120" s="10"/>
    </row>
    <row r="121">
      <c r="A121" s="9" t="s">
        <v>440</v>
      </c>
      <c r="B121" s="9" t="s">
        <v>291</v>
      </c>
      <c r="C121" s="9">
        <v>1.0</v>
      </c>
      <c r="D121" s="9">
        <v>2015.0</v>
      </c>
      <c r="E121" s="9" t="s">
        <v>410</v>
      </c>
      <c r="F121" s="9" t="s">
        <v>518</v>
      </c>
      <c r="G121" s="9" t="s">
        <v>39</v>
      </c>
      <c r="H121" s="9" t="s">
        <v>311</v>
      </c>
      <c r="I121" s="9" t="s">
        <v>312</v>
      </c>
      <c r="J121" s="9" t="s">
        <v>318</v>
      </c>
      <c r="K121" s="9" t="s">
        <v>319</v>
      </c>
      <c r="L121" s="9" t="s">
        <v>394</v>
      </c>
      <c r="M121" s="9" t="s">
        <v>519</v>
      </c>
      <c r="N121" s="11">
        <v>90.0</v>
      </c>
      <c r="O121" s="9">
        <v>750.0</v>
      </c>
      <c r="P121" s="9"/>
      <c r="Q121" s="9"/>
      <c r="R121" s="10"/>
      <c r="S121" s="17"/>
      <c r="T121" s="12"/>
      <c r="U121" s="10"/>
      <c r="V121" s="10"/>
      <c r="W121" s="10"/>
      <c r="X121" s="10"/>
      <c r="Y121" s="10"/>
    </row>
    <row r="122">
      <c r="A122" s="9" t="s">
        <v>440</v>
      </c>
      <c r="B122" s="9" t="s">
        <v>291</v>
      </c>
      <c r="C122" s="9">
        <v>6.0</v>
      </c>
      <c r="D122" s="9">
        <v>2015.0</v>
      </c>
      <c r="E122" s="9" t="s">
        <v>316</v>
      </c>
      <c r="F122" s="9" t="s">
        <v>379</v>
      </c>
      <c r="G122" s="9" t="s">
        <v>393</v>
      </c>
      <c r="H122" s="9" t="s">
        <v>311</v>
      </c>
      <c r="I122" s="9" t="s">
        <v>312</v>
      </c>
      <c r="J122" s="9" t="s">
        <v>318</v>
      </c>
      <c r="K122" s="9" t="s">
        <v>319</v>
      </c>
      <c r="L122" s="9" t="s">
        <v>381</v>
      </c>
      <c r="M122" s="9" t="s">
        <v>382</v>
      </c>
      <c r="N122" s="11">
        <v>50.0</v>
      </c>
      <c r="O122" s="9">
        <v>750.0</v>
      </c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hidden="1">
      <c r="A123" s="9" t="s">
        <v>307</v>
      </c>
      <c r="B123" s="9" t="s">
        <v>291</v>
      </c>
      <c r="C123" s="9">
        <v>1.0</v>
      </c>
      <c r="D123" s="9">
        <v>2018.0</v>
      </c>
      <c r="E123" s="9" t="s">
        <v>65</v>
      </c>
      <c r="F123" s="9" t="s">
        <v>404</v>
      </c>
      <c r="G123" s="9" t="s">
        <v>404</v>
      </c>
      <c r="H123" s="9" t="s">
        <v>340</v>
      </c>
      <c r="I123" s="9" t="s">
        <v>347</v>
      </c>
      <c r="J123" s="9" t="s">
        <v>318</v>
      </c>
      <c r="K123" s="9" t="s">
        <v>358</v>
      </c>
      <c r="L123" s="9" t="s">
        <v>315</v>
      </c>
      <c r="M123" s="10"/>
      <c r="N123" s="11">
        <v>34.0</v>
      </c>
      <c r="O123" s="9">
        <v>750.0</v>
      </c>
      <c r="P123" s="9"/>
      <c r="Q123" s="9"/>
      <c r="R123" s="10"/>
      <c r="S123" s="10"/>
      <c r="T123" s="12"/>
      <c r="U123" s="10"/>
      <c r="V123" s="10"/>
      <c r="W123" s="10"/>
      <c r="X123" s="10"/>
      <c r="Y123" s="10"/>
    </row>
    <row r="124" hidden="1">
      <c r="A124" s="9" t="s">
        <v>307</v>
      </c>
      <c r="B124" s="9" t="s">
        <v>291</v>
      </c>
      <c r="C124" s="9">
        <v>1.0</v>
      </c>
      <c r="D124" s="9">
        <v>2018.0</v>
      </c>
      <c r="E124" s="9" t="s">
        <v>403</v>
      </c>
      <c r="F124" s="9" t="s">
        <v>520</v>
      </c>
      <c r="G124" s="9" t="s">
        <v>35</v>
      </c>
      <c r="H124" s="9" t="s">
        <v>311</v>
      </c>
      <c r="I124" s="9" t="s">
        <v>312</v>
      </c>
      <c r="J124" s="9" t="s">
        <v>313</v>
      </c>
      <c r="K124" s="9" t="s">
        <v>405</v>
      </c>
      <c r="L124" s="9" t="s">
        <v>439</v>
      </c>
      <c r="M124" s="10"/>
      <c r="N124" s="11">
        <v>42.0</v>
      </c>
      <c r="O124" s="9">
        <v>750.0</v>
      </c>
      <c r="P124" s="9"/>
      <c r="Q124" s="9"/>
      <c r="R124" s="10"/>
      <c r="S124" s="10"/>
      <c r="T124" s="12"/>
      <c r="U124" s="10"/>
      <c r="V124" s="10"/>
      <c r="W124" s="10"/>
      <c r="X124" s="10"/>
      <c r="Y124" s="10"/>
    </row>
    <row r="125">
      <c r="A125" s="9" t="s">
        <v>440</v>
      </c>
      <c r="B125" s="9" t="s">
        <v>291</v>
      </c>
      <c r="C125" s="9">
        <v>1.0</v>
      </c>
      <c r="D125" s="9">
        <v>2019.0</v>
      </c>
      <c r="E125" s="9" t="s">
        <v>378</v>
      </c>
      <c r="F125" s="9" t="s">
        <v>521</v>
      </c>
      <c r="G125" s="9" t="s">
        <v>393</v>
      </c>
      <c r="H125" s="9" t="s">
        <v>311</v>
      </c>
      <c r="I125" s="9" t="s">
        <v>312</v>
      </c>
      <c r="J125" s="9" t="s">
        <v>318</v>
      </c>
      <c r="K125" s="9" t="s">
        <v>319</v>
      </c>
      <c r="L125" s="10"/>
      <c r="M125" s="10"/>
      <c r="N125" s="11">
        <v>65.0</v>
      </c>
      <c r="O125" s="9">
        <v>750.0</v>
      </c>
      <c r="P125" s="9"/>
      <c r="Q125" s="10"/>
      <c r="R125" s="9"/>
      <c r="S125" s="17"/>
      <c r="T125" s="12"/>
      <c r="U125" s="10"/>
      <c r="V125" s="10"/>
      <c r="W125" s="10"/>
      <c r="X125" s="10"/>
      <c r="Y125" s="10"/>
    </row>
    <row r="126">
      <c r="A126" s="9" t="s">
        <v>440</v>
      </c>
      <c r="B126" s="9" t="s">
        <v>291</v>
      </c>
      <c r="C126" s="9">
        <v>1.0</v>
      </c>
      <c r="D126" s="9">
        <v>2016.0</v>
      </c>
      <c r="E126" s="9" t="s">
        <v>522</v>
      </c>
      <c r="F126" s="9" t="s">
        <v>523</v>
      </c>
      <c r="G126" s="9" t="s">
        <v>415</v>
      </c>
      <c r="H126" s="9" t="s">
        <v>330</v>
      </c>
      <c r="I126" s="10"/>
      <c r="J126" s="9" t="s">
        <v>331</v>
      </c>
      <c r="K126" s="9" t="s">
        <v>511</v>
      </c>
      <c r="L126" s="10"/>
      <c r="M126" s="10"/>
      <c r="N126" s="11">
        <v>40.0</v>
      </c>
      <c r="O126" s="9">
        <v>750.0</v>
      </c>
      <c r="P126" s="9"/>
      <c r="Q126" s="9"/>
      <c r="R126" s="10"/>
      <c r="S126" s="20"/>
      <c r="T126" s="22"/>
      <c r="U126" s="10"/>
      <c r="V126" s="10"/>
      <c r="W126" s="10"/>
      <c r="X126" s="10"/>
      <c r="Y126" s="10"/>
    </row>
    <row r="127">
      <c r="A127" s="9" t="s">
        <v>440</v>
      </c>
      <c r="B127" s="9" t="s">
        <v>291</v>
      </c>
      <c r="C127" s="9">
        <v>1.0</v>
      </c>
      <c r="D127" s="9">
        <v>2018.0</v>
      </c>
      <c r="E127" s="9" t="s">
        <v>524</v>
      </c>
      <c r="F127" s="9" t="s">
        <v>146</v>
      </c>
      <c r="G127" s="9" t="s">
        <v>146</v>
      </c>
      <c r="H127" s="9" t="s">
        <v>311</v>
      </c>
      <c r="I127" s="9" t="s">
        <v>347</v>
      </c>
      <c r="J127" s="9" t="s">
        <v>348</v>
      </c>
      <c r="K127" s="9" t="s">
        <v>335</v>
      </c>
      <c r="L127" s="9" t="s">
        <v>349</v>
      </c>
      <c r="M127" s="10"/>
      <c r="N127" s="11">
        <v>45.0</v>
      </c>
      <c r="O127" s="9">
        <v>750.0</v>
      </c>
      <c r="P127" s="10"/>
      <c r="Q127" s="10"/>
      <c r="R127" s="10"/>
      <c r="S127" s="17"/>
      <c r="T127" s="12"/>
      <c r="U127" s="10"/>
      <c r="V127" s="10"/>
      <c r="W127" s="10"/>
      <c r="X127" s="10"/>
      <c r="Y127" s="10"/>
    </row>
    <row r="128">
      <c r="A128" s="9" t="s">
        <v>440</v>
      </c>
      <c r="B128" s="9" t="s">
        <v>291</v>
      </c>
      <c r="C128" s="9">
        <v>1.0</v>
      </c>
      <c r="D128" s="9">
        <v>2019.0</v>
      </c>
      <c r="E128" s="9" t="s">
        <v>525</v>
      </c>
      <c r="F128" s="9" t="s">
        <v>526</v>
      </c>
      <c r="G128" s="9" t="s">
        <v>146</v>
      </c>
      <c r="H128" s="9" t="s">
        <v>311</v>
      </c>
      <c r="I128" s="9" t="s">
        <v>312</v>
      </c>
      <c r="J128" s="9" t="s">
        <v>313</v>
      </c>
      <c r="K128" s="10"/>
      <c r="L128" s="10"/>
      <c r="M128" s="10"/>
      <c r="N128" s="11">
        <v>35.0</v>
      </c>
      <c r="O128" s="9">
        <v>750.0</v>
      </c>
      <c r="P128" s="9"/>
      <c r="Q128" s="20"/>
      <c r="R128" s="10"/>
      <c r="S128" s="17"/>
      <c r="T128" s="12"/>
      <c r="U128" s="10"/>
      <c r="V128" s="10"/>
      <c r="W128" s="10"/>
      <c r="X128" s="10"/>
      <c r="Y128" s="10"/>
    </row>
    <row r="129">
      <c r="A129" s="9" t="s">
        <v>440</v>
      </c>
      <c r="B129" s="9" t="s">
        <v>291</v>
      </c>
      <c r="C129" s="9">
        <v>1.0</v>
      </c>
      <c r="D129" s="9">
        <v>2018.0</v>
      </c>
      <c r="E129" s="9" t="s">
        <v>527</v>
      </c>
      <c r="F129" s="9" t="s">
        <v>528</v>
      </c>
      <c r="G129" s="9" t="s">
        <v>194</v>
      </c>
      <c r="H129" s="9" t="s">
        <v>340</v>
      </c>
      <c r="I129" s="9" t="s">
        <v>312</v>
      </c>
      <c r="J129" s="9" t="s">
        <v>318</v>
      </c>
      <c r="K129" s="9" t="s">
        <v>405</v>
      </c>
      <c r="L129" s="10"/>
      <c r="M129" s="10"/>
      <c r="N129" s="11">
        <v>85.0</v>
      </c>
      <c r="O129" s="9">
        <v>750.0</v>
      </c>
      <c r="P129" s="9"/>
      <c r="Q129" s="9"/>
      <c r="R129" s="9"/>
      <c r="S129" s="17"/>
      <c r="T129" s="12"/>
      <c r="U129" s="10"/>
      <c r="V129" s="10"/>
      <c r="W129" s="10"/>
      <c r="X129" s="10"/>
      <c r="Y129" s="10"/>
    </row>
    <row r="130">
      <c r="A130" s="9" t="s">
        <v>440</v>
      </c>
      <c r="B130" s="9" t="s">
        <v>291</v>
      </c>
      <c r="C130" s="9">
        <v>1.0</v>
      </c>
      <c r="D130" s="9">
        <v>2018.0</v>
      </c>
      <c r="E130" s="9" t="s">
        <v>403</v>
      </c>
      <c r="F130" s="9" t="s">
        <v>146</v>
      </c>
      <c r="G130" s="9" t="s">
        <v>146</v>
      </c>
      <c r="H130" s="9" t="s">
        <v>311</v>
      </c>
      <c r="I130" s="9" t="s">
        <v>312</v>
      </c>
      <c r="J130" s="9" t="s">
        <v>313</v>
      </c>
      <c r="K130" s="9" t="s">
        <v>405</v>
      </c>
      <c r="L130" s="9" t="s">
        <v>412</v>
      </c>
      <c r="M130" s="10"/>
      <c r="N130" s="11">
        <v>44.0</v>
      </c>
      <c r="O130" s="9">
        <v>750.0</v>
      </c>
      <c r="P130" s="9"/>
      <c r="Q130" s="9"/>
      <c r="R130" s="10"/>
      <c r="S130" s="17"/>
      <c r="T130" s="12"/>
      <c r="U130" s="10"/>
      <c r="V130" s="10"/>
      <c r="W130" s="10"/>
      <c r="X130" s="10"/>
      <c r="Y130" s="10"/>
    </row>
    <row r="131">
      <c r="A131" s="9" t="s">
        <v>440</v>
      </c>
      <c r="B131" s="9" t="s">
        <v>291</v>
      </c>
      <c r="C131" s="9">
        <v>1.0</v>
      </c>
      <c r="D131" s="9">
        <v>2017.0</v>
      </c>
      <c r="E131" s="9" t="s">
        <v>308</v>
      </c>
      <c r="F131" s="9" t="s">
        <v>529</v>
      </c>
      <c r="G131" s="9" t="s">
        <v>146</v>
      </c>
      <c r="H131" s="9" t="s">
        <v>311</v>
      </c>
      <c r="I131" s="9" t="s">
        <v>347</v>
      </c>
      <c r="J131" s="9" t="s">
        <v>318</v>
      </c>
      <c r="K131" s="9" t="s">
        <v>335</v>
      </c>
      <c r="L131" s="10"/>
      <c r="M131" s="10"/>
      <c r="N131" s="11">
        <v>45.0</v>
      </c>
      <c r="O131" s="9">
        <v>750.0</v>
      </c>
      <c r="P131" s="9"/>
      <c r="Q131" s="9"/>
      <c r="R131" s="10"/>
      <c r="S131" s="17"/>
      <c r="T131" s="12"/>
      <c r="U131" s="10"/>
      <c r="V131" s="10"/>
      <c r="W131" s="10"/>
      <c r="X131" s="10"/>
      <c r="Y131" s="10"/>
    </row>
    <row r="132">
      <c r="A132" s="9" t="s">
        <v>440</v>
      </c>
      <c r="B132" s="9" t="s">
        <v>291</v>
      </c>
      <c r="C132" s="9">
        <v>1.0</v>
      </c>
      <c r="D132" s="9">
        <v>2018.0</v>
      </c>
      <c r="E132" s="9" t="s">
        <v>250</v>
      </c>
      <c r="F132" s="9" t="s">
        <v>529</v>
      </c>
      <c r="G132" s="9" t="s">
        <v>146</v>
      </c>
      <c r="H132" s="9" t="s">
        <v>340</v>
      </c>
      <c r="I132" s="9" t="s">
        <v>312</v>
      </c>
      <c r="J132" s="9" t="s">
        <v>348</v>
      </c>
      <c r="K132" s="9" t="s">
        <v>530</v>
      </c>
      <c r="L132" s="9" t="s">
        <v>531</v>
      </c>
      <c r="M132" s="9" t="s">
        <v>532</v>
      </c>
      <c r="N132" s="11">
        <v>50.0</v>
      </c>
      <c r="O132" s="9">
        <v>750.0</v>
      </c>
      <c r="P132" s="9"/>
      <c r="Q132" s="9"/>
      <c r="R132" s="10"/>
      <c r="S132" s="17"/>
      <c r="T132" s="12"/>
      <c r="U132" s="10"/>
      <c r="V132" s="10"/>
      <c r="W132" s="10"/>
      <c r="X132" s="10"/>
      <c r="Y132" s="10"/>
    </row>
    <row r="133">
      <c r="A133" s="9" t="s">
        <v>505</v>
      </c>
      <c r="B133" s="9" t="s">
        <v>291</v>
      </c>
      <c r="C133" s="9">
        <v>1.0</v>
      </c>
      <c r="D133" s="9">
        <v>2015.0</v>
      </c>
      <c r="E133" s="9" t="s">
        <v>352</v>
      </c>
      <c r="F133" s="9" t="s">
        <v>533</v>
      </c>
      <c r="G133" s="9" t="s">
        <v>146</v>
      </c>
      <c r="H133" s="9" t="s">
        <v>311</v>
      </c>
      <c r="I133" s="9" t="s">
        <v>347</v>
      </c>
      <c r="J133" s="9" t="s">
        <v>348</v>
      </c>
      <c r="K133" s="9" t="s">
        <v>335</v>
      </c>
      <c r="L133" s="10"/>
      <c r="M133" s="10"/>
      <c r="N133" s="16"/>
      <c r="O133" s="10"/>
      <c r="P133" s="10"/>
      <c r="Q133" s="10"/>
      <c r="R133" s="10"/>
      <c r="S133" s="17"/>
      <c r="T133" s="12"/>
      <c r="U133" s="10"/>
      <c r="V133" s="10"/>
      <c r="W133" s="10"/>
      <c r="X133" s="10"/>
      <c r="Y133" s="20"/>
    </row>
    <row r="134">
      <c r="A134" s="9" t="s">
        <v>440</v>
      </c>
      <c r="B134" s="9" t="s">
        <v>291</v>
      </c>
      <c r="C134" s="9">
        <v>1.0</v>
      </c>
      <c r="D134" s="9">
        <v>2018.0</v>
      </c>
      <c r="E134" s="9" t="s">
        <v>34</v>
      </c>
      <c r="F134" s="9" t="s">
        <v>87</v>
      </c>
      <c r="G134" s="9" t="s">
        <v>146</v>
      </c>
      <c r="H134" s="9" t="s">
        <v>311</v>
      </c>
      <c r="I134" s="9" t="s">
        <v>312</v>
      </c>
      <c r="J134" s="13" t="s">
        <v>334</v>
      </c>
      <c r="K134" s="9" t="s">
        <v>335</v>
      </c>
      <c r="L134" s="10"/>
      <c r="M134" s="9" t="s">
        <v>534</v>
      </c>
      <c r="N134" s="11">
        <v>25.0</v>
      </c>
      <c r="O134" s="9">
        <v>750.0</v>
      </c>
      <c r="P134" s="9"/>
      <c r="Q134" s="9"/>
      <c r="R134" s="10"/>
      <c r="S134" s="17"/>
      <c r="T134" s="12"/>
      <c r="U134" s="10"/>
      <c r="V134" s="10"/>
      <c r="W134" s="10"/>
      <c r="X134" s="10"/>
      <c r="Y134" s="10"/>
    </row>
    <row r="135">
      <c r="A135" s="9" t="s">
        <v>440</v>
      </c>
      <c r="B135" s="9" t="s">
        <v>291</v>
      </c>
      <c r="C135" s="9">
        <v>1.0</v>
      </c>
      <c r="D135" s="9">
        <v>2018.0</v>
      </c>
      <c r="E135" s="9" t="s">
        <v>535</v>
      </c>
      <c r="F135" s="9" t="s">
        <v>536</v>
      </c>
      <c r="G135" s="9" t="s">
        <v>146</v>
      </c>
      <c r="H135" s="9" t="s">
        <v>311</v>
      </c>
      <c r="I135" s="9" t="s">
        <v>347</v>
      </c>
      <c r="J135" s="9" t="s">
        <v>318</v>
      </c>
      <c r="K135" s="9" t="s">
        <v>358</v>
      </c>
      <c r="L135" s="10"/>
      <c r="M135" s="10"/>
      <c r="N135" s="11">
        <v>36.0</v>
      </c>
      <c r="O135" s="9">
        <v>750.0</v>
      </c>
      <c r="P135" s="9"/>
      <c r="Q135" s="10"/>
      <c r="R135" s="10"/>
      <c r="S135" s="17"/>
      <c r="T135" s="12"/>
      <c r="U135" s="10"/>
      <c r="V135" s="10"/>
      <c r="W135" s="10"/>
      <c r="X135" s="10"/>
      <c r="Y135" s="10"/>
    </row>
    <row r="136">
      <c r="A136" s="9" t="s">
        <v>440</v>
      </c>
      <c r="B136" s="9" t="s">
        <v>291</v>
      </c>
      <c r="C136" s="9">
        <v>1.0</v>
      </c>
      <c r="D136" s="9">
        <v>2016.0</v>
      </c>
      <c r="E136" s="9" t="s">
        <v>537</v>
      </c>
      <c r="F136" s="9" t="s">
        <v>538</v>
      </c>
      <c r="G136" s="9" t="s">
        <v>415</v>
      </c>
      <c r="H136" s="9" t="s">
        <v>330</v>
      </c>
      <c r="I136" s="10"/>
      <c r="J136" s="9" t="s">
        <v>331</v>
      </c>
      <c r="K136" s="9" t="s">
        <v>511</v>
      </c>
      <c r="L136" s="10"/>
      <c r="M136" s="10"/>
      <c r="N136" s="11">
        <v>35.0</v>
      </c>
      <c r="O136" s="9">
        <v>750.0</v>
      </c>
      <c r="P136" s="9"/>
      <c r="Q136" s="9"/>
      <c r="R136" s="10"/>
      <c r="S136" s="17"/>
      <c r="T136" s="12"/>
      <c r="U136" s="10"/>
      <c r="V136" s="10"/>
      <c r="W136" s="10"/>
      <c r="X136" s="10"/>
      <c r="Y136" s="10"/>
    </row>
    <row r="137">
      <c r="A137" s="9" t="s">
        <v>440</v>
      </c>
      <c r="B137" s="9" t="s">
        <v>291</v>
      </c>
      <c r="C137" s="9">
        <v>1.0</v>
      </c>
      <c r="D137" s="9">
        <v>2018.0</v>
      </c>
      <c r="E137" s="9" t="s">
        <v>539</v>
      </c>
      <c r="F137" s="9" t="s">
        <v>509</v>
      </c>
      <c r="G137" s="9" t="s">
        <v>415</v>
      </c>
      <c r="H137" s="9" t="s">
        <v>330</v>
      </c>
      <c r="I137" s="10"/>
      <c r="J137" s="9" t="s">
        <v>331</v>
      </c>
      <c r="K137" s="9" t="s">
        <v>509</v>
      </c>
      <c r="L137" s="9"/>
      <c r="M137" s="10"/>
      <c r="N137" s="11">
        <v>85.0</v>
      </c>
      <c r="O137" s="9">
        <v>750.0</v>
      </c>
      <c r="P137" s="9"/>
      <c r="Q137" s="9"/>
      <c r="R137" s="10"/>
      <c r="S137" s="17"/>
      <c r="T137" s="12"/>
      <c r="U137" s="10"/>
      <c r="V137" s="10"/>
      <c r="W137" s="10"/>
      <c r="X137" s="10"/>
      <c r="Y137" s="10"/>
    </row>
    <row r="138">
      <c r="A138" s="9" t="s">
        <v>440</v>
      </c>
      <c r="B138" s="9" t="s">
        <v>291</v>
      </c>
      <c r="C138" s="9">
        <v>1.0</v>
      </c>
      <c r="D138" s="9">
        <v>2016.0</v>
      </c>
      <c r="E138" s="9" t="s">
        <v>540</v>
      </c>
      <c r="F138" s="9" t="s">
        <v>541</v>
      </c>
      <c r="G138" s="9" t="s">
        <v>415</v>
      </c>
      <c r="H138" s="9" t="s">
        <v>330</v>
      </c>
      <c r="I138" s="10"/>
      <c r="J138" s="9" t="s">
        <v>331</v>
      </c>
      <c r="K138" s="9" t="s">
        <v>509</v>
      </c>
      <c r="L138" s="9"/>
      <c r="M138" s="10"/>
      <c r="N138" s="11">
        <v>50.0</v>
      </c>
      <c r="O138" s="9">
        <v>750.0</v>
      </c>
      <c r="P138" s="9"/>
      <c r="Q138" s="9"/>
      <c r="R138" s="10"/>
      <c r="S138" s="17"/>
      <c r="T138" s="12"/>
      <c r="U138" s="10"/>
      <c r="V138" s="10"/>
      <c r="W138" s="10"/>
      <c r="X138" s="10"/>
      <c r="Y138" s="10"/>
    </row>
    <row r="139">
      <c r="A139" s="9" t="s">
        <v>440</v>
      </c>
      <c r="B139" s="9" t="s">
        <v>291</v>
      </c>
      <c r="C139" s="9">
        <v>1.0</v>
      </c>
      <c r="D139" s="9">
        <v>2019.0</v>
      </c>
      <c r="E139" s="9" t="s">
        <v>129</v>
      </c>
      <c r="F139" s="9" t="s">
        <v>39</v>
      </c>
      <c r="G139" s="9" t="s">
        <v>542</v>
      </c>
      <c r="H139" s="9" t="s">
        <v>311</v>
      </c>
      <c r="I139" s="9" t="s">
        <v>312</v>
      </c>
      <c r="J139" s="13" t="s">
        <v>334</v>
      </c>
      <c r="K139" s="9" t="s">
        <v>341</v>
      </c>
      <c r="L139" s="10"/>
      <c r="M139" s="10"/>
      <c r="N139" s="11">
        <v>56.0</v>
      </c>
      <c r="O139" s="9">
        <v>750.0</v>
      </c>
      <c r="P139" s="9"/>
      <c r="Q139" s="9"/>
      <c r="R139" s="10"/>
      <c r="S139" s="17"/>
      <c r="T139" s="12"/>
      <c r="U139" s="10"/>
      <c r="V139" s="10"/>
      <c r="W139" s="10"/>
      <c r="X139" s="10"/>
      <c r="Y139" s="10"/>
    </row>
    <row r="140">
      <c r="A140" s="9" t="s">
        <v>440</v>
      </c>
      <c r="B140" s="9" t="s">
        <v>291</v>
      </c>
      <c r="C140" s="9">
        <v>1.0</v>
      </c>
      <c r="D140" s="9">
        <v>2018.0</v>
      </c>
      <c r="E140" s="9" t="s">
        <v>46</v>
      </c>
      <c r="F140" s="9" t="s">
        <v>162</v>
      </c>
      <c r="G140" s="9" t="s">
        <v>377</v>
      </c>
      <c r="H140" s="9" t="s">
        <v>340</v>
      </c>
      <c r="I140" s="9" t="s">
        <v>312</v>
      </c>
      <c r="J140" s="13" t="s">
        <v>334</v>
      </c>
      <c r="K140" s="9" t="s">
        <v>341</v>
      </c>
      <c r="L140" s="10"/>
      <c r="M140" s="10"/>
      <c r="N140" s="11">
        <v>48.0</v>
      </c>
      <c r="O140" s="9">
        <v>750.0</v>
      </c>
      <c r="P140" s="9"/>
      <c r="Q140" s="9"/>
      <c r="R140" s="10"/>
      <c r="S140" s="17"/>
      <c r="T140" s="12"/>
      <c r="U140" s="10"/>
      <c r="V140" s="10"/>
      <c r="W140" s="10"/>
      <c r="X140" s="10"/>
      <c r="Y140" s="10"/>
    </row>
    <row r="141">
      <c r="A141" s="9" t="s">
        <v>440</v>
      </c>
      <c r="B141" s="9" t="s">
        <v>291</v>
      </c>
      <c r="C141" s="9">
        <v>1.0</v>
      </c>
      <c r="D141" s="9">
        <v>2020.0</v>
      </c>
      <c r="E141" s="9" t="s">
        <v>352</v>
      </c>
      <c r="F141" s="9" t="s">
        <v>51</v>
      </c>
      <c r="G141" s="9" t="s">
        <v>393</v>
      </c>
      <c r="H141" s="9" t="s">
        <v>340</v>
      </c>
      <c r="I141" s="9" t="s">
        <v>312</v>
      </c>
      <c r="J141" s="13" t="s">
        <v>334</v>
      </c>
      <c r="K141" s="10"/>
      <c r="L141" s="10"/>
      <c r="M141" s="10"/>
      <c r="N141" s="10"/>
      <c r="O141" s="9">
        <v>750.0</v>
      </c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>
      <c r="A142" s="9" t="s">
        <v>440</v>
      </c>
      <c r="B142" s="9" t="s">
        <v>291</v>
      </c>
      <c r="C142" s="9">
        <v>1.0</v>
      </c>
      <c r="D142" s="9">
        <v>2019.0</v>
      </c>
      <c r="E142" s="9" t="s">
        <v>352</v>
      </c>
      <c r="F142" s="9" t="s">
        <v>470</v>
      </c>
      <c r="G142" s="9" t="s">
        <v>39</v>
      </c>
      <c r="H142" s="9" t="s">
        <v>311</v>
      </c>
      <c r="I142" s="9" t="s">
        <v>347</v>
      </c>
      <c r="J142" s="9" t="s">
        <v>348</v>
      </c>
      <c r="K142" s="9" t="s">
        <v>335</v>
      </c>
      <c r="L142" s="9" t="s">
        <v>417</v>
      </c>
      <c r="M142" s="9" t="s">
        <v>471</v>
      </c>
      <c r="N142" s="11">
        <v>75.0</v>
      </c>
      <c r="O142" s="9">
        <v>750.0</v>
      </c>
      <c r="P142" s="10"/>
      <c r="Q142" s="10"/>
      <c r="R142" s="10"/>
      <c r="S142" s="10"/>
      <c r="T142" s="12"/>
      <c r="U142" s="10"/>
      <c r="V142" s="10"/>
      <c r="W142" s="10"/>
      <c r="X142" s="10"/>
      <c r="Y142" s="10"/>
    </row>
    <row r="143">
      <c r="A143" s="9" t="s">
        <v>440</v>
      </c>
      <c r="B143" s="9" t="s">
        <v>291</v>
      </c>
      <c r="C143" s="9">
        <v>1.0</v>
      </c>
      <c r="D143" s="9">
        <v>2018.0</v>
      </c>
      <c r="E143" s="9" t="s">
        <v>388</v>
      </c>
      <c r="F143" s="9" t="s">
        <v>389</v>
      </c>
      <c r="G143" s="9" t="s">
        <v>39</v>
      </c>
      <c r="H143" s="9" t="s">
        <v>311</v>
      </c>
      <c r="I143" s="9" t="s">
        <v>312</v>
      </c>
      <c r="J143" s="9" t="s">
        <v>318</v>
      </c>
      <c r="K143" s="9" t="s">
        <v>319</v>
      </c>
      <c r="L143" s="10"/>
      <c r="M143" s="10"/>
      <c r="N143" s="11">
        <v>30.0</v>
      </c>
      <c r="O143" s="9">
        <v>750.0</v>
      </c>
      <c r="P143" s="9"/>
      <c r="Q143" s="10"/>
      <c r="R143" s="10"/>
      <c r="S143" s="17"/>
      <c r="T143" s="12"/>
      <c r="U143" s="10"/>
      <c r="V143" s="10"/>
      <c r="W143" s="10"/>
      <c r="X143" s="10"/>
      <c r="Y143" s="10"/>
    </row>
    <row r="144">
      <c r="A144" s="9" t="s">
        <v>440</v>
      </c>
      <c r="B144" s="9" t="s">
        <v>291</v>
      </c>
      <c r="C144" s="9">
        <v>1.0</v>
      </c>
      <c r="D144" s="9">
        <v>2019.0</v>
      </c>
      <c r="E144" s="9" t="s">
        <v>543</v>
      </c>
      <c r="F144" s="9" t="s">
        <v>544</v>
      </c>
      <c r="G144" s="9" t="s">
        <v>35</v>
      </c>
      <c r="H144" s="9" t="s">
        <v>311</v>
      </c>
      <c r="I144" s="9" t="s">
        <v>312</v>
      </c>
      <c r="J144" s="9" t="s">
        <v>318</v>
      </c>
      <c r="K144" s="9" t="s">
        <v>319</v>
      </c>
      <c r="L144" s="9" t="s">
        <v>545</v>
      </c>
      <c r="M144" s="10"/>
      <c r="N144" s="11">
        <v>92.0</v>
      </c>
      <c r="O144" s="9">
        <v>750.0</v>
      </c>
      <c r="P144" s="9"/>
      <c r="Q144" s="10"/>
      <c r="R144" s="10"/>
      <c r="S144" s="17"/>
      <c r="T144" s="12"/>
      <c r="U144" s="10"/>
      <c r="V144" s="10"/>
      <c r="W144" s="10"/>
      <c r="X144" s="10"/>
      <c r="Y144" s="10"/>
    </row>
    <row r="145">
      <c r="A145" s="9" t="s">
        <v>440</v>
      </c>
      <c r="B145" s="9" t="s">
        <v>291</v>
      </c>
      <c r="C145" s="9">
        <v>2.0</v>
      </c>
      <c r="D145" s="9">
        <v>2019.0</v>
      </c>
      <c r="E145" s="9" t="s">
        <v>543</v>
      </c>
      <c r="F145" s="9" t="s">
        <v>35</v>
      </c>
      <c r="G145" s="9" t="s">
        <v>35</v>
      </c>
      <c r="H145" s="9" t="s">
        <v>311</v>
      </c>
      <c r="I145" s="9" t="s">
        <v>312</v>
      </c>
      <c r="J145" s="9" t="s">
        <v>318</v>
      </c>
      <c r="K145" s="9" t="s">
        <v>319</v>
      </c>
      <c r="L145" s="9" t="s">
        <v>515</v>
      </c>
      <c r="M145" s="10"/>
      <c r="N145" s="11">
        <v>65.0</v>
      </c>
      <c r="O145" s="9">
        <v>750.0</v>
      </c>
      <c r="P145" s="9"/>
      <c r="Q145" s="9"/>
      <c r="R145" s="10"/>
      <c r="S145" s="23"/>
      <c r="T145" s="15"/>
      <c r="U145" s="10"/>
      <c r="V145" s="10"/>
      <c r="W145" s="10"/>
      <c r="X145" s="10"/>
      <c r="Y145" s="10"/>
    </row>
    <row r="146">
      <c r="A146" s="9" t="s">
        <v>440</v>
      </c>
      <c r="B146" s="9" t="s">
        <v>291</v>
      </c>
      <c r="C146" s="9">
        <v>1.0</v>
      </c>
      <c r="D146" s="9">
        <v>2018.0</v>
      </c>
      <c r="E146" s="9" t="s">
        <v>308</v>
      </c>
      <c r="F146" s="9" t="s">
        <v>546</v>
      </c>
      <c r="G146" s="9" t="s">
        <v>194</v>
      </c>
      <c r="H146" s="9" t="s">
        <v>311</v>
      </c>
      <c r="I146" s="9" t="s">
        <v>312</v>
      </c>
      <c r="J146" s="9" t="s">
        <v>318</v>
      </c>
      <c r="K146" s="9" t="s">
        <v>358</v>
      </c>
      <c r="L146" s="10"/>
      <c r="M146" s="10"/>
      <c r="N146" s="11">
        <v>45.0</v>
      </c>
      <c r="O146" s="9">
        <v>750.0</v>
      </c>
      <c r="P146" s="9"/>
      <c r="Q146" s="9"/>
      <c r="R146" s="10"/>
      <c r="S146" s="17"/>
      <c r="T146" s="12"/>
      <c r="U146" s="10"/>
      <c r="V146" s="10"/>
      <c r="W146" s="10"/>
      <c r="X146" s="10"/>
      <c r="Y146" s="10"/>
    </row>
    <row r="147">
      <c r="A147" s="9" t="s">
        <v>440</v>
      </c>
      <c r="B147" s="9" t="s">
        <v>291</v>
      </c>
      <c r="C147" s="9">
        <v>1.0</v>
      </c>
      <c r="D147" s="9">
        <v>2017.0</v>
      </c>
      <c r="E147" s="9" t="s">
        <v>547</v>
      </c>
      <c r="F147" s="9" t="s">
        <v>548</v>
      </c>
      <c r="G147" s="9" t="s">
        <v>549</v>
      </c>
      <c r="H147" s="9" t="s">
        <v>299</v>
      </c>
      <c r="I147" s="10"/>
      <c r="J147" s="9" t="s">
        <v>550</v>
      </c>
      <c r="K147" s="9" t="s">
        <v>551</v>
      </c>
      <c r="L147" s="24" t="s">
        <v>72</v>
      </c>
      <c r="M147" s="10"/>
      <c r="N147" s="11">
        <v>55.0</v>
      </c>
      <c r="O147" s="9">
        <v>750.0</v>
      </c>
      <c r="P147" s="9"/>
      <c r="Q147" s="10"/>
      <c r="R147" s="10"/>
      <c r="S147" s="17"/>
      <c r="T147" s="12"/>
      <c r="U147" s="10"/>
      <c r="V147" s="10"/>
      <c r="W147" s="10"/>
      <c r="X147" s="10"/>
      <c r="Y147" s="10"/>
    </row>
    <row r="148">
      <c r="A148" s="9" t="s">
        <v>440</v>
      </c>
      <c r="B148" s="9" t="s">
        <v>291</v>
      </c>
      <c r="C148" s="9">
        <v>1.0</v>
      </c>
      <c r="D148" s="9">
        <v>2018.0</v>
      </c>
      <c r="E148" s="9" t="s">
        <v>552</v>
      </c>
      <c r="F148" s="9" t="s">
        <v>553</v>
      </c>
      <c r="G148" s="9" t="s">
        <v>393</v>
      </c>
      <c r="H148" s="9" t="s">
        <v>311</v>
      </c>
      <c r="I148" s="9" t="s">
        <v>347</v>
      </c>
      <c r="J148" s="9" t="s">
        <v>348</v>
      </c>
      <c r="K148" s="9" t="s">
        <v>335</v>
      </c>
      <c r="L148" s="10"/>
      <c r="M148" s="10"/>
      <c r="N148" s="11">
        <v>58.0</v>
      </c>
      <c r="O148" s="9">
        <v>750.0</v>
      </c>
      <c r="P148" s="10"/>
      <c r="Q148" s="10"/>
      <c r="R148" s="10"/>
      <c r="S148" s="17"/>
      <c r="T148" s="12"/>
      <c r="U148" s="10"/>
      <c r="V148" s="10"/>
      <c r="W148" s="10"/>
      <c r="X148" s="10"/>
      <c r="Y148" s="10"/>
    </row>
    <row r="149">
      <c r="A149" s="9" t="s">
        <v>440</v>
      </c>
      <c r="B149" s="9" t="s">
        <v>132</v>
      </c>
      <c r="C149" s="9">
        <v>1.0</v>
      </c>
      <c r="D149" s="9">
        <v>2018.0</v>
      </c>
      <c r="E149" s="9" t="s">
        <v>554</v>
      </c>
      <c r="F149" s="9" t="s">
        <v>555</v>
      </c>
      <c r="G149" s="9" t="s">
        <v>39</v>
      </c>
      <c r="H149" s="9" t="s">
        <v>340</v>
      </c>
      <c r="I149" s="9" t="s">
        <v>312</v>
      </c>
      <c r="J149" s="9" t="s">
        <v>318</v>
      </c>
      <c r="K149" s="9" t="s">
        <v>405</v>
      </c>
      <c r="L149" s="9"/>
      <c r="M149" s="10"/>
      <c r="N149" s="11">
        <v>65.0</v>
      </c>
      <c r="O149" s="9">
        <v>750.0</v>
      </c>
      <c r="P149" s="9"/>
      <c r="Q149" s="9"/>
      <c r="R149" s="10"/>
      <c r="S149" s="17"/>
      <c r="T149" s="12"/>
      <c r="U149" s="10"/>
      <c r="V149" s="10"/>
      <c r="W149" s="10"/>
      <c r="X149" s="10"/>
      <c r="Y149" s="10"/>
    </row>
    <row r="150">
      <c r="A150" s="9" t="s">
        <v>440</v>
      </c>
      <c r="B150" s="9" t="s">
        <v>291</v>
      </c>
      <c r="C150" s="9">
        <v>1.0</v>
      </c>
      <c r="D150" s="9">
        <v>2018.0</v>
      </c>
      <c r="E150" s="9" t="s">
        <v>556</v>
      </c>
      <c r="F150" s="9" t="s">
        <v>194</v>
      </c>
      <c r="G150" s="9" t="s">
        <v>194</v>
      </c>
      <c r="H150" s="9" t="s">
        <v>311</v>
      </c>
      <c r="I150" s="9" t="s">
        <v>347</v>
      </c>
      <c r="J150" s="9" t="s">
        <v>318</v>
      </c>
      <c r="K150" s="9" t="s">
        <v>319</v>
      </c>
      <c r="L150" s="10"/>
      <c r="M150" s="9" t="s">
        <v>557</v>
      </c>
      <c r="N150" s="11">
        <v>70.0</v>
      </c>
      <c r="O150" s="9">
        <v>750.0</v>
      </c>
      <c r="P150" s="9"/>
      <c r="Q150" s="9"/>
      <c r="R150" s="10"/>
      <c r="S150" s="17"/>
      <c r="T150" s="12"/>
      <c r="U150" s="10"/>
      <c r="V150" s="10"/>
      <c r="W150" s="10"/>
      <c r="X150" s="10"/>
      <c r="Y150" s="10"/>
    </row>
    <row r="151" hidden="1">
      <c r="A151" s="7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hidden="1">
      <c r="A152" s="7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hidden="1">
      <c r="A153" s="7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hidden="1">
      <c r="A154" s="7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hidden="1">
      <c r="A155" s="7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hidden="1">
      <c r="A156" s="7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hidden="1">
      <c r="A157" s="7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hidden="1">
      <c r="A158" s="7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hidden="1">
      <c r="A159" s="7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hidden="1">
      <c r="A160" s="7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hidden="1">
      <c r="A161" s="7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hidden="1">
      <c r="A162" s="7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hidden="1">
      <c r="A163" s="7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hidden="1">
      <c r="A164" s="7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hidden="1">
      <c r="A165" s="7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hidden="1">
      <c r="A166" s="7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hidden="1">
      <c r="A167" s="7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hidden="1">
      <c r="A168" s="7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hidden="1">
      <c r="A169" s="7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hidden="1">
      <c r="A170" s="7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hidden="1">
      <c r="A171" s="7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hidden="1">
      <c r="A172" s="7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hidden="1">
      <c r="A173" s="7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hidden="1">
      <c r="A174" s="7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hidden="1">
      <c r="A175" s="7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hidden="1">
      <c r="A176" s="7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hidden="1">
      <c r="A177" s="7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hidden="1">
      <c r="A178" s="7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hidden="1">
      <c r="A179" s="7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hidden="1">
      <c r="A180" s="7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hidden="1">
      <c r="A181" s="7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hidden="1">
      <c r="A182" s="7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hidden="1">
      <c r="A183" s="7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hidden="1">
      <c r="A184" s="7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hidden="1">
      <c r="A185" s="7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hidden="1">
      <c r="A186" s="7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hidden="1">
      <c r="A187" s="7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hidden="1">
      <c r="A188" s="7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hidden="1">
      <c r="A189" s="7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hidden="1">
      <c r="A190" s="7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hidden="1">
      <c r="A191" s="7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hidden="1">
      <c r="A192" s="7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hidden="1">
      <c r="A193" s="7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hidden="1">
      <c r="A194" s="7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hidden="1">
      <c r="A195" s="7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hidden="1">
      <c r="A196" s="7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hidden="1">
      <c r="A197" s="7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hidden="1">
      <c r="A198" s="7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hidden="1">
      <c r="A199" s="7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hidden="1">
      <c r="A200" s="7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hidden="1">
      <c r="A201" s="7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hidden="1">
      <c r="A202" s="7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hidden="1">
      <c r="A203" s="7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hidden="1">
      <c r="A204" s="7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hidden="1">
      <c r="A205" s="7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hidden="1">
      <c r="A206" s="7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hidden="1">
      <c r="A207" s="7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hidden="1">
      <c r="A208" s="7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hidden="1">
      <c r="A209" s="7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hidden="1">
      <c r="A210" s="7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hidden="1">
      <c r="A211" s="7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hidden="1">
      <c r="A212" s="7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hidden="1">
      <c r="A213" s="7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hidden="1">
      <c r="A214" s="7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hidden="1">
      <c r="A215" s="7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hidden="1">
      <c r="A216" s="7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hidden="1">
      <c r="A217" s="7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hidden="1">
      <c r="A218" s="7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hidden="1">
      <c r="A219" s="7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hidden="1">
      <c r="A220" s="7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hidden="1">
      <c r="A221" s="7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hidden="1">
      <c r="A222" s="7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hidden="1">
      <c r="A223" s="7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hidden="1">
      <c r="A224" s="7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hidden="1">
      <c r="A225" s="7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hidden="1">
      <c r="A226" s="7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hidden="1">
      <c r="A227" s="7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hidden="1">
      <c r="A228" s="7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hidden="1">
      <c r="A229" s="7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hidden="1">
      <c r="A230" s="7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hidden="1">
      <c r="A231" s="7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hidden="1">
      <c r="A232" s="7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hidden="1">
      <c r="A233" s="7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hidden="1">
      <c r="A234" s="7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hidden="1">
      <c r="A235" s="7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hidden="1">
      <c r="A236" s="7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hidden="1">
      <c r="A237" s="7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hidden="1">
      <c r="A238" s="7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hidden="1">
      <c r="A239" s="7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hidden="1">
      <c r="A240" s="7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hidden="1">
      <c r="A241" s="7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hidden="1">
      <c r="A242" s="7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hidden="1">
      <c r="A243" s="7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hidden="1">
      <c r="A244" s="7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hidden="1">
      <c r="A245" s="7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hidden="1">
      <c r="A246" s="7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hidden="1">
      <c r="A247" s="7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hidden="1">
      <c r="A248" s="7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hidden="1">
      <c r="A249" s="7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hidden="1">
      <c r="A250" s="7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hidden="1">
      <c r="A251" s="7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hidden="1">
      <c r="A252" s="7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hidden="1">
      <c r="A253" s="7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hidden="1">
      <c r="A254" s="7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hidden="1">
      <c r="A255" s="7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hidden="1">
      <c r="A256" s="7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hidden="1">
      <c r="A257" s="7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hidden="1">
      <c r="A258" s="7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hidden="1">
      <c r="A259" s="7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hidden="1">
      <c r="A260" s="7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hidden="1">
      <c r="A261" s="7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hidden="1">
      <c r="A262" s="7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hidden="1">
      <c r="A263" s="7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hidden="1">
      <c r="A264" s="7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hidden="1">
      <c r="A265" s="7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hidden="1">
      <c r="A266" s="7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hidden="1">
      <c r="A267" s="7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hidden="1">
      <c r="A268" s="7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hidden="1">
      <c r="A269" s="7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hidden="1">
      <c r="A270" s="7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hidden="1">
      <c r="A271" s="7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hidden="1">
      <c r="A272" s="7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hidden="1">
      <c r="A273" s="7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hidden="1">
      <c r="A274" s="7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hidden="1">
      <c r="A275" s="7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hidden="1">
      <c r="A276" s="7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hidden="1">
      <c r="A277" s="7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hidden="1">
      <c r="A278" s="7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hidden="1">
      <c r="A279" s="7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hidden="1">
      <c r="A280" s="7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hidden="1">
      <c r="A281" s="7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hidden="1">
      <c r="A282" s="7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hidden="1">
      <c r="A283" s="7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hidden="1">
      <c r="A284" s="7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hidden="1">
      <c r="A285" s="7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hidden="1">
      <c r="A286" s="7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hidden="1">
      <c r="A287" s="7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hidden="1">
      <c r="A288" s="7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hidden="1">
      <c r="A289" s="7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hidden="1">
      <c r="A290" s="7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hidden="1">
      <c r="A291" s="7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hidden="1">
      <c r="A292" s="7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hidden="1">
      <c r="A293" s="7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hidden="1">
      <c r="A294" s="7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hidden="1">
      <c r="A295" s="7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hidden="1">
      <c r="A296" s="7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hidden="1">
      <c r="A297" s="7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hidden="1">
      <c r="A298" s="7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hidden="1">
      <c r="A299" s="7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hidden="1">
      <c r="A300" s="7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hidden="1">
      <c r="A301" s="7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hidden="1">
      <c r="A302" s="7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hidden="1">
      <c r="A303" s="7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hidden="1">
      <c r="A304" s="7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hidden="1">
      <c r="A305" s="7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hidden="1">
      <c r="A306" s="7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hidden="1">
      <c r="A307" s="7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hidden="1">
      <c r="A308" s="7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hidden="1">
      <c r="A309" s="7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hidden="1">
      <c r="A310" s="7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hidden="1">
      <c r="A311" s="7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hidden="1">
      <c r="A312" s="7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hidden="1">
      <c r="A313" s="7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hidden="1">
      <c r="A314" s="7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hidden="1">
      <c r="A315" s="7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hidden="1">
      <c r="A316" s="7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hidden="1">
      <c r="A317" s="7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hidden="1">
      <c r="A318" s="7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hidden="1">
      <c r="A319" s="7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hidden="1">
      <c r="A320" s="7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hidden="1">
      <c r="A321" s="7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hidden="1">
      <c r="A322" s="7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hidden="1">
      <c r="A323" s="7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hidden="1">
      <c r="A324" s="7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hidden="1">
      <c r="A325" s="7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hidden="1">
      <c r="A326" s="7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hidden="1">
      <c r="A327" s="7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hidden="1">
      <c r="A328" s="7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hidden="1">
      <c r="A329" s="7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hidden="1">
      <c r="A330" s="7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hidden="1">
      <c r="A331" s="7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hidden="1">
      <c r="A332" s="7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hidden="1">
      <c r="A333" s="7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hidden="1">
      <c r="A334" s="7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hidden="1">
      <c r="A335" s="7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hidden="1">
      <c r="A336" s="7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hidden="1">
      <c r="A337" s="7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hidden="1">
      <c r="A338" s="7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hidden="1">
      <c r="A339" s="7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hidden="1">
      <c r="A340" s="7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hidden="1">
      <c r="A341" s="7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hidden="1">
      <c r="A342" s="7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hidden="1">
      <c r="A343" s="7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hidden="1">
      <c r="A344" s="7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hidden="1">
      <c r="A345" s="7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hidden="1">
      <c r="A346" s="7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hidden="1">
      <c r="A347" s="7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hidden="1">
      <c r="A348" s="7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hidden="1">
      <c r="A349" s="7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hidden="1">
      <c r="A350" s="7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hidden="1">
      <c r="A351" s="7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hidden="1">
      <c r="A352" s="7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hidden="1">
      <c r="A353" s="7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hidden="1">
      <c r="A354" s="7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hidden="1">
      <c r="A355" s="7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hidden="1">
      <c r="A356" s="7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hidden="1">
      <c r="A357" s="7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hidden="1">
      <c r="A358" s="7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hidden="1">
      <c r="A359" s="7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hidden="1">
      <c r="A360" s="7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hidden="1">
      <c r="A361" s="7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hidden="1">
      <c r="A362" s="7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hidden="1">
      <c r="A363" s="7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hidden="1">
      <c r="A364" s="7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hidden="1">
      <c r="A365" s="7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hidden="1">
      <c r="A366" s="7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hidden="1">
      <c r="A367" s="7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hidden="1">
      <c r="A368" s="7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hidden="1">
      <c r="A369" s="7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hidden="1">
      <c r="A370" s="7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hidden="1">
      <c r="A371" s="7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hidden="1">
      <c r="A372" s="7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hidden="1">
      <c r="A373" s="7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hidden="1">
      <c r="A374" s="7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hidden="1">
      <c r="A375" s="7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hidden="1">
      <c r="A376" s="7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hidden="1">
      <c r="A377" s="7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hidden="1">
      <c r="A378" s="7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hidden="1">
      <c r="A379" s="7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hidden="1">
      <c r="A380" s="7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hidden="1">
      <c r="A381" s="7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hidden="1">
      <c r="A382" s="7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hidden="1">
      <c r="A383" s="7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hidden="1">
      <c r="A384" s="7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hidden="1">
      <c r="A385" s="7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hidden="1">
      <c r="A386" s="7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hidden="1">
      <c r="A387" s="7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hidden="1">
      <c r="A388" s="7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hidden="1">
      <c r="A389" s="7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hidden="1">
      <c r="A390" s="7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hidden="1">
      <c r="A391" s="7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hidden="1">
      <c r="A392" s="7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hidden="1">
      <c r="A393" s="7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hidden="1">
      <c r="A394" s="7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hidden="1">
      <c r="A395" s="7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hidden="1">
      <c r="A396" s="7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hidden="1">
      <c r="A397" s="7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hidden="1">
      <c r="A398" s="7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hidden="1">
      <c r="A399" s="7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hidden="1">
      <c r="A400" s="7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hidden="1">
      <c r="A401" s="7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hidden="1">
      <c r="A402" s="7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hidden="1">
      <c r="A403" s="7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hidden="1">
      <c r="A404" s="7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hidden="1">
      <c r="A405" s="7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hidden="1">
      <c r="A406" s="7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hidden="1">
      <c r="A407" s="7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hidden="1">
      <c r="A408" s="7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hidden="1">
      <c r="A409" s="7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hidden="1">
      <c r="A410" s="7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hidden="1">
      <c r="A411" s="7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hidden="1">
      <c r="A412" s="7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hidden="1">
      <c r="A413" s="7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hidden="1">
      <c r="A414" s="7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hidden="1">
      <c r="A415" s="7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hidden="1">
      <c r="A416" s="7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hidden="1">
      <c r="A417" s="7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hidden="1">
      <c r="A418" s="7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hidden="1">
      <c r="A419" s="7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hidden="1">
      <c r="A420" s="7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hidden="1">
      <c r="A421" s="7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hidden="1">
      <c r="A422" s="7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hidden="1">
      <c r="A423" s="7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hidden="1">
      <c r="A424" s="7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hidden="1">
      <c r="A425" s="7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hidden="1">
      <c r="A426" s="7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hidden="1">
      <c r="A427" s="7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hidden="1">
      <c r="A428" s="7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hidden="1">
      <c r="A429" s="7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hidden="1">
      <c r="A430" s="7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hidden="1">
      <c r="A431" s="7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hidden="1">
      <c r="A432" s="7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hidden="1">
      <c r="A433" s="7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hidden="1">
      <c r="A434" s="7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hidden="1">
      <c r="A435" s="7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hidden="1">
      <c r="A436" s="7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hidden="1">
      <c r="A437" s="7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hidden="1">
      <c r="A438" s="7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hidden="1">
      <c r="A439" s="7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hidden="1">
      <c r="A440" s="7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hidden="1">
      <c r="A441" s="7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hidden="1">
      <c r="A442" s="7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hidden="1">
      <c r="A443" s="7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hidden="1">
      <c r="A444" s="7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hidden="1">
      <c r="A445" s="7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hidden="1">
      <c r="A446" s="7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hidden="1">
      <c r="A447" s="7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hidden="1">
      <c r="A448" s="7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hidden="1">
      <c r="A449" s="7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hidden="1">
      <c r="A450" s="7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hidden="1">
      <c r="A451" s="7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hidden="1">
      <c r="A452" s="7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hidden="1">
      <c r="A453" s="7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hidden="1">
      <c r="A454" s="7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hidden="1">
      <c r="A455" s="7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hidden="1">
      <c r="A456" s="7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hidden="1">
      <c r="A457" s="7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hidden="1">
      <c r="A458" s="7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hidden="1">
      <c r="A459" s="7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hidden="1">
      <c r="A460" s="7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hidden="1">
      <c r="A461" s="7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hidden="1">
      <c r="A462" s="7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hidden="1">
      <c r="A463" s="7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hidden="1">
      <c r="A464" s="7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hidden="1">
      <c r="A465" s="7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hidden="1">
      <c r="A466" s="7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hidden="1">
      <c r="A467" s="7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hidden="1">
      <c r="A468" s="7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hidden="1">
      <c r="A469" s="7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hidden="1">
      <c r="A470" s="7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hidden="1">
      <c r="A471" s="7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hidden="1">
      <c r="A472" s="7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hidden="1">
      <c r="A473" s="7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hidden="1">
      <c r="A474" s="7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hidden="1">
      <c r="A475" s="7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hidden="1">
      <c r="A476" s="7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hidden="1">
      <c r="A477" s="7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hidden="1">
      <c r="A478" s="7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hidden="1">
      <c r="A479" s="7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hidden="1">
      <c r="A480" s="7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hidden="1">
      <c r="A481" s="7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hidden="1">
      <c r="A482" s="7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hidden="1">
      <c r="A483" s="7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hidden="1">
      <c r="A484" s="7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hidden="1">
      <c r="A485" s="7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hidden="1">
      <c r="A486" s="7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hidden="1">
      <c r="A487" s="7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hidden="1">
      <c r="A488" s="7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hidden="1">
      <c r="A489" s="7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hidden="1">
      <c r="A490" s="7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hidden="1">
      <c r="A491" s="7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hidden="1">
      <c r="A492" s="7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hidden="1">
      <c r="A493" s="7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hidden="1">
      <c r="A494" s="7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hidden="1">
      <c r="A495" s="7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hidden="1">
      <c r="A496" s="7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hidden="1">
      <c r="A497" s="7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hidden="1">
      <c r="A498" s="7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hidden="1">
      <c r="A499" s="7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hidden="1">
      <c r="A500" s="7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hidden="1">
      <c r="A501" s="7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hidden="1">
      <c r="A502" s="7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hidden="1">
      <c r="A503" s="7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hidden="1">
      <c r="A504" s="7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hidden="1">
      <c r="A505" s="7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hidden="1">
      <c r="A506" s="7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hidden="1">
      <c r="A507" s="7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hidden="1">
      <c r="A508" s="7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hidden="1">
      <c r="A509" s="7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hidden="1">
      <c r="A510" s="7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hidden="1">
      <c r="A511" s="7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hidden="1">
      <c r="A512" s="7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hidden="1">
      <c r="A513" s="7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hidden="1">
      <c r="A514" s="7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hidden="1">
      <c r="A515" s="7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hidden="1">
      <c r="A516" s="7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hidden="1">
      <c r="A517" s="7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hidden="1">
      <c r="A518" s="7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hidden="1">
      <c r="A519" s="7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hidden="1">
      <c r="A520" s="7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hidden="1">
      <c r="A521" s="7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hidden="1">
      <c r="A522" s="7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hidden="1">
      <c r="A523" s="7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hidden="1">
      <c r="A524" s="7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hidden="1">
      <c r="A525" s="7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hidden="1">
      <c r="A526" s="7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hidden="1">
      <c r="A527" s="7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hidden="1">
      <c r="A528" s="7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hidden="1">
      <c r="A529" s="7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hidden="1">
      <c r="A530" s="7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hidden="1">
      <c r="A531" s="7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hidden="1">
      <c r="A532" s="7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hidden="1">
      <c r="A533" s="7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hidden="1">
      <c r="A534" s="7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hidden="1">
      <c r="A535" s="7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hidden="1">
      <c r="A536" s="7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hidden="1">
      <c r="A537" s="7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hidden="1">
      <c r="A538" s="7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hidden="1">
      <c r="A539" s="7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hidden="1">
      <c r="A540" s="7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hidden="1">
      <c r="A541" s="7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hidden="1">
      <c r="A542" s="7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hidden="1">
      <c r="A543" s="7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hidden="1">
      <c r="A544" s="7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hidden="1">
      <c r="A545" s="7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hidden="1">
      <c r="A546" s="7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hidden="1">
      <c r="A547" s="7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hidden="1">
      <c r="A548" s="7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hidden="1">
      <c r="A549" s="7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hidden="1">
      <c r="A550" s="7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hidden="1">
      <c r="A551" s="7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hidden="1">
      <c r="A552" s="7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hidden="1">
      <c r="A553" s="7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hidden="1">
      <c r="A554" s="7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hidden="1">
      <c r="A555" s="7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hidden="1">
      <c r="A556" s="7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hidden="1">
      <c r="A557" s="7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hidden="1">
      <c r="A558" s="7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hidden="1">
      <c r="A559" s="7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hidden="1">
      <c r="A560" s="7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hidden="1">
      <c r="A561" s="7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hidden="1">
      <c r="A562" s="7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hidden="1">
      <c r="A563" s="7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hidden="1">
      <c r="A564" s="7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hidden="1">
      <c r="A565" s="7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hidden="1">
      <c r="A566" s="7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hidden="1">
      <c r="A567" s="7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hidden="1">
      <c r="A568" s="7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hidden="1">
      <c r="A569" s="7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hidden="1">
      <c r="A570" s="7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hidden="1">
      <c r="A571" s="7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hidden="1">
      <c r="A572" s="7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hidden="1">
      <c r="A573" s="7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hidden="1">
      <c r="A574" s="7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hidden="1">
      <c r="A575" s="7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hidden="1">
      <c r="A576" s="7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hidden="1">
      <c r="A577" s="7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hidden="1">
      <c r="A578" s="7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hidden="1">
      <c r="A579" s="7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hidden="1">
      <c r="A580" s="7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hidden="1">
      <c r="A581" s="7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hidden="1">
      <c r="A582" s="7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hidden="1">
      <c r="A583" s="7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hidden="1">
      <c r="A584" s="7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hidden="1">
      <c r="A585" s="7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hidden="1">
      <c r="A586" s="7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hidden="1">
      <c r="A587" s="7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hidden="1">
      <c r="A588" s="7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hidden="1">
      <c r="A589" s="7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hidden="1">
      <c r="A590" s="7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hidden="1">
      <c r="A591" s="7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hidden="1">
      <c r="A592" s="7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hidden="1">
      <c r="A593" s="7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hidden="1">
      <c r="A594" s="7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hidden="1">
      <c r="A595" s="7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hidden="1">
      <c r="A596" s="7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hidden="1">
      <c r="A597" s="7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hidden="1">
      <c r="A598" s="7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hidden="1">
      <c r="A599" s="7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hidden="1">
      <c r="A600" s="7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hidden="1">
      <c r="A601" s="7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hidden="1">
      <c r="A602" s="7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hidden="1">
      <c r="A603" s="7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hidden="1">
      <c r="A604" s="7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hidden="1">
      <c r="A605" s="7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hidden="1">
      <c r="A606" s="7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hidden="1">
      <c r="A607" s="7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hidden="1">
      <c r="A608" s="7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hidden="1">
      <c r="A609" s="7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hidden="1">
      <c r="A610" s="7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hidden="1">
      <c r="A611" s="7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hidden="1">
      <c r="A612" s="7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hidden="1">
      <c r="A613" s="7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hidden="1">
      <c r="A614" s="7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hidden="1">
      <c r="A615" s="7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hidden="1">
      <c r="A616" s="7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hidden="1">
      <c r="A617" s="7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hidden="1">
      <c r="A618" s="7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hidden="1">
      <c r="A619" s="7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hidden="1">
      <c r="A620" s="7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hidden="1">
      <c r="A621" s="7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hidden="1">
      <c r="A622" s="7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hidden="1">
      <c r="A623" s="7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hidden="1">
      <c r="A624" s="7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hidden="1">
      <c r="A625" s="7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hidden="1">
      <c r="A626" s="7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hidden="1">
      <c r="A627" s="7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hidden="1">
      <c r="A628" s="7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hidden="1">
      <c r="A629" s="7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hidden="1">
      <c r="A630" s="7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hidden="1">
      <c r="A631" s="7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hidden="1">
      <c r="A632" s="7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hidden="1">
      <c r="A633" s="7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hidden="1">
      <c r="A634" s="7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hidden="1">
      <c r="A635" s="7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hidden="1">
      <c r="A636" s="7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hidden="1">
      <c r="A637" s="7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hidden="1">
      <c r="A638" s="7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hidden="1">
      <c r="A639" s="7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hidden="1">
      <c r="A640" s="7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hidden="1">
      <c r="A641" s="7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hidden="1">
      <c r="A642" s="7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hidden="1">
      <c r="A643" s="7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hidden="1">
      <c r="A644" s="7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hidden="1">
      <c r="A645" s="7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hidden="1">
      <c r="A646" s="7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hidden="1">
      <c r="A647" s="7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hidden="1">
      <c r="A648" s="7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hidden="1">
      <c r="A649" s="7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hidden="1">
      <c r="A650" s="7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hidden="1">
      <c r="A651" s="7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hidden="1">
      <c r="A652" s="7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hidden="1">
      <c r="A653" s="7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hidden="1">
      <c r="A654" s="7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hidden="1">
      <c r="A655" s="7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hidden="1">
      <c r="A656" s="7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hidden="1">
      <c r="A657" s="7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hidden="1">
      <c r="A658" s="7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hidden="1">
      <c r="A659" s="7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hidden="1">
      <c r="A660" s="7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hidden="1">
      <c r="A661" s="7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hidden="1">
      <c r="A662" s="7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hidden="1">
      <c r="A663" s="7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hidden="1">
      <c r="A664" s="7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hidden="1">
      <c r="A665" s="7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hidden="1">
      <c r="A666" s="7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hidden="1">
      <c r="A667" s="7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hidden="1">
      <c r="A668" s="7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hidden="1">
      <c r="A669" s="7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hidden="1">
      <c r="A670" s="7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hidden="1">
      <c r="A671" s="7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hidden="1">
      <c r="A672" s="7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hidden="1">
      <c r="A673" s="7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hidden="1">
      <c r="A674" s="7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hidden="1">
      <c r="A675" s="7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hidden="1">
      <c r="A676" s="7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hidden="1">
      <c r="A677" s="7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hidden="1">
      <c r="A678" s="7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hidden="1">
      <c r="A679" s="7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hidden="1">
      <c r="A680" s="7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hidden="1">
      <c r="A681" s="7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hidden="1">
      <c r="A682" s="7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hidden="1">
      <c r="A683" s="7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hidden="1">
      <c r="A684" s="7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hidden="1">
      <c r="A685" s="7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hidden="1">
      <c r="A686" s="7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hidden="1">
      <c r="A687" s="7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hidden="1">
      <c r="A688" s="7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hidden="1">
      <c r="A689" s="7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hidden="1">
      <c r="A690" s="7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hidden="1">
      <c r="A691" s="7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hidden="1">
      <c r="A692" s="7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hidden="1">
      <c r="A693" s="7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hidden="1">
      <c r="A694" s="7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hidden="1">
      <c r="A695" s="7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hidden="1">
      <c r="A696" s="7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hidden="1">
      <c r="A697" s="7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hidden="1">
      <c r="A698" s="7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hidden="1">
      <c r="A699" s="7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hidden="1">
      <c r="A700" s="7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hidden="1">
      <c r="A701" s="7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hidden="1">
      <c r="A702" s="7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hidden="1">
      <c r="A703" s="7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hidden="1">
      <c r="A704" s="7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hidden="1">
      <c r="A705" s="7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hidden="1">
      <c r="A706" s="7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hidden="1">
      <c r="A707" s="7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hidden="1">
      <c r="A708" s="7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hidden="1">
      <c r="A709" s="7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hidden="1">
      <c r="A710" s="7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hidden="1">
      <c r="A711" s="7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hidden="1">
      <c r="A712" s="7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hidden="1">
      <c r="A713" s="7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hidden="1">
      <c r="A714" s="7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hidden="1">
      <c r="A715" s="7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hidden="1">
      <c r="A716" s="7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hidden="1">
      <c r="A717" s="7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hidden="1">
      <c r="A718" s="7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hidden="1">
      <c r="A719" s="7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hidden="1">
      <c r="A720" s="7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hidden="1">
      <c r="A721" s="7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hidden="1">
      <c r="A722" s="7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hidden="1">
      <c r="A723" s="7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hidden="1">
      <c r="A724" s="7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hidden="1">
      <c r="A725" s="7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hidden="1">
      <c r="A726" s="7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hidden="1">
      <c r="A727" s="7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hidden="1">
      <c r="A728" s="7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hidden="1">
      <c r="A729" s="7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hidden="1">
      <c r="A730" s="7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hidden="1">
      <c r="A731" s="7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hidden="1">
      <c r="A732" s="7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hidden="1">
      <c r="A733" s="7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hidden="1">
      <c r="A734" s="7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hidden="1">
      <c r="A735" s="7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hidden="1">
      <c r="A736" s="7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hidden="1">
      <c r="A737" s="7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hidden="1">
      <c r="A738" s="7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hidden="1">
      <c r="A739" s="7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hidden="1">
      <c r="A740" s="7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hidden="1">
      <c r="A741" s="7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hidden="1">
      <c r="A742" s="7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hidden="1">
      <c r="A743" s="7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hidden="1">
      <c r="A744" s="7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hidden="1">
      <c r="A745" s="7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hidden="1">
      <c r="A746" s="7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hidden="1">
      <c r="A747" s="7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hidden="1">
      <c r="A748" s="7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hidden="1">
      <c r="A749" s="7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hidden="1">
      <c r="A750" s="7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hidden="1">
      <c r="A751" s="7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hidden="1">
      <c r="A752" s="7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hidden="1">
      <c r="A753" s="7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hidden="1">
      <c r="A754" s="7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hidden="1">
      <c r="A755" s="7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hidden="1">
      <c r="A756" s="7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hidden="1">
      <c r="A757" s="7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hidden="1">
      <c r="A758" s="7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hidden="1">
      <c r="A759" s="7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hidden="1">
      <c r="A760" s="7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hidden="1">
      <c r="A761" s="7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hidden="1">
      <c r="A762" s="7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hidden="1">
      <c r="A763" s="7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hidden="1">
      <c r="A764" s="7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hidden="1">
      <c r="A765" s="7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hidden="1">
      <c r="A766" s="7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hidden="1">
      <c r="A767" s="7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hidden="1">
      <c r="A768" s="7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hidden="1">
      <c r="A769" s="7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hidden="1">
      <c r="A770" s="7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hidden="1">
      <c r="A771" s="7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hidden="1">
      <c r="A772" s="7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hidden="1">
      <c r="A773" s="7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hidden="1">
      <c r="A774" s="7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hidden="1">
      <c r="A775" s="7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hidden="1">
      <c r="A776" s="7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hidden="1">
      <c r="A777" s="7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hidden="1">
      <c r="A778" s="7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hidden="1">
      <c r="A779" s="7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hidden="1">
      <c r="A780" s="7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hidden="1">
      <c r="A781" s="7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hidden="1">
      <c r="A782" s="7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hidden="1">
      <c r="A783" s="7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hidden="1">
      <c r="A784" s="7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hidden="1">
      <c r="A785" s="7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hidden="1">
      <c r="A786" s="7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hidden="1">
      <c r="A787" s="7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hidden="1">
      <c r="A788" s="7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hidden="1">
      <c r="A789" s="7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hidden="1">
      <c r="A790" s="7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hidden="1">
      <c r="A791" s="7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hidden="1">
      <c r="A792" s="7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hidden="1">
      <c r="A793" s="7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hidden="1">
      <c r="A794" s="7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hidden="1">
      <c r="A795" s="7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hidden="1">
      <c r="A796" s="7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hidden="1">
      <c r="A797" s="7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hidden="1">
      <c r="A798" s="7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hidden="1">
      <c r="A799" s="7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hidden="1">
      <c r="A800" s="7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hidden="1">
      <c r="A801" s="7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hidden="1">
      <c r="A802" s="7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hidden="1">
      <c r="A803" s="7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hidden="1">
      <c r="A804" s="7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hidden="1">
      <c r="A805" s="7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hidden="1">
      <c r="A806" s="7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hidden="1">
      <c r="A807" s="7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hidden="1">
      <c r="A808" s="7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hidden="1">
      <c r="A809" s="7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hidden="1">
      <c r="A810" s="7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hidden="1">
      <c r="A811" s="7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hidden="1">
      <c r="A812" s="7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hidden="1">
      <c r="A813" s="7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hidden="1">
      <c r="A814" s="7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hidden="1">
      <c r="A815" s="7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hidden="1">
      <c r="A816" s="7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hidden="1">
      <c r="A817" s="7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hidden="1">
      <c r="A818" s="7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hidden="1">
      <c r="A819" s="7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hidden="1">
      <c r="A820" s="7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hidden="1">
      <c r="A821" s="7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hidden="1">
      <c r="A822" s="7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hidden="1">
      <c r="A823" s="7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hidden="1">
      <c r="A824" s="7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hidden="1">
      <c r="A825" s="7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hidden="1">
      <c r="A826" s="7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hidden="1">
      <c r="A827" s="7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hidden="1">
      <c r="A828" s="7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hidden="1">
      <c r="A829" s="7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hidden="1">
      <c r="A830" s="7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hidden="1">
      <c r="A831" s="7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hidden="1">
      <c r="A832" s="7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hidden="1">
      <c r="A833" s="7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hidden="1">
      <c r="A834" s="7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hidden="1">
      <c r="A835" s="7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hidden="1">
      <c r="A836" s="7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hidden="1">
      <c r="A837" s="7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hidden="1">
      <c r="A838" s="7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hidden="1">
      <c r="A839" s="7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hidden="1">
      <c r="A840" s="7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hidden="1">
      <c r="A841" s="7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hidden="1">
      <c r="A842" s="7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hidden="1">
      <c r="A843" s="7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hidden="1">
      <c r="A844" s="7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hidden="1">
      <c r="A845" s="7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hidden="1">
      <c r="A846" s="7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hidden="1">
      <c r="A847" s="7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hidden="1">
      <c r="A848" s="7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hidden="1">
      <c r="A849" s="7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hidden="1">
      <c r="A850" s="7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hidden="1">
      <c r="A851" s="7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hidden="1">
      <c r="A852" s="7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hidden="1">
      <c r="A853" s="7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hidden="1">
      <c r="A854" s="7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hidden="1">
      <c r="A855" s="7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hidden="1">
      <c r="A856" s="7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hidden="1">
      <c r="A857" s="7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hidden="1">
      <c r="A858" s="7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hidden="1">
      <c r="A859" s="7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hidden="1">
      <c r="A860" s="7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hidden="1">
      <c r="A861" s="7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hidden="1">
      <c r="A862" s="7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hidden="1">
      <c r="A863" s="7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hidden="1">
      <c r="A864" s="7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hidden="1">
      <c r="A865" s="7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hidden="1">
      <c r="A866" s="7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hidden="1">
      <c r="A867" s="7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hidden="1">
      <c r="A868" s="7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hidden="1">
      <c r="A869" s="7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hidden="1">
      <c r="A870" s="7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hidden="1">
      <c r="A871" s="7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hidden="1">
      <c r="A872" s="7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hidden="1">
      <c r="A873" s="7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hidden="1">
      <c r="A874" s="7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hidden="1">
      <c r="A875" s="7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hidden="1">
      <c r="A876" s="7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hidden="1">
      <c r="A877" s="7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hidden="1">
      <c r="A878" s="7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hidden="1">
      <c r="A879" s="7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hidden="1">
      <c r="A880" s="7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hidden="1">
      <c r="A881" s="7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hidden="1">
      <c r="A882" s="7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hidden="1">
      <c r="A883" s="7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hidden="1">
      <c r="A884" s="7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hidden="1">
      <c r="A885" s="7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hidden="1">
      <c r="A886" s="7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hidden="1">
      <c r="A887" s="7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hidden="1">
      <c r="A888" s="7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hidden="1">
      <c r="A889" s="7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hidden="1">
      <c r="A890" s="7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hidden="1">
      <c r="A891" s="7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hidden="1">
      <c r="A892" s="7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hidden="1">
      <c r="A893" s="7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hidden="1">
      <c r="A894" s="7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hidden="1">
      <c r="A895" s="7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hidden="1">
      <c r="A896" s="7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hidden="1">
      <c r="A897" s="7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hidden="1">
      <c r="A898" s="7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hidden="1">
      <c r="A899" s="7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hidden="1">
      <c r="A900" s="7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hidden="1">
      <c r="A901" s="7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hidden="1">
      <c r="A902" s="7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hidden="1">
      <c r="A903" s="7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hidden="1">
      <c r="A904" s="7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hidden="1">
      <c r="A905" s="7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hidden="1">
      <c r="A906" s="7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hidden="1">
      <c r="A907" s="7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hidden="1">
      <c r="A908" s="7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hidden="1">
      <c r="A909" s="7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hidden="1">
      <c r="A910" s="7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hidden="1">
      <c r="A911" s="7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hidden="1">
      <c r="A912" s="7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hidden="1">
      <c r="A913" s="7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hidden="1">
      <c r="A914" s="7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hidden="1">
      <c r="A915" s="7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hidden="1">
      <c r="A916" s="7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hidden="1">
      <c r="A917" s="7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hidden="1">
      <c r="A918" s="7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hidden="1">
      <c r="A919" s="7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hidden="1">
      <c r="A920" s="7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hidden="1">
      <c r="A921" s="7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hidden="1">
      <c r="A922" s="7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hidden="1">
      <c r="A923" s="7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hidden="1">
      <c r="A924" s="7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hidden="1">
      <c r="A925" s="7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hidden="1">
      <c r="A926" s="7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hidden="1">
      <c r="A927" s="7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hidden="1">
      <c r="A928" s="7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hidden="1">
      <c r="A929" s="7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hidden="1">
      <c r="A930" s="7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hidden="1">
      <c r="A931" s="7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hidden="1">
      <c r="A932" s="7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hidden="1">
      <c r="A933" s="7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hidden="1">
      <c r="A934" s="7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hidden="1">
      <c r="A935" s="7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hidden="1">
      <c r="A936" s="7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hidden="1">
      <c r="A937" s="7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hidden="1">
      <c r="A938" s="7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hidden="1">
      <c r="A939" s="7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hidden="1">
      <c r="A940" s="7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hidden="1">
      <c r="A941" s="7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hidden="1">
      <c r="A942" s="7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hidden="1">
      <c r="A943" s="7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hidden="1">
      <c r="A944" s="7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hidden="1">
      <c r="A945" s="7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hidden="1">
      <c r="A946" s="7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hidden="1">
      <c r="A947" s="7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hidden="1">
      <c r="A948" s="7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hidden="1">
      <c r="A949" s="7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hidden="1">
      <c r="A950" s="7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hidden="1">
      <c r="A951" s="7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hidden="1">
      <c r="A952" s="7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hidden="1">
      <c r="A953" s="7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hidden="1">
      <c r="A954" s="7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hidden="1">
      <c r="A955" s="7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hidden="1">
      <c r="A956" s="7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hidden="1">
      <c r="A957" s="7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hidden="1">
      <c r="A958" s="7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hidden="1">
      <c r="A959" s="7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hidden="1">
      <c r="A960" s="7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hidden="1">
      <c r="A961" s="7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hidden="1">
      <c r="A962" s="7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hidden="1">
      <c r="A963" s="7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hidden="1">
      <c r="A964" s="7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hidden="1">
      <c r="A965" s="7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hidden="1">
      <c r="A966" s="7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hidden="1">
      <c r="A967" s="7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hidden="1">
      <c r="A968" s="7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hidden="1">
      <c r="A969" s="7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hidden="1">
      <c r="A970" s="7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hidden="1">
      <c r="A971" s="7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hidden="1">
      <c r="A972" s="7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hidden="1">
      <c r="A973" s="7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hidden="1">
      <c r="A974" s="7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hidden="1">
      <c r="A975" s="7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hidden="1">
      <c r="A976" s="7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hidden="1">
      <c r="A977" s="7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hidden="1">
      <c r="A978" s="7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hidden="1">
      <c r="A979" s="7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hidden="1">
      <c r="A980" s="7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hidden="1">
      <c r="A981" s="7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hidden="1">
      <c r="A982" s="7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hidden="1">
      <c r="A983" s="7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hidden="1">
      <c r="A984" s="7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hidden="1">
      <c r="A985" s="7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hidden="1">
      <c r="A986" s="7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hidden="1">
      <c r="A987" s="7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hidden="1">
      <c r="A988" s="7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hidden="1">
      <c r="A989" s="7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 hidden="1">
      <c r="A990" s="7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</sheetData>
  <autoFilter ref="$A$1:$Y$990">
    <filterColumn colId="0">
      <filters>
        <filter val="Office"/>
        <filter val="Basement Fridge 2, Office"/>
        <filter val="Office?"/>
        <filter val="Basement Fridge 1, Office"/>
        <filter val="Basement Fridge 3, Office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15.63"/>
  </cols>
  <sheetData>
    <row r="1">
      <c r="A1" s="4" t="s">
        <v>558</v>
      </c>
    </row>
    <row r="2">
      <c r="A2" s="4" t="s">
        <v>290</v>
      </c>
      <c r="B2" s="25" t="s">
        <v>559</v>
      </c>
    </row>
    <row r="3">
      <c r="A3" s="4" t="s">
        <v>390</v>
      </c>
      <c r="B3" s="25" t="s">
        <v>318</v>
      </c>
    </row>
    <row r="4">
      <c r="A4" s="4" t="s">
        <v>560</v>
      </c>
      <c r="B4" s="25" t="s">
        <v>348</v>
      </c>
    </row>
    <row r="5">
      <c r="A5" s="4" t="s">
        <v>561</v>
      </c>
      <c r="B5" s="26" t="s">
        <v>562</v>
      </c>
    </row>
    <row r="6">
      <c r="A6" s="4" t="s">
        <v>563</v>
      </c>
    </row>
    <row r="7">
      <c r="A7" s="4" t="s">
        <v>564</v>
      </c>
    </row>
    <row r="8">
      <c r="A8" s="4" t="s">
        <v>565</v>
      </c>
    </row>
    <row r="9">
      <c r="A9" s="4" t="s">
        <v>169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279</v>
      </c>
      <c r="C1" s="4" t="s">
        <v>269</v>
      </c>
      <c r="D1" s="5" t="s">
        <v>270</v>
      </c>
      <c r="E1" s="5" t="s">
        <v>280</v>
      </c>
      <c r="F1" s="5" t="s">
        <v>271</v>
      </c>
      <c r="G1" s="4" t="s">
        <v>281</v>
      </c>
      <c r="H1" s="5" t="s">
        <v>282</v>
      </c>
      <c r="I1" s="5" t="s">
        <v>283</v>
      </c>
      <c r="J1" s="5" t="s">
        <v>284</v>
      </c>
      <c r="K1" s="4" t="s">
        <v>285</v>
      </c>
      <c r="L1" s="5" t="s">
        <v>286</v>
      </c>
      <c r="M1" s="4" t="s">
        <v>287</v>
      </c>
      <c r="N1" s="6" t="s">
        <v>288</v>
      </c>
      <c r="O1" s="4" t="s">
        <v>289</v>
      </c>
      <c r="P1" s="4"/>
      <c r="Q1" s="4"/>
      <c r="R1" s="4"/>
      <c r="S1" s="7"/>
      <c r="T1" s="8"/>
      <c r="U1" s="7"/>
      <c r="V1" s="7"/>
      <c r="W1" s="7"/>
      <c r="X1" s="7"/>
      <c r="Y1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2" width="9.13"/>
    <col customWidth="1" min="3" max="3" width="4.5"/>
    <col customWidth="1" min="4" max="4" width="7.13"/>
    <col customWidth="1" min="5" max="5" width="21.25"/>
    <col customWidth="1" min="6" max="6" width="28.75"/>
    <col customWidth="1" min="7" max="7" width="26.25"/>
    <col customWidth="1" min="8" max="8" width="7.75"/>
    <col customWidth="1" min="9" max="9" width="5.13"/>
    <col customWidth="1" min="10" max="10" width="17.38"/>
    <col customWidth="1" min="11" max="11" width="23.63"/>
    <col customWidth="1" min="12" max="12" width="20.0"/>
    <col customWidth="1" min="13" max="13" width="15.38"/>
    <col customWidth="1" min="14" max="14" width="10.0"/>
    <col customWidth="1" min="15" max="15" width="7.0"/>
    <col customWidth="1" min="16" max="16" width="14.88"/>
    <col customWidth="1" min="17" max="17" width="16.63"/>
    <col customWidth="1" min="18" max="18" width="52.75"/>
    <col customWidth="1" min="19" max="19" width="18.5"/>
    <col customWidth="1" min="20" max="20" width="9.25"/>
    <col customWidth="1" min="21" max="21" width="21.38"/>
  </cols>
  <sheetData>
    <row r="1">
      <c r="A1" s="4" t="s">
        <v>566</v>
      </c>
      <c r="B1" s="4" t="s">
        <v>279</v>
      </c>
      <c r="C1" s="4" t="s">
        <v>269</v>
      </c>
      <c r="D1" s="5" t="s">
        <v>270</v>
      </c>
      <c r="E1" s="5" t="s">
        <v>280</v>
      </c>
      <c r="F1" s="5" t="s">
        <v>271</v>
      </c>
      <c r="G1" s="4" t="s">
        <v>281</v>
      </c>
      <c r="H1" s="5" t="s">
        <v>282</v>
      </c>
      <c r="I1" s="5" t="s">
        <v>283</v>
      </c>
      <c r="J1" s="5" t="s">
        <v>284</v>
      </c>
      <c r="K1" s="4" t="s">
        <v>285</v>
      </c>
      <c r="L1" s="5" t="s">
        <v>286</v>
      </c>
      <c r="M1" s="4" t="s">
        <v>567</v>
      </c>
      <c r="N1" s="6" t="s">
        <v>288</v>
      </c>
      <c r="O1" s="4" t="s">
        <v>289</v>
      </c>
      <c r="P1" s="4" t="s">
        <v>568</v>
      </c>
      <c r="Q1" s="4" t="s">
        <v>569</v>
      </c>
      <c r="R1" s="4" t="s">
        <v>570</v>
      </c>
      <c r="S1" s="27"/>
      <c r="T1" s="8"/>
      <c r="U1" s="7"/>
      <c r="V1" s="7"/>
      <c r="W1" s="7"/>
      <c r="X1" s="7"/>
      <c r="Y1" s="7"/>
    </row>
    <row r="3" hidden="1"/>
    <row r="4" hidden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10"/>
      <c r="M4" s="10"/>
      <c r="N4" s="11"/>
      <c r="O4" s="9"/>
      <c r="P4" s="9"/>
      <c r="Q4" s="9"/>
      <c r="R4" s="10"/>
      <c r="S4" s="23"/>
      <c r="T4" s="28"/>
      <c r="U4" s="10"/>
      <c r="V4" s="10"/>
      <c r="W4" s="10"/>
      <c r="X4" s="10"/>
      <c r="Y4" s="10"/>
    </row>
    <row r="5">
      <c r="A5" s="9"/>
      <c r="B5" s="9" t="s">
        <v>291</v>
      </c>
      <c r="C5" s="9">
        <v>1.0</v>
      </c>
      <c r="D5" s="9">
        <v>2016.0</v>
      </c>
      <c r="E5" s="9" t="s">
        <v>571</v>
      </c>
      <c r="F5" s="9" t="s">
        <v>572</v>
      </c>
      <c r="G5" s="9" t="s">
        <v>573</v>
      </c>
      <c r="H5" s="9" t="s">
        <v>312</v>
      </c>
      <c r="I5" s="9" t="s">
        <v>574</v>
      </c>
      <c r="J5" s="10"/>
      <c r="K5" s="9" t="s">
        <v>575</v>
      </c>
      <c r="L5" s="10"/>
      <c r="M5" s="10"/>
      <c r="N5" s="11">
        <v>20.0</v>
      </c>
      <c r="O5" s="9">
        <v>750.0</v>
      </c>
      <c r="P5" s="9"/>
      <c r="Q5" s="9"/>
      <c r="R5" s="10"/>
      <c r="S5" s="23"/>
      <c r="T5" s="29"/>
      <c r="U5" s="10"/>
      <c r="V5" s="10"/>
      <c r="W5" s="10"/>
      <c r="X5" s="10"/>
      <c r="Y5" s="10"/>
    </row>
    <row r="6" hidden="1">
      <c r="A6" s="9"/>
      <c r="B6" s="9" t="s">
        <v>576</v>
      </c>
      <c r="C6" s="9">
        <v>1.0</v>
      </c>
      <c r="D6" s="9">
        <v>2017.0</v>
      </c>
      <c r="E6" s="9" t="s">
        <v>65</v>
      </c>
      <c r="F6" s="9" t="s">
        <v>577</v>
      </c>
      <c r="G6" s="9" t="s">
        <v>184</v>
      </c>
      <c r="H6" s="9" t="s">
        <v>340</v>
      </c>
      <c r="I6" s="9" t="s">
        <v>347</v>
      </c>
      <c r="J6" s="9" t="s">
        <v>318</v>
      </c>
      <c r="K6" s="9" t="s">
        <v>358</v>
      </c>
      <c r="L6" s="9" t="s">
        <v>478</v>
      </c>
      <c r="M6" s="10"/>
      <c r="N6" s="11">
        <v>30.0</v>
      </c>
      <c r="O6" s="9">
        <v>375.0</v>
      </c>
      <c r="P6" s="9"/>
      <c r="Q6" s="9"/>
      <c r="R6" s="10"/>
      <c r="U6" s="10"/>
      <c r="V6" s="10"/>
      <c r="W6" s="10"/>
      <c r="X6" s="10"/>
      <c r="Y6" s="10"/>
    </row>
    <row r="7" hidden="1">
      <c r="A7" s="9"/>
      <c r="B7" s="9" t="s">
        <v>576</v>
      </c>
      <c r="C7" s="9">
        <v>1.0</v>
      </c>
      <c r="D7" s="9">
        <v>2012.0</v>
      </c>
      <c r="E7" s="9" t="s">
        <v>8</v>
      </c>
      <c r="F7" s="9" t="s">
        <v>578</v>
      </c>
      <c r="G7" s="9" t="s">
        <v>579</v>
      </c>
      <c r="H7" s="9" t="s">
        <v>311</v>
      </c>
      <c r="I7" s="9" t="s">
        <v>312</v>
      </c>
      <c r="J7" s="13" t="s">
        <v>334</v>
      </c>
      <c r="K7" s="9" t="s">
        <v>341</v>
      </c>
      <c r="L7" s="10"/>
      <c r="M7" s="10"/>
      <c r="N7" s="11">
        <v>32.0</v>
      </c>
      <c r="O7" s="9">
        <v>375.0</v>
      </c>
      <c r="P7" s="9"/>
      <c r="Q7" s="9"/>
      <c r="R7" s="10"/>
      <c r="S7" s="17"/>
      <c r="T7" s="12"/>
      <c r="U7" s="9"/>
      <c r="V7" s="10"/>
      <c r="W7" s="10"/>
      <c r="X7" s="10"/>
      <c r="Y7" s="10"/>
    </row>
    <row r="8">
      <c r="A8" s="9"/>
      <c r="B8" s="9" t="s">
        <v>291</v>
      </c>
      <c r="C8" s="9">
        <v>1.0</v>
      </c>
      <c r="D8" s="9">
        <v>2018.0</v>
      </c>
      <c r="E8" s="9" t="s">
        <v>8</v>
      </c>
      <c r="F8" s="9" t="s">
        <v>580</v>
      </c>
      <c r="G8" s="9" t="s">
        <v>184</v>
      </c>
      <c r="H8" s="9" t="s">
        <v>340</v>
      </c>
      <c r="I8" s="9" t="s">
        <v>312</v>
      </c>
      <c r="J8" s="13" t="s">
        <v>334</v>
      </c>
      <c r="K8" s="9" t="s">
        <v>341</v>
      </c>
      <c r="L8" s="10"/>
      <c r="M8" s="10"/>
      <c r="N8" s="11">
        <v>34.0</v>
      </c>
      <c r="O8" s="9">
        <v>750.0</v>
      </c>
      <c r="P8" s="9"/>
      <c r="Q8" s="9"/>
      <c r="R8" s="10"/>
      <c r="S8" s="17"/>
      <c r="T8" s="12"/>
      <c r="U8" s="10"/>
      <c r="V8" s="10"/>
      <c r="W8" s="10"/>
      <c r="X8" s="10"/>
      <c r="Y8" s="10"/>
    </row>
    <row r="9">
      <c r="A9" s="13"/>
      <c r="B9" s="13" t="s">
        <v>291</v>
      </c>
      <c r="C9" s="9">
        <v>3.0</v>
      </c>
      <c r="D9" s="13">
        <v>2015.0</v>
      </c>
      <c r="E9" s="13" t="s">
        <v>581</v>
      </c>
      <c r="F9" s="13" t="s">
        <v>210</v>
      </c>
      <c r="G9" s="13" t="s">
        <v>210</v>
      </c>
      <c r="H9" s="13" t="s">
        <v>311</v>
      </c>
      <c r="I9" s="13" t="s">
        <v>312</v>
      </c>
      <c r="J9" s="13" t="s">
        <v>313</v>
      </c>
      <c r="K9" s="13" t="s">
        <v>358</v>
      </c>
      <c r="L9" s="13" t="s">
        <v>582</v>
      </c>
      <c r="M9" s="9" t="s">
        <v>583</v>
      </c>
      <c r="N9" s="16">
        <v>42.0</v>
      </c>
      <c r="O9" s="9">
        <v>750.0</v>
      </c>
      <c r="P9" s="9"/>
      <c r="Q9" s="9" t="s">
        <v>584</v>
      </c>
      <c r="R9" s="10"/>
      <c r="S9" s="17"/>
      <c r="T9" s="12"/>
      <c r="U9" s="10"/>
      <c r="V9" s="10"/>
      <c r="W9" s="10"/>
      <c r="X9" s="10"/>
      <c r="Y9" s="10"/>
    </row>
    <row r="10" hidden="1">
      <c r="A10" s="9"/>
      <c r="B10" s="9" t="s">
        <v>291</v>
      </c>
      <c r="C10" s="9">
        <v>1.0</v>
      </c>
      <c r="D10" s="9">
        <v>2019.0</v>
      </c>
      <c r="E10" s="9" t="s">
        <v>362</v>
      </c>
      <c r="F10" s="9" t="s">
        <v>363</v>
      </c>
      <c r="G10" s="9" t="s">
        <v>211</v>
      </c>
      <c r="H10" s="9" t="s">
        <v>311</v>
      </c>
      <c r="I10" s="9" t="s">
        <v>312</v>
      </c>
      <c r="J10" s="9" t="s">
        <v>348</v>
      </c>
      <c r="K10" s="9" t="s">
        <v>364</v>
      </c>
      <c r="L10" s="10"/>
      <c r="M10" s="10"/>
      <c r="N10" s="11">
        <v>100.0</v>
      </c>
      <c r="O10" s="9">
        <v>1500.0</v>
      </c>
      <c r="P10" s="9"/>
      <c r="Q10" s="9"/>
      <c r="R10" s="10"/>
      <c r="S10" s="17"/>
      <c r="T10" s="12"/>
      <c r="U10" s="10"/>
      <c r="V10" s="10"/>
      <c r="W10" s="10"/>
      <c r="X10" s="10"/>
      <c r="Y10" s="10"/>
    </row>
    <row r="11">
      <c r="A11" s="9"/>
      <c r="B11" s="9" t="s">
        <v>585</v>
      </c>
      <c r="C11" s="9">
        <v>1.0</v>
      </c>
      <c r="D11" s="9">
        <v>2019.0</v>
      </c>
      <c r="E11" s="9" t="s">
        <v>586</v>
      </c>
      <c r="F11" s="9" t="s">
        <v>587</v>
      </c>
      <c r="G11" s="9" t="s">
        <v>587</v>
      </c>
      <c r="H11" s="9" t="s">
        <v>311</v>
      </c>
      <c r="I11" s="9" t="s">
        <v>312</v>
      </c>
      <c r="J11" s="13" t="s">
        <v>334</v>
      </c>
      <c r="K11" s="9" t="s">
        <v>341</v>
      </c>
      <c r="L11" s="9"/>
      <c r="M11" s="10"/>
      <c r="N11" s="11">
        <v>17.0</v>
      </c>
      <c r="O11" s="9">
        <v>750.0</v>
      </c>
      <c r="P11" s="9"/>
      <c r="Q11" s="9"/>
      <c r="R11" s="10"/>
      <c r="S11" s="17"/>
      <c r="T11" s="12"/>
      <c r="U11" s="10"/>
      <c r="V11" s="10"/>
      <c r="W11" s="10"/>
      <c r="X11" s="10"/>
      <c r="Y11" s="10"/>
    </row>
    <row r="12">
      <c r="A12" s="9"/>
      <c r="B12" s="9" t="s">
        <v>585</v>
      </c>
      <c r="C12" s="9">
        <v>3.0</v>
      </c>
      <c r="D12" s="9">
        <v>2019.0</v>
      </c>
      <c r="E12" s="9" t="s">
        <v>588</v>
      </c>
      <c r="F12" s="9" t="s">
        <v>589</v>
      </c>
      <c r="G12" s="9" t="s">
        <v>590</v>
      </c>
      <c r="H12" s="9" t="s">
        <v>340</v>
      </c>
      <c r="I12" s="9" t="s">
        <v>347</v>
      </c>
      <c r="J12" s="9" t="s">
        <v>318</v>
      </c>
      <c r="K12" s="9" t="s">
        <v>358</v>
      </c>
      <c r="L12" s="9" t="s">
        <v>478</v>
      </c>
      <c r="M12" s="10"/>
      <c r="N12" s="11">
        <v>40.0</v>
      </c>
      <c r="O12" s="9">
        <v>750.0</v>
      </c>
      <c r="P12" s="9"/>
      <c r="Q12" s="9"/>
      <c r="R12" s="10"/>
      <c r="S12" s="17"/>
      <c r="T12" s="12"/>
      <c r="U12" s="10"/>
      <c r="V12" s="10"/>
      <c r="W12" s="10"/>
      <c r="X12" s="10"/>
      <c r="Y12" s="10"/>
    </row>
    <row r="13" hidden="1">
      <c r="A13" s="9"/>
      <c r="B13" s="9" t="s">
        <v>576</v>
      </c>
      <c r="C13" s="9">
        <v>1.0</v>
      </c>
      <c r="D13" s="9">
        <v>2014.0</v>
      </c>
      <c r="E13" s="9" t="s">
        <v>164</v>
      </c>
      <c r="F13" s="9" t="s">
        <v>591</v>
      </c>
      <c r="G13" s="9" t="s">
        <v>184</v>
      </c>
      <c r="H13" s="9" t="s">
        <v>340</v>
      </c>
      <c r="I13" s="9" t="s">
        <v>312</v>
      </c>
      <c r="J13" s="13" t="s">
        <v>334</v>
      </c>
      <c r="K13" s="9" t="s">
        <v>341</v>
      </c>
      <c r="L13" s="9" t="s">
        <v>342</v>
      </c>
      <c r="M13" s="10"/>
      <c r="N13" s="11">
        <v>30.0</v>
      </c>
      <c r="O13" s="9">
        <v>500.0</v>
      </c>
      <c r="P13" s="9"/>
      <c r="Q13" s="9"/>
      <c r="R13" s="10"/>
      <c r="S13" s="17"/>
      <c r="T13" s="12"/>
      <c r="U13" s="10"/>
      <c r="V13" s="10"/>
      <c r="W13" s="10"/>
      <c r="X13" s="10"/>
      <c r="Y13" s="10"/>
    </row>
    <row r="14">
      <c r="A14" s="9"/>
      <c r="B14" s="9" t="s">
        <v>291</v>
      </c>
      <c r="C14" s="9">
        <v>1.0</v>
      </c>
      <c r="D14" s="9">
        <v>2009.0</v>
      </c>
      <c r="E14" s="9" t="s">
        <v>592</v>
      </c>
      <c r="F14" s="9" t="s">
        <v>593</v>
      </c>
      <c r="G14" s="9" t="s">
        <v>146</v>
      </c>
      <c r="H14" s="9" t="s">
        <v>311</v>
      </c>
      <c r="I14" s="9" t="s">
        <v>312</v>
      </c>
      <c r="J14" s="9" t="s">
        <v>334</v>
      </c>
      <c r="K14" s="9" t="s">
        <v>594</v>
      </c>
      <c r="L14" s="10"/>
      <c r="M14" s="10"/>
      <c r="N14" s="11">
        <v>66.0</v>
      </c>
      <c r="O14" s="9">
        <v>750.0</v>
      </c>
      <c r="P14" s="9"/>
      <c r="Q14" s="9"/>
      <c r="R14" s="10"/>
      <c r="S14" s="17"/>
      <c r="T14" s="12"/>
      <c r="U14" s="10"/>
      <c r="V14" s="10"/>
      <c r="W14" s="10"/>
      <c r="X14" s="10"/>
      <c r="Y14" s="10"/>
    </row>
    <row r="15" hidden="1">
      <c r="A15" s="9"/>
      <c r="B15" s="9" t="s">
        <v>291</v>
      </c>
      <c r="C15" s="9">
        <v>1.0</v>
      </c>
      <c r="D15" s="9">
        <v>2016.0</v>
      </c>
      <c r="E15" s="9" t="s">
        <v>595</v>
      </c>
      <c r="F15" s="9" t="s">
        <v>596</v>
      </c>
      <c r="G15" s="9" t="s">
        <v>401</v>
      </c>
      <c r="H15" s="9" t="s">
        <v>330</v>
      </c>
      <c r="I15" s="10"/>
      <c r="J15" s="9" t="s">
        <v>225</v>
      </c>
      <c r="K15" s="9" t="s">
        <v>596</v>
      </c>
      <c r="L15" s="10"/>
      <c r="M15" s="10"/>
      <c r="N15" s="11">
        <v>50.0</v>
      </c>
      <c r="O15" s="9">
        <v>1500.0</v>
      </c>
      <c r="P15" s="9"/>
      <c r="Q15" s="9"/>
      <c r="R15" s="9" t="s">
        <v>597</v>
      </c>
      <c r="S15" s="17"/>
      <c r="T15" s="12"/>
      <c r="U15" s="10"/>
      <c r="V15" s="10"/>
      <c r="W15" s="10"/>
      <c r="X15" s="10"/>
      <c r="Y15" s="10"/>
    </row>
    <row r="16" hidden="1">
      <c r="A16" s="9"/>
      <c r="B16" s="9" t="s">
        <v>291</v>
      </c>
      <c r="C16" s="9">
        <v>1.0</v>
      </c>
      <c r="D16" s="9">
        <v>2015.0</v>
      </c>
      <c r="E16" s="9" t="s">
        <v>598</v>
      </c>
      <c r="F16" s="9" t="s">
        <v>599</v>
      </c>
      <c r="G16" s="9" t="s">
        <v>109</v>
      </c>
      <c r="H16" s="9" t="s">
        <v>330</v>
      </c>
      <c r="I16" s="10"/>
      <c r="J16" s="9" t="s">
        <v>599</v>
      </c>
      <c r="K16" s="9" t="s">
        <v>599</v>
      </c>
      <c r="L16" s="10"/>
      <c r="M16" s="10"/>
      <c r="N16" s="11">
        <v>60.0</v>
      </c>
      <c r="O16" s="9">
        <v>1500.0</v>
      </c>
      <c r="P16" s="9"/>
      <c r="Q16" s="9"/>
      <c r="R16" s="10"/>
      <c r="S16" s="17"/>
      <c r="T16" s="12"/>
      <c r="U16" s="10"/>
      <c r="V16" s="10"/>
      <c r="W16" s="10"/>
      <c r="X16" s="10"/>
      <c r="Y16" s="10"/>
    </row>
    <row r="17" hidden="1">
      <c r="A17" s="9"/>
      <c r="B17" s="9" t="s">
        <v>291</v>
      </c>
      <c r="C17" s="9">
        <v>1.0</v>
      </c>
      <c r="D17" s="9">
        <v>2016.0</v>
      </c>
      <c r="E17" s="9" t="s">
        <v>600</v>
      </c>
      <c r="F17" s="9" t="s">
        <v>601</v>
      </c>
      <c r="G17" s="9" t="s">
        <v>393</v>
      </c>
      <c r="H17" s="9" t="s">
        <v>330</v>
      </c>
      <c r="I17" s="10"/>
      <c r="J17" s="9" t="s">
        <v>225</v>
      </c>
      <c r="K17" s="9" t="s">
        <v>375</v>
      </c>
      <c r="L17" s="10"/>
      <c r="M17" s="10"/>
      <c r="N17" s="11">
        <v>75.0</v>
      </c>
      <c r="O17" s="9">
        <v>1500.0</v>
      </c>
      <c r="P17" s="9"/>
      <c r="Q17" s="9"/>
      <c r="R17" s="9"/>
      <c r="S17" s="17"/>
      <c r="T17" s="12"/>
      <c r="U17" s="10"/>
      <c r="V17" s="10"/>
      <c r="W17" s="10"/>
      <c r="X17" s="10"/>
      <c r="Y17" s="10"/>
    </row>
    <row r="18" hidden="1">
      <c r="A18" s="9"/>
      <c r="B18" s="9" t="s">
        <v>291</v>
      </c>
      <c r="C18" s="9">
        <v>1.0</v>
      </c>
      <c r="D18" s="9">
        <v>2016.0</v>
      </c>
      <c r="E18" s="9" t="s">
        <v>429</v>
      </c>
      <c r="F18" s="9" t="s">
        <v>39</v>
      </c>
      <c r="G18" s="9" t="s">
        <v>39</v>
      </c>
      <c r="H18" s="13" t="s">
        <v>311</v>
      </c>
      <c r="I18" s="13" t="s">
        <v>312</v>
      </c>
      <c r="J18" s="13" t="s">
        <v>313</v>
      </c>
      <c r="K18" s="13" t="s">
        <v>430</v>
      </c>
      <c r="L18" s="13" t="s">
        <v>602</v>
      </c>
      <c r="M18" s="10"/>
      <c r="N18" s="11">
        <v>90.0</v>
      </c>
      <c r="O18" s="9">
        <v>1500.0</v>
      </c>
      <c r="P18" s="9"/>
      <c r="Q18" s="9"/>
      <c r="R18" s="10"/>
      <c r="S18" s="17"/>
      <c r="T18" s="12"/>
      <c r="U18" s="10"/>
      <c r="V18" s="10"/>
      <c r="W18" s="10"/>
      <c r="X18" s="10"/>
      <c r="Y18" s="10"/>
    </row>
    <row r="19" hidden="1">
      <c r="A19" s="9"/>
      <c r="B19" s="9" t="s">
        <v>291</v>
      </c>
      <c r="C19" s="9">
        <v>1.0</v>
      </c>
      <c r="D19" s="9">
        <v>2018.0</v>
      </c>
      <c r="E19" s="9" t="s">
        <v>198</v>
      </c>
      <c r="F19" s="9" t="s">
        <v>603</v>
      </c>
      <c r="G19" s="9" t="s">
        <v>604</v>
      </c>
      <c r="H19" s="13" t="s">
        <v>311</v>
      </c>
      <c r="I19" s="13" t="s">
        <v>312</v>
      </c>
      <c r="J19" s="9" t="s">
        <v>313</v>
      </c>
      <c r="K19" s="9" t="s">
        <v>314</v>
      </c>
      <c r="L19" s="9" t="s">
        <v>386</v>
      </c>
      <c r="M19" s="10"/>
      <c r="N19" s="11">
        <v>200.0</v>
      </c>
      <c r="O19" s="9">
        <v>3000.0</v>
      </c>
      <c r="P19" s="9"/>
      <c r="Q19" s="9"/>
      <c r="R19" s="9" t="s">
        <v>605</v>
      </c>
      <c r="S19" s="17"/>
      <c r="T19" s="12"/>
      <c r="U19" s="10"/>
      <c r="V19" s="10"/>
      <c r="W19" s="10"/>
      <c r="X19" s="10"/>
      <c r="Y19" s="10"/>
    </row>
    <row r="20" hidden="1">
      <c r="A20" s="9"/>
      <c r="B20" s="9" t="s">
        <v>291</v>
      </c>
      <c r="C20" s="9">
        <v>1.0</v>
      </c>
      <c r="D20" s="9">
        <v>2017.0</v>
      </c>
      <c r="E20" s="9" t="s">
        <v>586</v>
      </c>
      <c r="F20" s="9" t="s">
        <v>39</v>
      </c>
      <c r="G20" s="9" t="s">
        <v>39</v>
      </c>
      <c r="H20" s="9" t="s">
        <v>311</v>
      </c>
      <c r="I20" s="9" t="s">
        <v>312</v>
      </c>
      <c r="J20" s="13" t="s">
        <v>334</v>
      </c>
      <c r="K20" s="9" t="s">
        <v>341</v>
      </c>
      <c r="L20" s="10"/>
      <c r="M20" s="10"/>
      <c r="N20" s="11">
        <v>300.0</v>
      </c>
      <c r="O20" s="9">
        <v>3000.0</v>
      </c>
      <c r="P20" s="9"/>
      <c r="Q20" s="9"/>
      <c r="R20" s="10"/>
      <c r="S20" s="17"/>
      <c r="T20" s="12"/>
      <c r="U20" s="10"/>
      <c r="V20" s="10"/>
      <c r="W20" s="10"/>
      <c r="X20" s="10"/>
      <c r="Y20" s="10"/>
    </row>
    <row r="21" hidden="1">
      <c r="A21" s="9"/>
      <c r="B21" s="9" t="s">
        <v>291</v>
      </c>
      <c r="C21" s="9">
        <v>1.0</v>
      </c>
      <c r="D21" s="9">
        <v>2015.0</v>
      </c>
      <c r="E21" s="9" t="s">
        <v>516</v>
      </c>
      <c r="F21" s="9" t="s">
        <v>339</v>
      </c>
      <c r="G21" s="9" t="s">
        <v>35</v>
      </c>
      <c r="H21" s="9" t="s">
        <v>311</v>
      </c>
      <c r="I21" s="9" t="s">
        <v>312</v>
      </c>
      <c r="J21" s="9" t="s">
        <v>318</v>
      </c>
      <c r="K21" s="9" t="s">
        <v>319</v>
      </c>
      <c r="L21" s="10"/>
      <c r="M21" s="10"/>
      <c r="N21" s="11">
        <v>312.0</v>
      </c>
      <c r="O21" s="9">
        <v>3000.0</v>
      </c>
      <c r="P21" s="9"/>
      <c r="Q21" s="9"/>
      <c r="R21" s="10"/>
      <c r="S21" s="17"/>
      <c r="T21" s="12"/>
      <c r="U21" s="10"/>
      <c r="V21" s="10"/>
      <c r="W21" s="10"/>
      <c r="X21" s="10"/>
      <c r="Y21" s="10"/>
    </row>
    <row r="22" hidden="1">
      <c r="A22" s="9"/>
      <c r="B22" s="9" t="s">
        <v>576</v>
      </c>
      <c r="C22" s="9">
        <v>1.0</v>
      </c>
      <c r="D22" s="9">
        <v>2016.0</v>
      </c>
      <c r="E22" s="9" t="s">
        <v>606</v>
      </c>
      <c r="F22" s="9" t="s">
        <v>607</v>
      </c>
      <c r="G22" s="9" t="s">
        <v>608</v>
      </c>
      <c r="H22" s="9" t="s">
        <v>311</v>
      </c>
      <c r="I22" s="9" t="s">
        <v>312</v>
      </c>
      <c r="J22" s="10"/>
      <c r="K22" s="10"/>
      <c r="L22" s="10"/>
      <c r="M22" s="10"/>
      <c r="N22" s="11">
        <v>16.0</v>
      </c>
      <c r="O22" s="9">
        <v>500.0</v>
      </c>
      <c r="P22" s="9"/>
      <c r="Q22" s="9"/>
      <c r="R22" s="10"/>
      <c r="S22" s="17"/>
      <c r="T22" s="12"/>
      <c r="U22" s="10"/>
      <c r="V22" s="10"/>
      <c r="W22" s="10"/>
      <c r="X22" s="10"/>
      <c r="Y22" s="10"/>
    </row>
    <row r="23" hidden="1">
      <c r="A23" s="9"/>
      <c r="B23" s="9" t="s">
        <v>576</v>
      </c>
      <c r="C23" s="9">
        <v>1.0</v>
      </c>
      <c r="D23" s="9">
        <v>2016.0</v>
      </c>
      <c r="E23" s="9" t="s">
        <v>429</v>
      </c>
      <c r="F23" s="9" t="s">
        <v>609</v>
      </c>
      <c r="G23" s="13" t="s">
        <v>610</v>
      </c>
      <c r="H23" s="13" t="s">
        <v>311</v>
      </c>
      <c r="I23" s="13" t="s">
        <v>312</v>
      </c>
      <c r="J23" s="13" t="s">
        <v>313</v>
      </c>
      <c r="K23" s="13" t="s">
        <v>430</v>
      </c>
      <c r="L23" s="13" t="s">
        <v>611</v>
      </c>
      <c r="M23" s="10"/>
      <c r="N23" s="11">
        <v>25.0</v>
      </c>
      <c r="O23" s="9">
        <v>375.0</v>
      </c>
      <c r="P23" s="9"/>
      <c r="Q23" s="9"/>
      <c r="R23" s="10"/>
      <c r="S23" s="17"/>
      <c r="T23" s="12"/>
      <c r="U23" s="10"/>
      <c r="V23" s="10"/>
      <c r="W23" s="10"/>
      <c r="X23" s="10"/>
      <c r="Y23" s="10"/>
    </row>
    <row r="24" hidden="1">
      <c r="A24" s="9"/>
      <c r="B24" s="9" t="s">
        <v>576</v>
      </c>
      <c r="C24" s="9">
        <v>1.0</v>
      </c>
      <c r="D24" s="9">
        <v>2018.0</v>
      </c>
      <c r="E24" s="9" t="s">
        <v>316</v>
      </c>
      <c r="F24" s="9" t="s">
        <v>612</v>
      </c>
      <c r="G24" s="9" t="s">
        <v>613</v>
      </c>
      <c r="H24" s="9" t="s">
        <v>311</v>
      </c>
      <c r="I24" s="9" t="s">
        <v>312</v>
      </c>
      <c r="J24" s="9" t="s">
        <v>318</v>
      </c>
      <c r="K24" s="9" t="s">
        <v>319</v>
      </c>
      <c r="L24" s="10"/>
      <c r="M24" s="10"/>
      <c r="N24" s="11">
        <v>25.0</v>
      </c>
      <c r="O24" s="9">
        <v>375.0</v>
      </c>
      <c r="P24" s="9"/>
      <c r="Q24" s="9"/>
      <c r="R24" s="10"/>
      <c r="S24" s="17"/>
      <c r="T24" s="12"/>
      <c r="U24" s="10"/>
      <c r="V24" s="10"/>
      <c r="W24" s="10"/>
      <c r="X24" s="10"/>
      <c r="Y24" s="10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10"/>
      <c r="M25" s="10"/>
      <c r="N25" s="11"/>
      <c r="O25" s="9"/>
      <c r="P25" s="9"/>
      <c r="Q25" s="9"/>
      <c r="R25" s="10"/>
      <c r="S25" s="17"/>
      <c r="T25" s="12"/>
      <c r="U25" s="10"/>
      <c r="V25" s="10"/>
      <c r="W25" s="10"/>
      <c r="X25" s="10"/>
      <c r="Y25" s="10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1"/>
      <c r="O26" s="9"/>
      <c r="P26" s="9"/>
      <c r="Q26" s="9"/>
      <c r="R26" s="10"/>
      <c r="S26" s="17"/>
      <c r="T26" s="12"/>
      <c r="U26" s="10"/>
      <c r="V26" s="10"/>
      <c r="W26" s="10"/>
      <c r="X26" s="10"/>
      <c r="Y26" s="10"/>
    </row>
    <row r="27">
      <c r="A27" s="9"/>
      <c r="B27" s="9" t="s">
        <v>291</v>
      </c>
      <c r="C27" s="9">
        <v>1.0</v>
      </c>
      <c r="D27" s="9">
        <v>2017.0</v>
      </c>
      <c r="E27" s="9" t="s">
        <v>425</v>
      </c>
      <c r="F27" s="9" t="s">
        <v>39</v>
      </c>
      <c r="G27" s="9" t="s">
        <v>39</v>
      </c>
      <c r="H27" s="9" t="s">
        <v>340</v>
      </c>
      <c r="I27" s="9" t="s">
        <v>426</v>
      </c>
      <c r="J27" s="9" t="s">
        <v>427</v>
      </c>
      <c r="K27" s="9" t="s">
        <v>428</v>
      </c>
      <c r="L27" s="10"/>
      <c r="M27" s="10"/>
      <c r="N27" s="11">
        <v>42.0</v>
      </c>
      <c r="O27" s="9">
        <v>750.0</v>
      </c>
      <c r="P27" s="9" t="s">
        <v>440</v>
      </c>
      <c r="Q27" s="9" t="s">
        <v>614</v>
      </c>
      <c r="R27" s="20"/>
      <c r="S27" s="30"/>
      <c r="T27" s="12"/>
      <c r="U27" s="10"/>
      <c r="V27" s="10"/>
      <c r="W27" s="10"/>
      <c r="X27" s="10"/>
      <c r="Y27" s="10"/>
    </row>
    <row r="28">
      <c r="A28" s="9"/>
      <c r="B28" s="9" t="s">
        <v>291</v>
      </c>
      <c r="C28" s="9">
        <v>1.0</v>
      </c>
      <c r="D28" s="9">
        <v>2017.0</v>
      </c>
      <c r="E28" s="9" t="s">
        <v>458</v>
      </c>
      <c r="F28" s="9" t="s">
        <v>118</v>
      </c>
      <c r="G28" s="9" t="s">
        <v>146</v>
      </c>
      <c r="H28" s="9" t="s">
        <v>340</v>
      </c>
      <c r="I28" s="9" t="s">
        <v>426</v>
      </c>
      <c r="J28" s="9" t="s">
        <v>459</v>
      </c>
      <c r="K28" s="9" t="s">
        <v>460</v>
      </c>
      <c r="L28" s="10"/>
      <c r="M28" s="9" t="s">
        <v>461</v>
      </c>
      <c r="N28" s="11">
        <v>36.0</v>
      </c>
      <c r="O28" s="9">
        <v>750.0</v>
      </c>
      <c r="P28" s="9"/>
      <c r="Q28" s="9">
        <v>13.0</v>
      </c>
      <c r="R28" s="9"/>
      <c r="S28" s="17"/>
      <c r="T28" s="12"/>
      <c r="U28" s="10"/>
      <c r="V28" s="10"/>
      <c r="W28" s="10"/>
      <c r="X28" s="10"/>
      <c r="Y28" s="10"/>
    </row>
    <row r="29">
      <c r="A29" s="9"/>
      <c r="B29" s="9" t="s">
        <v>585</v>
      </c>
      <c r="C29" s="9">
        <v>1.0</v>
      </c>
      <c r="D29" s="9">
        <v>2019.0</v>
      </c>
      <c r="E29" s="9" t="s">
        <v>8</v>
      </c>
      <c r="F29" s="9" t="s">
        <v>615</v>
      </c>
      <c r="G29" s="9" t="s">
        <v>615</v>
      </c>
      <c r="H29" s="9" t="s">
        <v>311</v>
      </c>
      <c r="I29" s="9" t="s">
        <v>312</v>
      </c>
      <c r="J29" s="13" t="s">
        <v>334</v>
      </c>
      <c r="K29" s="9" t="s">
        <v>341</v>
      </c>
      <c r="L29" s="9"/>
      <c r="M29" s="9" t="s">
        <v>616</v>
      </c>
      <c r="N29" s="11">
        <v>20.0</v>
      </c>
      <c r="O29" s="9">
        <v>750.0</v>
      </c>
      <c r="P29" s="9"/>
      <c r="Q29" s="9"/>
      <c r="R29" s="10"/>
      <c r="S29" s="17"/>
      <c r="T29" s="12"/>
      <c r="U29" s="10"/>
      <c r="V29" s="10"/>
      <c r="W29" s="10"/>
      <c r="X29" s="10"/>
      <c r="Y29" s="10"/>
    </row>
    <row r="30">
      <c r="A30" s="9"/>
      <c r="B30" s="9" t="s">
        <v>291</v>
      </c>
      <c r="C30" s="9">
        <v>2.0</v>
      </c>
      <c r="D30" s="9">
        <v>2019.0</v>
      </c>
      <c r="E30" s="9" t="s">
        <v>73</v>
      </c>
      <c r="F30" s="9" t="s">
        <v>35</v>
      </c>
      <c r="G30" s="9" t="s">
        <v>35</v>
      </c>
      <c r="H30" s="9" t="s">
        <v>340</v>
      </c>
      <c r="I30" s="9" t="s">
        <v>347</v>
      </c>
      <c r="J30" s="9" t="s">
        <v>318</v>
      </c>
      <c r="K30" s="9" t="s">
        <v>358</v>
      </c>
      <c r="L30" s="9" t="s">
        <v>399</v>
      </c>
      <c r="M30" s="9" t="s">
        <v>400</v>
      </c>
      <c r="N30" s="11">
        <v>30.0</v>
      </c>
      <c r="O30" s="9">
        <v>750.0</v>
      </c>
      <c r="P30" s="9" t="s">
        <v>617</v>
      </c>
      <c r="Q30" s="9" t="s">
        <v>618</v>
      </c>
      <c r="R30" s="10"/>
      <c r="S30" s="17"/>
      <c r="T30" s="12"/>
      <c r="U30" s="10"/>
      <c r="V30" s="10"/>
      <c r="W30" s="10"/>
      <c r="X30" s="10"/>
      <c r="Y30" s="10"/>
    </row>
    <row r="31">
      <c r="A31" s="13"/>
      <c r="B31" s="13" t="s">
        <v>291</v>
      </c>
      <c r="C31" s="9">
        <v>1.0</v>
      </c>
      <c r="D31" s="13">
        <v>2016.0</v>
      </c>
      <c r="E31" s="13" t="s">
        <v>619</v>
      </c>
      <c r="F31" s="13" t="s">
        <v>620</v>
      </c>
      <c r="G31" s="13" t="s">
        <v>621</v>
      </c>
      <c r="H31" s="13" t="s">
        <v>311</v>
      </c>
      <c r="I31" s="13" t="s">
        <v>312</v>
      </c>
      <c r="J31" s="13" t="s">
        <v>334</v>
      </c>
      <c r="K31" s="13" t="s">
        <v>447</v>
      </c>
      <c r="L31" s="13" t="s">
        <v>341</v>
      </c>
      <c r="M31" s="13"/>
      <c r="N31" s="16">
        <v>40.0</v>
      </c>
      <c r="O31" s="9">
        <v>750.0</v>
      </c>
      <c r="P31" s="9"/>
      <c r="Q31" s="9">
        <v>13.0</v>
      </c>
      <c r="R31" s="10"/>
      <c r="S31" s="20"/>
      <c r="T31" s="22"/>
      <c r="U31" s="10"/>
      <c r="V31" s="10"/>
      <c r="W31" s="10"/>
      <c r="X31" s="10"/>
      <c r="Y31" s="10"/>
    </row>
    <row r="32" hidden="1">
      <c r="A32" s="9"/>
      <c r="B32" s="9" t="s">
        <v>291</v>
      </c>
      <c r="C32" s="9">
        <v>1.0</v>
      </c>
      <c r="D32" s="9">
        <v>2015.0</v>
      </c>
      <c r="E32" s="9" t="s">
        <v>516</v>
      </c>
      <c r="F32" s="9" t="s">
        <v>395</v>
      </c>
      <c r="G32" s="9" t="s">
        <v>39</v>
      </c>
      <c r="H32" s="9" t="s">
        <v>311</v>
      </c>
      <c r="I32" s="9" t="s">
        <v>312</v>
      </c>
      <c r="J32" s="9" t="s">
        <v>318</v>
      </c>
      <c r="K32" s="9" t="s">
        <v>319</v>
      </c>
      <c r="L32" s="10"/>
      <c r="M32" s="10"/>
      <c r="N32" s="11">
        <v>156.0</v>
      </c>
      <c r="O32" s="9">
        <v>1500.0</v>
      </c>
      <c r="P32" s="9"/>
      <c r="Q32" s="9"/>
      <c r="R32" s="10"/>
      <c r="S32" s="17"/>
      <c r="T32" s="12"/>
      <c r="U32" s="10"/>
      <c r="V32" s="10"/>
      <c r="W32" s="10"/>
      <c r="X32" s="10"/>
      <c r="Y32" s="10"/>
    </row>
    <row r="33" hidden="1">
      <c r="A33" s="9"/>
      <c r="B33" s="9" t="s">
        <v>291</v>
      </c>
      <c r="C33" s="9">
        <v>1.0</v>
      </c>
      <c r="D33" s="9">
        <v>2018.0</v>
      </c>
      <c r="E33" s="9" t="s">
        <v>217</v>
      </c>
      <c r="F33" s="9" t="s">
        <v>622</v>
      </c>
      <c r="G33" s="9" t="s">
        <v>415</v>
      </c>
      <c r="H33" s="9" t="s">
        <v>311</v>
      </c>
      <c r="I33" s="9" t="s">
        <v>312</v>
      </c>
      <c r="J33" s="13" t="s">
        <v>334</v>
      </c>
      <c r="K33" s="9" t="s">
        <v>341</v>
      </c>
      <c r="L33" s="10"/>
      <c r="M33" s="10"/>
      <c r="N33" s="11">
        <v>160.0</v>
      </c>
      <c r="O33" s="9">
        <v>1500.0</v>
      </c>
      <c r="P33" s="9"/>
      <c r="Q33" s="9"/>
      <c r="R33" s="10"/>
      <c r="S33" s="17"/>
      <c r="T33" s="12"/>
      <c r="U33" s="10"/>
      <c r="V33" s="10"/>
      <c r="W33" s="10"/>
      <c r="X33" s="10"/>
      <c r="Y33" s="10"/>
    </row>
    <row r="34" hidden="1"/>
    <row r="35">
      <c r="A35" s="9"/>
      <c r="B35" s="9" t="s">
        <v>291</v>
      </c>
      <c r="C35" s="9">
        <v>1.0</v>
      </c>
      <c r="D35" s="9">
        <v>2018.0</v>
      </c>
      <c r="E35" s="9" t="s">
        <v>446</v>
      </c>
      <c r="F35" s="9" t="s">
        <v>623</v>
      </c>
      <c r="G35" s="9" t="s">
        <v>604</v>
      </c>
      <c r="H35" s="9" t="s">
        <v>311</v>
      </c>
      <c r="I35" s="9" t="s">
        <v>312</v>
      </c>
      <c r="J35" s="13" t="s">
        <v>334</v>
      </c>
      <c r="K35" s="9" t="s">
        <v>341</v>
      </c>
      <c r="L35" s="10"/>
      <c r="M35" s="10"/>
      <c r="N35" s="11">
        <v>42.0</v>
      </c>
      <c r="O35" s="9">
        <v>750.0</v>
      </c>
      <c r="P35" s="9"/>
      <c r="Q35" s="9"/>
      <c r="R35" s="9" t="s">
        <v>624</v>
      </c>
      <c r="S35" s="17"/>
      <c r="T35" s="12"/>
      <c r="U35" s="10"/>
      <c r="V35" s="10"/>
      <c r="W35" s="10"/>
      <c r="X35" s="10"/>
      <c r="Y35" s="10"/>
    </row>
    <row r="36" hidden="1">
      <c r="A36" s="9"/>
      <c r="B36" s="9" t="s">
        <v>291</v>
      </c>
      <c r="C36" s="9">
        <v>1.0</v>
      </c>
      <c r="D36" s="9">
        <v>2014.0</v>
      </c>
      <c r="E36" s="9" t="s">
        <v>625</v>
      </c>
      <c r="F36" s="9" t="s">
        <v>395</v>
      </c>
      <c r="G36" s="9" t="s">
        <v>39</v>
      </c>
      <c r="H36" s="9" t="s">
        <v>311</v>
      </c>
      <c r="I36" s="9" t="s">
        <v>312</v>
      </c>
      <c r="J36" s="9" t="s">
        <v>318</v>
      </c>
      <c r="K36" s="9" t="s">
        <v>319</v>
      </c>
      <c r="L36" s="10"/>
      <c r="M36" s="10"/>
      <c r="N36" s="11">
        <v>95.0</v>
      </c>
      <c r="O36" s="9">
        <v>1500.0</v>
      </c>
      <c r="P36" s="9"/>
      <c r="Q36" s="9"/>
      <c r="R36" s="10"/>
      <c r="S36" s="17"/>
      <c r="T36" s="12"/>
      <c r="U36" s="10"/>
      <c r="V36" s="10"/>
      <c r="W36" s="10"/>
      <c r="X36" s="10"/>
      <c r="Y36" s="10"/>
    </row>
    <row r="37" hidden="1">
      <c r="A37" s="9"/>
      <c r="B37" s="9" t="s">
        <v>291</v>
      </c>
      <c r="C37" s="9">
        <v>1.0</v>
      </c>
      <c r="D37" s="9">
        <v>2018.0</v>
      </c>
      <c r="E37" s="9" t="s">
        <v>129</v>
      </c>
      <c r="F37" s="9" t="s">
        <v>39</v>
      </c>
      <c r="G37" s="9" t="s">
        <v>39</v>
      </c>
      <c r="H37" s="9" t="s">
        <v>311</v>
      </c>
      <c r="I37" s="9" t="s">
        <v>312</v>
      </c>
      <c r="J37" s="13" t="s">
        <v>334</v>
      </c>
      <c r="K37" s="9" t="s">
        <v>341</v>
      </c>
      <c r="L37" s="10"/>
      <c r="M37" s="10"/>
      <c r="N37" s="11">
        <v>132.0</v>
      </c>
      <c r="O37" s="9">
        <v>1500.0</v>
      </c>
      <c r="P37" s="9"/>
      <c r="Q37" s="9"/>
      <c r="R37" s="10"/>
      <c r="S37" s="17"/>
      <c r="T37" s="12"/>
      <c r="U37" s="10"/>
      <c r="V37" s="10"/>
      <c r="W37" s="10"/>
      <c r="X37" s="10"/>
      <c r="Y37" s="10"/>
    </row>
    <row r="38" hidden="1">
      <c r="A38" s="9"/>
      <c r="B38" s="9" t="s">
        <v>291</v>
      </c>
      <c r="C38" s="9">
        <v>1.0</v>
      </c>
      <c r="D38" s="9">
        <v>2015.0</v>
      </c>
      <c r="E38" s="9" t="s">
        <v>516</v>
      </c>
      <c r="F38" s="9" t="s">
        <v>626</v>
      </c>
      <c r="G38" s="9" t="s">
        <v>39</v>
      </c>
      <c r="H38" s="9" t="s">
        <v>311</v>
      </c>
      <c r="I38" s="9" t="s">
        <v>312</v>
      </c>
      <c r="J38" s="9" t="s">
        <v>318</v>
      </c>
      <c r="K38" s="9" t="s">
        <v>319</v>
      </c>
      <c r="L38" s="10"/>
      <c r="M38" s="10"/>
      <c r="N38" s="11">
        <v>210.0</v>
      </c>
      <c r="O38" s="9">
        <v>1500.0</v>
      </c>
      <c r="P38" s="9"/>
      <c r="Q38" s="9"/>
      <c r="R38" s="10"/>
      <c r="S38" s="17"/>
      <c r="T38" s="12"/>
      <c r="U38" s="10"/>
      <c r="V38" s="10"/>
      <c r="W38" s="10"/>
      <c r="X38" s="10"/>
      <c r="Y38" s="10"/>
    </row>
    <row r="39">
      <c r="A39" s="9"/>
      <c r="B39" s="9" t="s">
        <v>291</v>
      </c>
      <c r="C39" s="9">
        <v>3.0</v>
      </c>
      <c r="D39" s="9">
        <v>2013.0</v>
      </c>
      <c r="E39" s="9" t="s">
        <v>316</v>
      </c>
      <c r="F39" s="9" t="s">
        <v>379</v>
      </c>
      <c r="G39" s="9" t="s">
        <v>401</v>
      </c>
      <c r="H39" s="9" t="s">
        <v>311</v>
      </c>
      <c r="I39" s="9" t="s">
        <v>312</v>
      </c>
      <c r="J39" s="9" t="s">
        <v>318</v>
      </c>
      <c r="K39" s="9" t="s">
        <v>319</v>
      </c>
      <c r="L39" s="9" t="s">
        <v>381</v>
      </c>
      <c r="M39" s="9" t="s">
        <v>382</v>
      </c>
      <c r="N39" s="11">
        <v>50.0</v>
      </c>
      <c r="O39" s="9">
        <v>750.0</v>
      </c>
      <c r="P39" s="9"/>
      <c r="Q39" s="9" t="s">
        <v>627</v>
      </c>
      <c r="R39" s="9" t="s">
        <v>628</v>
      </c>
      <c r="S39" s="9" t="s">
        <v>629</v>
      </c>
      <c r="T39" s="12"/>
      <c r="U39" s="9"/>
      <c r="V39" s="10"/>
      <c r="W39" s="10"/>
      <c r="X39" s="10"/>
      <c r="Y39" s="10"/>
    </row>
    <row r="40" hidden="1"/>
    <row r="42" hidden="1"/>
    <row r="43" hidden="1"/>
    <row r="44">
      <c r="A44" s="9"/>
      <c r="B44" s="9"/>
      <c r="C44" s="9"/>
      <c r="D44" s="9"/>
      <c r="E44" s="9"/>
      <c r="F44" s="9"/>
      <c r="G44" s="9"/>
      <c r="H44" s="9"/>
      <c r="I44" s="10"/>
      <c r="J44" s="9"/>
      <c r="K44" s="9"/>
      <c r="L44" s="9"/>
      <c r="M44" s="10"/>
      <c r="N44" s="11"/>
      <c r="O44" s="9"/>
      <c r="P44" s="9"/>
      <c r="Q44" s="9"/>
      <c r="R44" s="10"/>
      <c r="S44" s="17"/>
      <c r="T44" s="12"/>
      <c r="U44" s="9"/>
      <c r="V44" s="10"/>
      <c r="W44" s="10"/>
      <c r="X44" s="10"/>
      <c r="Y44" s="10"/>
    </row>
    <row r="45" hidden="1"/>
    <row r="46" hidden="1"/>
    <row r="47">
      <c r="A47" s="9"/>
      <c r="B47" s="9" t="s">
        <v>291</v>
      </c>
      <c r="C47" s="9">
        <v>1.0</v>
      </c>
      <c r="D47" s="9">
        <v>2019.0</v>
      </c>
      <c r="E47" s="9" t="s">
        <v>446</v>
      </c>
      <c r="F47" s="9" t="s">
        <v>76</v>
      </c>
      <c r="G47" s="9" t="s">
        <v>630</v>
      </c>
      <c r="H47" s="9" t="s">
        <v>311</v>
      </c>
      <c r="I47" s="9" t="s">
        <v>312</v>
      </c>
      <c r="J47" s="13" t="s">
        <v>334</v>
      </c>
      <c r="K47" s="9" t="s">
        <v>341</v>
      </c>
      <c r="L47" s="10"/>
      <c r="M47" s="10"/>
      <c r="N47" s="11">
        <v>48.0</v>
      </c>
      <c r="O47" s="9">
        <v>750.0</v>
      </c>
      <c r="P47" s="9"/>
      <c r="Q47" s="9"/>
      <c r="R47" s="10"/>
      <c r="S47" s="17"/>
      <c r="T47" s="12"/>
      <c r="U47" s="10"/>
      <c r="V47" s="10"/>
      <c r="W47" s="10"/>
      <c r="X47" s="10"/>
      <c r="Y47" s="10"/>
    </row>
    <row r="48" hidden="1"/>
    <row r="49" hidden="1">
      <c r="A49" s="9"/>
      <c r="B49" s="9" t="s">
        <v>291</v>
      </c>
      <c r="C49" s="9">
        <v>1.0</v>
      </c>
      <c r="D49" s="9">
        <v>2017.0</v>
      </c>
      <c r="E49" s="9" t="s">
        <v>352</v>
      </c>
      <c r="F49" s="9" t="s">
        <v>533</v>
      </c>
      <c r="G49" s="9" t="s">
        <v>146</v>
      </c>
      <c r="H49" s="9" t="s">
        <v>340</v>
      </c>
      <c r="I49" s="9" t="s">
        <v>312</v>
      </c>
      <c r="J49" s="13" t="s">
        <v>334</v>
      </c>
      <c r="K49" s="9" t="s">
        <v>335</v>
      </c>
      <c r="L49" s="9" t="s">
        <v>338</v>
      </c>
      <c r="M49" s="9" t="s">
        <v>631</v>
      </c>
      <c r="N49" s="11">
        <v>119.0</v>
      </c>
      <c r="O49" s="9">
        <v>1500.0</v>
      </c>
      <c r="P49" s="9"/>
      <c r="Q49" s="9"/>
      <c r="R49" s="10"/>
      <c r="S49" s="17"/>
      <c r="T49" s="12"/>
      <c r="U49" s="10"/>
      <c r="V49" s="10"/>
      <c r="W49" s="10"/>
      <c r="X49" s="10"/>
      <c r="Y49" s="10"/>
    </row>
    <row r="50" hidden="1">
      <c r="A50" s="9"/>
      <c r="B50" s="9"/>
      <c r="C50" s="9"/>
      <c r="D50" s="9"/>
      <c r="E50" s="9"/>
      <c r="F50" s="9"/>
      <c r="G50" s="9"/>
      <c r="H50" s="9"/>
      <c r="I50" s="10"/>
      <c r="J50" s="9"/>
      <c r="K50" s="10"/>
      <c r="L50" s="10"/>
      <c r="M50" s="10"/>
      <c r="N50" s="11"/>
      <c r="O50" s="9"/>
      <c r="P50" s="9"/>
      <c r="Q50" s="9"/>
      <c r="R50" s="9"/>
      <c r="S50" s="17"/>
      <c r="T50" s="12"/>
      <c r="U50" s="10"/>
      <c r="V50" s="10"/>
      <c r="W50" s="10"/>
      <c r="X50" s="10"/>
      <c r="Y50" s="10"/>
    </row>
    <row r="51">
      <c r="A51" s="9"/>
      <c r="B51" s="9" t="s">
        <v>291</v>
      </c>
      <c r="C51" s="9">
        <v>1.0</v>
      </c>
      <c r="D51" s="9">
        <v>2018.0</v>
      </c>
      <c r="E51" s="9" t="s">
        <v>8</v>
      </c>
      <c r="F51" s="9" t="s">
        <v>395</v>
      </c>
      <c r="G51" s="9" t="s">
        <v>39</v>
      </c>
      <c r="H51" s="9" t="s">
        <v>340</v>
      </c>
      <c r="I51" s="9" t="s">
        <v>312</v>
      </c>
      <c r="J51" s="13" t="s">
        <v>334</v>
      </c>
      <c r="K51" s="9" t="s">
        <v>341</v>
      </c>
      <c r="L51" s="10"/>
      <c r="M51" s="10"/>
      <c r="N51" s="11">
        <v>26.0</v>
      </c>
      <c r="O51" s="9">
        <v>750.0</v>
      </c>
      <c r="P51" s="9"/>
      <c r="Q51" s="9" t="s">
        <v>632</v>
      </c>
      <c r="R51" s="10"/>
      <c r="S51" s="17"/>
      <c r="T51" s="12"/>
      <c r="U51" s="10"/>
      <c r="V51" s="10"/>
      <c r="W51" s="10"/>
      <c r="X51" s="10"/>
      <c r="Y51" s="10"/>
    </row>
    <row r="52" hidden="1"/>
    <row r="53" hidden="1">
      <c r="A53" s="9"/>
      <c r="B53" s="9" t="s">
        <v>291</v>
      </c>
      <c r="C53" s="9">
        <v>1.0</v>
      </c>
      <c r="D53" s="9">
        <v>2016.0</v>
      </c>
      <c r="E53" s="9" t="s">
        <v>8</v>
      </c>
      <c r="F53" s="9" t="s">
        <v>395</v>
      </c>
      <c r="G53" s="9" t="s">
        <v>39</v>
      </c>
      <c r="H53" s="9" t="s">
        <v>340</v>
      </c>
      <c r="I53" s="9" t="s">
        <v>312</v>
      </c>
      <c r="J53" s="13" t="s">
        <v>334</v>
      </c>
      <c r="K53" s="9" t="s">
        <v>341</v>
      </c>
      <c r="L53" s="10"/>
      <c r="M53" s="10"/>
      <c r="N53" s="11">
        <v>55.0</v>
      </c>
      <c r="O53" s="9">
        <v>1500.0</v>
      </c>
      <c r="P53" s="9"/>
      <c r="Q53" s="9"/>
      <c r="R53" s="10"/>
      <c r="S53" s="17"/>
      <c r="T53" s="12"/>
      <c r="U53" s="10"/>
      <c r="V53" s="10"/>
      <c r="W53" s="10"/>
      <c r="X53" s="10"/>
      <c r="Y53" s="10"/>
    </row>
    <row r="54">
      <c r="A54" s="9"/>
      <c r="B54" s="9" t="s">
        <v>291</v>
      </c>
      <c r="C54" s="9">
        <v>1.0</v>
      </c>
      <c r="D54" s="9">
        <v>2017.0</v>
      </c>
      <c r="E54" s="9" t="s">
        <v>633</v>
      </c>
      <c r="F54" s="9" t="s">
        <v>634</v>
      </c>
      <c r="G54" s="9" t="s">
        <v>634</v>
      </c>
      <c r="H54" s="9" t="s">
        <v>311</v>
      </c>
      <c r="I54" s="9" t="s">
        <v>312</v>
      </c>
      <c r="J54" s="9" t="s">
        <v>318</v>
      </c>
      <c r="K54" s="9" t="s">
        <v>358</v>
      </c>
      <c r="L54" s="9" t="s">
        <v>635</v>
      </c>
      <c r="M54" s="9" t="s">
        <v>636</v>
      </c>
      <c r="N54" s="11">
        <v>75.0</v>
      </c>
      <c r="O54" s="9">
        <v>750.0</v>
      </c>
      <c r="P54" s="9"/>
      <c r="Q54" s="9"/>
      <c r="R54" s="10"/>
      <c r="S54" s="17"/>
      <c r="T54" s="12"/>
      <c r="U54" s="10"/>
      <c r="V54" s="10"/>
      <c r="W54" s="10"/>
      <c r="X54" s="10"/>
      <c r="Y54" s="10"/>
    </row>
    <row r="55" hidden="1">
      <c r="A55" s="9"/>
      <c r="B55" s="9" t="s">
        <v>291</v>
      </c>
      <c r="C55" s="9">
        <v>1.0</v>
      </c>
      <c r="D55" s="9">
        <v>2018.0</v>
      </c>
      <c r="E55" s="9" t="s">
        <v>637</v>
      </c>
      <c r="F55" s="9" t="s">
        <v>638</v>
      </c>
      <c r="G55" s="9" t="s">
        <v>604</v>
      </c>
      <c r="H55" s="9" t="s">
        <v>311</v>
      </c>
      <c r="I55" s="9" t="s">
        <v>312</v>
      </c>
      <c r="J55" s="9" t="s">
        <v>313</v>
      </c>
      <c r="K55" s="9" t="s">
        <v>405</v>
      </c>
      <c r="L55" s="10"/>
      <c r="M55" s="10"/>
      <c r="N55" s="11">
        <v>110.0</v>
      </c>
      <c r="O55" s="9">
        <v>1500.0</v>
      </c>
      <c r="P55" s="9"/>
      <c r="Q55" s="9"/>
      <c r="R55" s="10"/>
      <c r="S55" s="17"/>
      <c r="T55" s="12"/>
      <c r="U55" s="10"/>
      <c r="V55" s="10"/>
      <c r="W55" s="10"/>
      <c r="X55" s="10"/>
      <c r="Y55" s="10"/>
    </row>
    <row r="56" hidden="1"/>
    <row r="57" hidden="1">
      <c r="A57" s="9"/>
      <c r="B57" s="9"/>
      <c r="C57" s="9"/>
      <c r="D57" s="13"/>
      <c r="E57" s="13"/>
      <c r="F57" s="13"/>
      <c r="G57" s="9"/>
      <c r="H57" s="13"/>
      <c r="I57" s="13"/>
      <c r="J57" s="13"/>
      <c r="K57" s="13"/>
      <c r="L57" s="13"/>
      <c r="M57" s="9"/>
      <c r="N57" s="16"/>
      <c r="O57" s="9"/>
      <c r="P57" s="9"/>
      <c r="Q57" s="9"/>
      <c r="R57" s="10"/>
      <c r="S57" s="17"/>
      <c r="T57" s="12"/>
      <c r="U57" s="10"/>
      <c r="V57" s="10"/>
      <c r="W57" s="10"/>
      <c r="X57" s="10"/>
      <c r="Y57" s="10"/>
    </row>
    <row r="58" hidden="1"/>
    <row r="59" hidden="1">
      <c r="A59" s="9"/>
      <c r="B59" s="9" t="s">
        <v>291</v>
      </c>
      <c r="C59" s="9">
        <v>1.0</v>
      </c>
      <c r="D59" s="9">
        <v>2016.0</v>
      </c>
      <c r="E59" s="9" t="s">
        <v>639</v>
      </c>
      <c r="F59" s="9" t="s">
        <v>39</v>
      </c>
      <c r="G59" s="9" t="s">
        <v>39</v>
      </c>
      <c r="H59" s="9" t="s">
        <v>311</v>
      </c>
      <c r="I59" s="9" t="s">
        <v>312</v>
      </c>
      <c r="J59" s="9" t="s">
        <v>318</v>
      </c>
      <c r="K59" s="9" t="s">
        <v>319</v>
      </c>
      <c r="L59" s="10"/>
      <c r="M59" s="10"/>
      <c r="N59" s="11">
        <v>90.0</v>
      </c>
      <c r="O59" s="9">
        <v>1500.0</v>
      </c>
      <c r="P59" s="9"/>
      <c r="Q59" s="9"/>
      <c r="R59" s="10"/>
      <c r="S59" s="17"/>
      <c r="T59" s="12"/>
      <c r="U59" s="10"/>
      <c r="V59" s="10"/>
      <c r="W59" s="10"/>
      <c r="X59" s="10"/>
      <c r="Y59" s="10"/>
    </row>
    <row r="60" hidden="1">
      <c r="A60" s="9"/>
      <c r="B60" s="9" t="s">
        <v>291</v>
      </c>
      <c r="C60" s="9">
        <v>1.0</v>
      </c>
      <c r="D60" s="9">
        <v>2017.0</v>
      </c>
      <c r="E60" s="9" t="s">
        <v>640</v>
      </c>
      <c r="F60" s="9" t="s">
        <v>211</v>
      </c>
      <c r="G60" s="9" t="s">
        <v>211</v>
      </c>
      <c r="H60" s="9" t="s">
        <v>340</v>
      </c>
      <c r="I60" s="9" t="s">
        <v>312</v>
      </c>
      <c r="J60" s="9" t="s">
        <v>318</v>
      </c>
      <c r="K60" s="9" t="s">
        <v>430</v>
      </c>
      <c r="L60" s="9" t="s">
        <v>431</v>
      </c>
      <c r="M60" s="10"/>
      <c r="N60" s="11">
        <v>90.0</v>
      </c>
      <c r="O60" s="9">
        <v>1500.0</v>
      </c>
      <c r="P60" s="9"/>
      <c r="Q60" s="9"/>
      <c r="R60" s="10"/>
      <c r="S60" s="17"/>
      <c r="T60" s="12"/>
      <c r="U60" s="10"/>
      <c r="V60" s="10"/>
      <c r="W60" s="10"/>
      <c r="X60" s="10"/>
      <c r="Y60" s="10"/>
    </row>
    <row r="61" hidden="1">
      <c r="A61" s="9"/>
      <c r="B61" s="9" t="s">
        <v>291</v>
      </c>
      <c r="C61" s="9">
        <v>1.0</v>
      </c>
      <c r="D61" s="9">
        <v>2014.0</v>
      </c>
      <c r="E61" s="9" t="s">
        <v>308</v>
      </c>
      <c r="F61" s="9" t="s">
        <v>641</v>
      </c>
      <c r="G61" s="9" t="s">
        <v>393</v>
      </c>
      <c r="H61" s="9" t="s">
        <v>311</v>
      </c>
      <c r="I61" s="9" t="s">
        <v>312</v>
      </c>
      <c r="J61" s="9" t="s">
        <v>313</v>
      </c>
      <c r="K61" s="9" t="s">
        <v>358</v>
      </c>
      <c r="L61" s="9" t="s">
        <v>396</v>
      </c>
      <c r="M61" s="10"/>
      <c r="N61" s="11">
        <v>160.0</v>
      </c>
      <c r="O61" s="9">
        <v>1500.0</v>
      </c>
      <c r="P61" s="9"/>
      <c r="Q61" s="9"/>
      <c r="R61" s="10"/>
      <c r="S61" s="17"/>
      <c r="T61" s="12"/>
      <c r="U61" s="10"/>
      <c r="V61" s="10"/>
      <c r="W61" s="10"/>
      <c r="X61" s="10"/>
      <c r="Y61" s="10"/>
    </row>
    <row r="62" hidden="1">
      <c r="A62" s="9"/>
      <c r="B62" s="9" t="s">
        <v>291</v>
      </c>
      <c r="C62" s="9">
        <v>1.0</v>
      </c>
      <c r="D62" s="9">
        <v>2018.0</v>
      </c>
      <c r="E62" s="9" t="s">
        <v>445</v>
      </c>
      <c r="F62" s="9" t="s">
        <v>39</v>
      </c>
      <c r="G62" s="9" t="s">
        <v>39</v>
      </c>
      <c r="H62" s="9" t="s">
        <v>311</v>
      </c>
      <c r="I62" s="9" t="s">
        <v>312</v>
      </c>
      <c r="J62" s="9" t="s">
        <v>313</v>
      </c>
      <c r="K62" s="9" t="s">
        <v>405</v>
      </c>
      <c r="L62" s="10"/>
      <c r="M62" s="10"/>
      <c r="N62" s="11">
        <v>170.0</v>
      </c>
      <c r="O62" s="9">
        <v>1500.0</v>
      </c>
      <c r="P62" s="9"/>
      <c r="Q62" s="9"/>
      <c r="R62" s="10"/>
      <c r="S62" s="17"/>
      <c r="T62" s="12"/>
      <c r="U62" s="10"/>
      <c r="V62" s="10"/>
      <c r="W62" s="10"/>
      <c r="X62" s="10"/>
      <c r="Y62" s="10"/>
    </row>
    <row r="63" hidden="1">
      <c r="A63" s="9"/>
      <c r="B63" s="9" t="s">
        <v>291</v>
      </c>
      <c r="C63" s="9">
        <v>1.0</v>
      </c>
      <c r="D63" s="9">
        <v>2017.0</v>
      </c>
      <c r="E63" s="9" t="s">
        <v>586</v>
      </c>
      <c r="F63" s="9" t="s">
        <v>39</v>
      </c>
      <c r="G63" s="9" t="s">
        <v>39</v>
      </c>
      <c r="H63" s="9" t="s">
        <v>311</v>
      </c>
      <c r="I63" s="9" t="s">
        <v>312</v>
      </c>
      <c r="J63" s="13" t="s">
        <v>334</v>
      </c>
      <c r="K63" s="9" t="s">
        <v>341</v>
      </c>
      <c r="L63" s="10"/>
      <c r="M63" s="10"/>
      <c r="N63" s="11">
        <v>56.0</v>
      </c>
      <c r="O63" s="9">
        <v>1500.0</v>
      </c>
      <c r="P63" s="9"/>
      <c r="Q63" s="9"/>
      <c r="R63" s="10"/>
      <c r="S63" s="17"/>
      <c r="T63" s="12"/>
      <c r="U63" s="10"/>
      <c r="V63" s="10"/>
      <c r="W63" s="10"/>
      <c r="X63" s="10"/>
      <c r="Y63" s="10"/>
    </row>
    <row r="64" hidden="1">
      <c r="A64" s="9"/>
      <c r="B64" s="9" t="s">
        <v>291</v>
      </c>
      <c r="C64" s="9">
        <v>1.0</v>
      </c>
      <c r="D64" s="9">
        <v>2017.0</v>
      </c>
      <c r="E64" s="9" t="s">
        <v>198</v>
      </c>
      <c r="F64" s="9" t="s">
        <v>395</v>
      </c>
      <c r="G64" s="9" t="s">
        <v>39</v>
      </c>
      <c r="H64" s="13" t="s">
        <v>311</v>
      </c>
      <c r="I64" s="13" t="s">
        <v>312</v>
      </c>
      <c r="J64" s="13" t="s">
        <v>334</v>
      </c>
      <c r="K64" s="13" t="s">
        <v>335</v>
      </c>
      <c r="L64" s="10"/>
      <c r="M64" s="10"/>
      <c r="N64" s="11">
        <v>133.0</v>
      </c>
      <c r="O64" s="9">
        <v>1500.0</v>
      </c>
      <c r="P64" s="9"/>
      <c r="Q64" s="9"/>
      <c r="R64" s="9"/>
      <c r="S64" s="17"/>
      <c r="T64" s="12"/>
      <c r="U64" s="10"/>
      <c r="V64" s="10"/>
      <c r="W64" s="10"/>
      <c r="X64" s="10"/>
      <c r="Y64" s="10"/>
    </row>
    <row r="65" hidden="1">
      <c r="A65" s="9"/>
      <c r="B65" s="9" t="s">
        <v>291</v>
      </c>
      <c r="C65" s="9">
        <v>1.0</v>
      </c>
      <c r="D65" s="9">
        <v>2016.0</v>
      </c>
      <c r="E65" s="9" t="s">
        <v>403</v>
      </c>
      <c r="F65" s="9" t="s">
        <v>404</v>
      </c>
      <c r="G65" s="9" t="s">
        <v>404</v>
      </c>
      <c r="H65" s="9" t="s">
        <v>340</v>
      </c>
      <c r="I65" s="9" t="s">
        <v>312</v>
      </c>
      <c r="J65" s="9" t="s">
        <v>318</v>
      </c>
      <c r="K65" s="9" t="s">
        <v>405</v>
      </c>
      <c r="L65" s="9" t="s">
        <v>406</v>
      </c>
      <c r="M65" s="9" t="s">
        <v>407</v>
      </c>
      <c r="N65" s="11">
        <v>150.0</v>
      </c>
      <c r="O65" s="9">
        <v>1500.0</v>
      </c>
      <c r="P65" s="9"/>
      <c r="Q65" s="9"/>
      <c r="R65" s="10"/>
      <c r="S65" s="17"/>
      <c r="T65" s="12"/>
      <c r="U65" s="10"/>
      <c r="V65" s="10"/>
      <c r="W65" s="10"/>
      <c r="X65" s="10"/>
      <c r="Y65" s="10"/>
    </row>
    <row r="66">
      <c r="A66" s="9"/>
      <c r="B66" s="9" t="s">
        <v>291</v>
      </c>
      <c r="C66" s="9">
        <v>1.0</v>
      </c>
      <c r="D66" s="9">
        <v>2019.0</v>
      </c>
      <c r="E66" s="9" t="s">
        <v>73</v>
      </c>
      <c r="F66" s="9" t="s">
        <v>408</v>
      </c>
      <c r="G66" s="9" t="s">
        <v>39</v>
      </c>
      <c r="H66" s="9" t="s">
        <v>340</v>
      </c>
      <c r="I66" s="9" t="s">
        <v>312</v>
      </c>
      <c r="J66" s="9" t="s">
        <v>318</v>
      </c>
      <c r="K66" s="9" t="s">
        <v>358</v>
      </c>
      <c r="L66" s="9" t="s">
        <v>386</v>
      </c>
      <c r="M66" s="9" t="s">
        <v>409</v>
      </c>
      <c r="N66" s="11">
        <v>45.0</v>
      </c>
      <c r="O66" s="9">
        <v>750.0</v>
      </c>
      <c r="P66" s="9" t="s">
        <v>642</v>
      </c>
      <c r="Q66" s="9">
        <v>11.0</v>
      </c>
      <c r="R66" s="10"/>
      <c r="S66" s="17"/>
      <c r="T66" s="12"/>
      <c r="U66" s="10"/>
      <c r="V66" s="10"/>
      <c r="W66" s="10"/>
      <c r="X66" s="10"/>
      <c r="Y66" s="10"/>
    </row>
    <row r="67">
      <c r="A67" s="9"/>
      <c r="B67" s="9" t="s">
        <v>291</v>
      </c>
      <c r="C67" s="9">
        <v>1.0</v>
      </c>
      <c r="D67" s="9">
        <v>2017.0</v>
      </c>
      <c r="E67" s="9" t="s">
        <v>65</v>
      </c>
      <c r="F67" s="9" t="s">
        <v>122</v>
      </c>
      <c r="G67" s="9" t="s">
        <v>122</v>
      </c>
      <c r="H67" s="9" t="s">
        <v>340</v>
      </c>
      <c r="I67" s="9" t="s">
        <v>347</v>
      </c>
      <c r="J67" s="9" t="s">
        <v>318</v>
      </c>
      <c r="K67" s="9" t="s">
        <v>358</v>
      </c>
      <c r="L67" s="9" t="s">
        <v>315</v>
      </c>
      <c r="M67" s="9" t="s">
        <v>643</v>
      </c>
      <c r="N67" s="11">
        <v>34.0</v>
      </c>
      <c r="O67" s="9">
        <v>750.0</v>
      </c>
      <c r="P67" s="9"/>
      <c r="Q67" s="9"/>
      <c r="R67" s="10"/>
      <c r="S67" s="17"/>
      <c r="T67" s="12"/>
      <c r="U67" s="10"/>
      <c r="V67" s="10"/>
      <c r="W67" s="10"/>
      <c r="X67" s="10"/>
      <c r="Y67" s="10"/>
    </row>
    <row r="68">
      <c r="A68" s="9"/>
      <c r="B68" s="9" t="s">
        <v>291</v>
      </c>
      <c r="C68" s="9">
        <v>1.0</v>
      </c>
      <c r="D68" s="9">
        <v>2017.0</v>
      </c>
      <c r="E68" s="9" t="s">
        <v>586</v>
      </c>
      <c r="F68" s="9" t="s">
        <v>39</v>
      </c>
      <c r="G68" s="9" t="s">
        <v>39</v>
      </c>
      <c r="H68" s="9" t="s">
        <v>311</v>
      </c>
      <c r="I68" s="9" t="s">
        <v>312</v>
      </c>
      <c r="J68" s="13" t="s">
        <v>334</v>
      </c>
      <c r="K68" s="9" t="s">
        <v>341</v>
      </c>
      <c r="L68" s="10"/>
      <c r="M68" s="10"/>
      <c r="N68" s="11">
        <v>26.0</v>
      </c>
      <c r="O68" s="9">
        <v>750.0</v>
      </c>
      <c r="P68" s="9"/>
      <c r="Q68" s="9"/>
      <c r="R68" s="10"/>
      <c r="S68" s="17"/>
      <c r="T68" s="12"/>
      <c r="U68" s="10"/>
      <c r="V68" s="10"/>
      <c r="W68" s="10"/>
      <c r="X68" s="10"/>
      <c r="Y68" s="10"/>
    </row>
    <row r="70">
      <c r="A70" s="9"/>
      <c r="B70" s="9" t="s">
        <v>291</v>
      </c>
      <c r="C70" s="9">
        <v>1.0</v>
      </c>
      <c r="D70" s="9">
        <v>2017.0</v>
      </c>
      <c r="E70" s="9" t="s">
        <v>446</v>
      </c>
      <c r="F70" s="9" t="s">
        <v>80</v>
      </c>
      <c r="G70" s="9" t="s">
        <v>415</v>
      </c>
      <c r="H70" s="9" t="s">
        <v>340</v>
      </c>
      <c r="I70" s="9" t="s">
        <v>312</v>
      </c>
      <c r="J70" s="9" t="s">
        <v>348</v>
      </c>
      <c r="K70" s="9" t="s">
        <v>448</v>
      </c>
      <c r="L70" s="10"/>
      <c r="M70" s="10"/>
      <c r="N70" s="11">
        <v>42.0</v>
      </c>
      <c r="O70" s="9">
        <v>750.0</v>
      </c>
      <c r="P70" s="9"/>
      <c r="Q70" s="9"/>
      <c r="R70" s="9" t="s">
        <v>644</v>
      </c>
      <c r="S70" s="17"/>
      <c r="T70" s="12"/>
      <c r="U70" s="10"/>
      <c r="V70" s="10"/>
      <c r="W70" s="10"/>
      <c r="X70" s="10"/>
      <c r="Y70" s="10"/>
    </row>
    <row r="71">
      <c r="A71" s="9"/>
      <c r="B71" s="9" t="s">
        <v>291</v>
      </c>
      <c r="C71" s="9">
        <v>1.0</v>
      </c>
      <c r="D71" s="9">
        <v>2018.0</v>
      </c>
      <c r="E71" s="9" t="s">
        <v>645</v>
      </c>
      <c r="F71" s="9" t="s">
        <v>39</v>
      </c>
      <c r="G71" s="9" t="s">
        <v>39</v>
      </c>
      <c r="H71" s="9" t="s">
        <v>311</v>
      </c>
      <c r="I71" s="9" t="s">
        <v>312</v>
      </c>
      <c r="J71" s="9" t="s">
        <v>318</v>
      </c>
      <c r="K71" s="10"/>
      <c r="L71" s="10"/>
      <c r="M71" s="10"/>
      <c r="N71" s="11">
        <v>15.0</v>
      </c>
      <c r="O71" s="9">
        <v>750.0</v>
      </c>
      <c r="P71" s="9"/>
      <c r="Q71" s="9"/>
      <c r="R71" s="10"/>
      <c r="S71" s="30"/>
      <c r="T71" s="6"/>
      <c r="U71" s="10"/>
      <c r="V71" s="10"/>
      <c r="W71" s="10"/>
      <c r="X71" s="10"/>
      <c r="Y71" s="10"/>
    </row>
    <row r="72" hidden="1"/>
    <row r="73">
      <c r="A73" s="9"/>
      <c r="B73" s="9" t="s">
        <v>291</v>
      </c>
      <c r="C73" s="9">
        <v>1.0</v>
      </c>
      <c r="D73" s="9">
        <v>2017.0</v>
      </c>
      <c r="E73" s="9" t="s">
        <v>403</v>
      </c>
      <c r="F73" s="9" t="s">
        <v>520</v>
      </c>
      <c r="G73" s="9" t="s">
        <v>35</v>
      </c>
      <c r="H73" s="9" t="s">
        <v>311</v>
      </c>
      <c r="I73" s="9" t="s">
        <v>312</v>
      </c>
      <c r="J73" s="9" t="s">
        <v>313</v>
      </c>
      <c r="K73" s="9" t="s">
        <v>405</v>
      </c>
      <c r="L73" s="9" t="s">
        <v>439</v>
      </c>
      <c r="M73" s="10"/>
      <c r="N73" s="11">
        <v>40.0</v>
      </c>
      <c r="O73" s="9">
        <v>750.0</v>
      </c>
      <c r="P73" s="9"/>
      <c r="Q73" s="9"/>
      <c r="R73" s="10"/>
      <c r="S73" s="17"/>
      <c r="T73" s="12"/>
      <c r="U73" s="10"/>
      <c r="V73" s="10"/>
      <c r="W73" s="10"/>
      <c r="X73" s="10"/>
      <c r="Y73" s="10"/>
    </row>
    <row r="74">
      <c r="A74" s="9"/>
      <c r="B74" s="9" t="s">
        <v>291</v>
      </c>
      <c r="C74" s="9">
        <v>1.0</v>
      </c>
      <c r="D74" s="9">
        <v>2017.0</v>
      </c>
      <c r="E74" s="9" t="s">
        <v>403</v>
      </c>
      <c r="F74" s="9" t="s">
        <v>634</v>
      </c>
      <c r="G74" s="9" t="s">
        <v>184</v>
      </c>
      <c r="H74" s="9" t="s">
        <v>311</v>
      </c>
      <c r="I74" s="9" t="s">
        <v>312</v>
      </c>
      <c r="J74" s="9" t="s">
        <v>313</v>
      </c>
      <c r="K74" s="9" t="s">
        <v>405</v>
      </c>
      <c r="L74" s="9" t="s">
        <v>646</v>
      </c>
      <c r="M74" s="10"/>
      <c r="N74" s="11">
        <v>42.0</v>
      </c>
      <c r="O74" s="9">
        <v>750.0</v>
      </c>
      <c r="P74" s="9"/>
      <c r="Q74" s="9"/>
      <c r="R74" s="10"/>
      <c r="S74" s="17"/>
      <c r="T74" s="12"/>
      <c r="U74" s="10"/>
      <c r="V74" s="10"/>
      <c r="W74" s="10"/>
      <c r="X74" s="10"/>
      <c r="Y74" s="10"/>
    </row>
    <row r="75" hidden="1"/>
    <row r="76">
      <c r="A76" s="9"/>
      <c r="B76" s="9" t="s">
        <v>291</v>
      </c>
      <c r="C76" s="9">
        <v>2.0</v>
      </c>
      <c r="D76" s="9">
        <v>2018.0</v>
      </c>
      <c r="E76" s="9" t="s">
        <v>525</v>
      </c>
      <c r="F76" s="9" t="s">
        <v>526</v>
      </c>
      <c r="G76" s="9" t="s">
        <v>146</v>
      </c>
      <c r="H76" s="9" t="s">
        <v>311</v>
      </c>
      <c r="I76" s="9" t="s">
        <v>312</v>
      </c>
      <c r="J76" s="9" t="s">
        <v>313</v>
      </c>
      <c r="K76" s="10"/>
      <c r="L76" s="10"/>
      <c r="M76" s="10"/>
      <c r="N76" s="11">
        <v>35.0</v>
      </c>
      <c r="O76" s="9">
        <v>750.0</v>
      </c>
      <c r="P76" s="9"/>
      <c r="Q76" s="9">
        <v>13.0</v>
      </c>
      <c r="R76" s="9" t="s">
        <v>647</v>
      </c>
      <c r="S76" s="17"/>
      <c r="T76" s="12"/>
      <c r="U76" s="10"/>
      <c r="V76" s="10"/>
      <c r="W76" s="10"/>
      <c r="X76" s="10"/>
      <c r="Y76" s="10"/>
    </row>
    <row r="77" hidden="1">
      <c r="A77" s="3" t="s">
        <v>648</v>
      </c>
    </row>
    <row r="78">
      <c r="A78" s="9"/>
      <c r="B78" s="9" t="s">
        <v>291</v>
      </c>
      <c r="C78" s="9">
        <v>2.0</v>
      </c>
      <c r="D78" s="9">
        <v>2018.0</v>
      </c>
      <c r="E78" s="9" t="s">
        <v>649</v>
      </c>
      <c r="F78" s="9" t="s">
        <v>39</v>
      </c>
      <c r="G78" s="9" t="s">
        <v>39</v>
      </c>
      <c r="H78" s="9" t="s">
        <v>311</v>
      </c>
      <c r="I78" s="9" t="s">
        <v>312</v>
      </c>
      <c r="J78" s="9" t="s">
        <v>348</v>
      </c>
      <c r="K78" s="10"/>
      <c r="L78" s="10"/>
      <c r="M78" s="10"/>
      <c r="N78" s="11">
        <v>16.0</v>
      </c>
      <c r="O78" s="9">
        <v>750.0</v>
      </c>
      <c r="P78" s="9"/>
      <c r="Q78" s="9">
        <v>19.0</v>
      </c>
      <c r="R78" s="10"/>
      <c r="S78" s="17"/>
      <c r="T78" s="12"/>
      <c r="U78" s="10"/>
      <c r="V78" s="10"/>
      <c r="W78" s="10"/>
      <c r="X78" s="10"/>
      <c r="Y78" s="10"/>
    </row>
    <row r="79" hidden="1"/>
    <row r="80">
      <c r="A80" s="9"/>
      <c r="B80" s="9" t="s">
        <v>291</v>
      </c>
      <c r="C80" s="9">
        <v>1.0</v>
      </c>
      <c r="D80" s="9">
        <v>2018.0</v>
      </c>
      <c r="E80" s="9" t="s">
        <v>410</v>
      </c>
      <c r="F80" s="9" t="s">
        <v>650</v>
      </c>
      <c r="G80" s="9" t="s">
        <v>651</v>
      </c>
      <c r="H80" s="9" t="s">
        <v>340</v>
      </c>
      <c r="I80" s="9" t="s">
        <v>312</v>
      </c>
      <c r="J80" s="9" t="s">
        <v>318</v>
      </c>
      <c r="K80" s="9" t="s">
        <v>405</v>
      </c>
      <c r="L80" s="10"/>
      <c r="M80" s="10"/>
      <c r="N80" s="11">
        <v>60.0</v>
      </c>
      <c r="O80" s="9">
        <v>750.0</v>
      </c>
      <c r="P80" s="9" t="s">
        <v>440</v>
      </c>
      <c r="Q80" s="9"/>
      <c r="R80" s="10"/>
      <c r="S80" s="17"/>
      <c r="T80" s="12"/>
      <c r="U80" s="10"/>
      <c r="V80" s="10"/>
      <c r="W80" s="10"/>
      <c r="X80" s="10"/>
      <c r="Y80" s="10"/>
    </row>
    <row r="81" hidden="1"/>
    <row r="82" hidden="1"/>
    <row r="83" hidden="1"/>
    <row r="84" hidden="1">
      <c r="A84" s="9"/>
      <c r="B84" s="9"/>
      <c r="C84" s="9"/>
      <c r="D84" s="9"/>
      <c r="E84" s="9"/>
      <c r="F84" s="9"/>
      <c r="G84" s="9"/>
      <c r="H84" s="9"/>
      <c r="I84" s="10"/>
      <c r="J84" s="9"/>
      <c r="K84" s="9"/>
      <c r="L84" s="10"/>
      <c r="M84" s="10"/>
      <c r="N84" s="11"/>
      <c r="O84" s="9"/>
      <c r="P84" s="9"/>
      <c r="Q84" s="9"/>
      <c r="R84" s="10"/>
      <c r="S84" s="17"/>
      <c r="T84" s="12"/>
      <c r="U84" s="10"/>
      <c r="V84" s="10"/>
      <c r="W84" s="10"/>
      <c r="X84" s="10"/>
      <c r="Y84" s="10"/>
    </row>
    <row r="85">
      <c r="A85" s="9"/>
      <c r="B85" s="9" t="s">
        <v>291</v>
      </c>
      <c r="C85" s="9">
        <v>1.0</v>
      </c>
      <c r="D85" s="9">
        <v>2019.0</v>
      </c>
      <c r="E85" s="9" t="s">
        <v>652</v>
      </c>
      <c r="F85" s="9" t="s">
        <v>653</v>
      </c>
      <c r="G85" s="9" t="s">
        <v>654</v>
      </c>
      <c r="H85" s="9" t="s">
        <v>340</v>
      </c>
      <c r="I85" s="9" t="s">
        <v>312</v>
      </c>
      <c r="J85" s="9" t="s">
        <v>318</v>
      </c>
      <c r="K85" s="9" t="s">
        <v>430</v>
      </c>
      <c r="L85" s="10"/>
      <c r="M85" s="9" t="s">
        <v>655</v>
      </c>
      <c r="N85" s="11">
        <v>32.0</v>
      </c>
      <c r="O85" s="9">
        <v>750.0</v>
      </c>
      <c r="P85" s="9"/>
      <c r="Q85" s="9"/>
      <c r="R85" s="10"/>
      <c r="S85" s="20"/>
      <c r="T85" s="22"/>
      <c r="U85" s="10"/>
      <c r="V85" s="10"/>
      <c r="W85" s="10"/>
      <c r="X85" s="10"/>
      <c r="Y85" s="10"/>
    </row>
    <row r="86" hidden="1"/>
    <row r="87">
      <c r="A87" s="9"/>
      <c r="B87" s="9" t="s">
        <v>291</v>
      </c>
      <c r="C87" s="9">
        <v>2.0</v>
      </c>
      <c r="D87" s="9">
        <v>2015.0</v>
      </c>
      <c r="E87" s="9" t="s">
        <v>316</v>
      </c>
      <c r="F87" s="9" t="s">
        <v>444</v>
      </c>
      <c r="G87" s="9" t="s">
        <v>393</v>
      </c>
      <c r="H87" s="9" t="s">
        <v>311</v>
      </c>
      <c r="I87" s="9" t="s">
        <v>347</v>
      </c>
      <c r="J87" s="9" t="s">
        <v>318</v>
      </c>
      <c r="K87" s="9" t="s">
        <v>319</v>
      </c>
      <c r="L87" s="21" t="s">
        <v>394</v>
      </c>
      <c r="M87" s="9" t="s">
        <v>443</v>
      </c>
      <c r="N87" s="11">
        <v>100.0</v>
      </c>
      <c r="O87" s="9">
        <v>750.0</v>
      </c>
      <c r="P87" s="9" t="s">
        <v>440</v>
      </c>
      <c r="Q87" s="9">
        <v>17.0</v>
      </c>
      <c r="R87" s="10"/>
      <c r="S87" s="20"/>
      <c r="T87" s="22"/>
      <c r="U87" s="10"/>
      <c r="V87" s="10"/>
      <c r="W87" s="10"/>
      <c r="X87" s="10"/>
      <c r="Y87" s="10"/>
    </row>
    <row r="89">
      <c r="A89" s="9"/>
      <c r="B89" s="9" t="s">
        <v>291</v>
      </c>
      <c r="C89" s="9">
        <v>1.0</v>
      </c>
      <c r="D89" s="9">
        <v>2018.0</v>
      </c>
      <c r="E89" s="9" t="s">
        <v>410</v>
      </c>
      <c r="F89" s="9" t="s">
        <v>656</v>
      </c>
      <c r="G89" s="9" t="s">
        <v>109</v>
      </c>
      <c r="H89" s="9" t="s">
        <v>311</v>
      </c>
      <c r="I89" s="9" t="s">
        <v>347</v>
      </c>
      <c r="J89" s="9" t="s">
        <v>318</v>
      </c>
      <c r="K89" s="9" t="s">
        <v>319</v>
      </c>
      <c r="L89" s="9" t="s">
        <v>657</v>
      </c>
      <c r="M89" s="9" t="s">
        <v>658</v>
      </c>
      <c r="N89" s="11">
        <v>52.0</v>
      </c>
      <c r="O89" s="9">
        <v>750.0</v>
      </c>
      <c r="P89" s="9" t="s">
        <v>440</v>
      </c>
      <c r="Q89" s="9"/>
      <c r="R89" s="9" t="s">
        <v>659</v>
      </c>
      <c r="S89" s="20"/>
      <c r="T89" s="22"/>
      <c r="U89" s="10"/>
      <c r="V89" s="10"/>
      <c r="W89" s="10"/>
      <c r="X89" s="10"/>
      <c r="Y89" s="10"/>
    </row>
    <row r="90" hidden="1">
      <c r="A90" s="9"/>
      <c r="B90" s="9" t="s">
        <v>291</v>
      </c>
      <c r="C90" s="9">
        <v>1.0</v>
      </c>
      <c r="D90" s="9">
        <v>2018.0</v>
      </c>
      <c r="E90" s="9" t="s">
        <v>410</v>
      </c>
      <c r="F90" s="9" t="s">
        <v>395</v>
      </c>
      <c r="G90" s="9" t="s">
        <v>39</v>
      </c>
      <c r="H90" s="9" t="s">
        <v>311</v>
      </c>
      <c r="I90" s="9" t="s">
        <v>347</v>
      </c>
      <c r="J90" s="9" t="s">
        <v>318</v>
      </c>
      <c r="K90" s="9" t="s">
        <v>319</v>
      </c>
      <c r="L90" s="10"/>
      <c r="M90" s="10"/>
      <c r="N90" s="11">
        <v>250.0</v>
      </c>
      <c r="O90" s="9">
        <v>3000.0</v>
      </c>
      <c r="P90" s="9"/>
      <c r="Q90" s="9"/>
      <c r="R90" s="9"/>
      <c r="S90" s="20"/>
      <c r="T90" s="22"/>
      <c r="U90" s="10"/>
      <c r="V90" s="10"/>
      <c r="W90" s="10"/>
      <c r="X90" s="10"/>
      <c r="Y90" s="10"/>
    </row>
    <row r="91">
      <c r="A91" s="9"/>
      <c r="B91" s="9" t="s">
        <v>291</v>
      </c>
      <c r="C91" s="9">
        <v>1.0</v>
      </c>
      <c r="D91" s="9">
        <v>2014.0</v>
      </c>
      <c r="E91" s="9" t="s">
        <v>410</v>
      </c>
      <c r="F91" s="9" t="s">
        <v>35</v>
      </c>
      <c r="G91" s="9" t="s">
        <v>35</v>
      </c>
      <c r="H91" s="9" t="s">
        <v>311</v>
      </c>
      <c r="I91" s="9" t="s">
        <v>347</v>
      </c>
      <c r="J91" s="9" t="s">
        <v>318</v>
      </c>
      <c r="K91" s="9" t="s">
        <v>358</v>
      </c>
      <c r="L91" s="9" t="s">
        <v>396</v>
      </c>
      <c r="M91" s="10"/>
      <c r="N91" s="11">
        <v>40.0</v>
      </c>
      <c r="O91" s="9">
        <v>750.0</v>
      </c>
      <c r="P91" s="9"/>
      <c r="Q91" s="9"/>
      <c r="R91" s="9" t="s">
        <v>659</v>
      </c>
      <c r="S91" s="20"/>
      <c r="T91" s="22"/>
      <c r="U91" s="10"/>
      <c r="V91" s="10"/>
      <c r="W91" s="10"/>
      <c r="X91" s="10"/>
      <c r="Y91" s="10"/>
    </row>
    <row r="92">
      <c r="A92" s="9"/>
      <c r="B92" s="9" t="s">
        <v>291</v>
      </c>
      <c r="C92" s="9">
        <v>2.0</v>
      </c>
      <c r="D92" s="9">
        <v>2019.0</v>
      </c>
      <c r="E92" s="9" t="s">
        <v>198</v>
      </c>
      <c r="F92" s="9" t="s">
        <v>200</v>
      </c>
      <c r="G92" s="9" t="s">
        <v>200</v>
      </c>
      <c r="H92" s="9" t="s">
        <v>311</v>
      </c>
      <c r="I92" s="9" t="s">
        <v>347</v>
      </c>
      <c r="J92" s="9" t="s">
        <v>318</v>
      </c>
      <c r="K92" s="9" t="s">
        <v>358</v>
      </c>
      <c r="L92" s="9" t="s">
        <v>386</v>
      </c>
      <c r="M92" s="9" t="s">
        <v>418</v>
      </c>
      <c r="N92" s="11">
        <v>34.0</v>
      </c>
      <c r="O92" s="9">
        <v>750.0</v>
      </c>
      <c r="P92" s="9" t="s">
        <v>617</v>
      </c>
      <c r="Q92" s="9">
        <v>19.0</v>
      </c>
      <c r="R92" s="10"/>
      <c r="S92" s="20"/>
      <c r="T92" s="22"/>
      <c r="U92" s="10"/>
      <c r="V92" s="10"/>
      <c r="W92" s="10"/>
      <c r="X92" s="10"/>
      <c r="Y92" s="10"/>
    </row>
    <row r="93">
      <c r="A93" s="9"/>
      <c r="B93" s="9" t="s">
        <v>291</v>
      </c>
      <c r="C93" s="9">
        <v>2.0</v>
      </c>
      <c r="D93" s="9">
        <v>2019.0</v>
      </c>
      <c r="E93" s="9" t="s">
        <v>198</v>
      </c>
      <c r="F93" s="9" t="s">
        <v>395</v>
      </c>
      <c r="G93" s="9" t="s">
        <v>39</v>
      </c>
      <c r="H93" s="9" t="s">
        <v>311</v>
      </c>
      <c r="I93" s="9" t="s">
        <v>347</v>
      </c>
      <c r="J93" s="9" t="s">
        <v>348</v>
      </c>
      <c r="K93" s="9" t="s">
        <v>335</v>
      </c>
      <c r="L93" s="9" t="s">
        <v>417</v>
      </c>
      <c r="M93" s="9" t="s">
        <v>234</v>
      </c>
      <c r="N93" s="11">
        <v>70.0</v>
      </c>
      <c r="O93" s="9">
        <v>750.0</v>
      </c>
      <c r="P93" s="9" t="s">
        <v>617</v>
      </c>
      <c r="Q93" s="9">
        <v>17.0</v>
      </c>
      <c r="R93" s="10"/>
      <c r="S93" s="20"/>
      <c r="T93" s="22"/>
      <c r="U93" s="10"/>
      <c r="V93" s="10"/>
      <c r="W93" s="10"/>
      <c r="X93" s="10"/>
      <c r="Y93" s="10"/>
    </row>
    <row r="94">
      <c r="A94" s="9"/>
      <c r="B94" s="9" t="s">
        <v>291</v>
      </c>
      <c r="C94" s="9">
        <v>1.0</v>
      </c>
      <c r="D94" s="9">
        <v>2018.0</v>
      </c>
      <c r="E94" s="9" t="s">
        <v>73</v>
      </c>
      <c r="F94" s="9" t="s">
        <v>660</v>
      </c>
      <c r="G94" s="9" t="s">
        <v>661</v>
      </c>
      <c r="H94" s="9" t="s">
        <v>311</v>
      </c>
      <c r="I94" s="9" t="s">
        <v>347</v>
      </c>
      <c r="J94" s="9" t="s">
        <v>318</v>
      </c>
      <c r="K94" s="9" t="s">
        <v>358</v>
      </c>
      <c r="L94" s="9" t="s">
        <v>386</v>
      </c>
      <c r="M94" s="10"/>
      <c r="N94" s="11">
        <v>49.0</v>
      </c>
      <c r="O94" s="9">
        <v>750.0</v>
      </c>
      <c r="P94" s="9" t="s">
        <v>440</v>
      </c>
      <c r="Q94" s="9"/>
      <c r="R94" s="10"/>
      <c r="S94" s="17"/>
      <c r="T94" s="12"/>
      <c r="U94" s="10"/>
      <c r="V94" s="10"/>
      <c r="W94" s="10"/>
      <c r="X94" s="10"/>
      <c r="Y94" s="10"/>
    </row>
    <row r="95">
      <c r="A95" s="9"/>
      <c r="B95" s="9" t="s">
        <v>291</v>
      </c>
      <c r="C95" s="9">
        <v>1.0</v>
      </c>
      <c r="D95" s="9">
        <v>2019.0</v>
      </c>
      <c r="E95" s="9" t="s">
        <v>73</v>
      </c>
      <c r="F95" s="9" t="s">
        <v>404</v>
      </c>
      <c r="G95" s="9" t="s">
        <v>404</v>
      </c>
      <c r="H95" s="9" t="s">
        <v>311</v>
      </c>
      <c r="I95" s="9" t="s">
        <v>347</v>
      </c>
      <c r="J95" s="9" t="s">
        <v>318</v>
      </c>
      <c r="K95" s="9" t="s">
        <v>358</v>
      </c>
      <c r="L95" s="9" t="s">
        <v>399</v>
      </c>
      <c r="M95" s="9" t="s">
        <v>400</v>
      </c>
      <c r="N95" s="11">
        <v>38.0</v>
      </c>
      <c r="O95" s="9">
        <v>750.0</v>
      </c>
      <c r="P95" s="9" t="s">
        <v>440</v>
      </c>
      <c r="Q95" s="9"/>
      <c r="R95" s="10"/>
      <c r="S95" s="17"/>
      <c r="T95" s="12"/>
      <c r="U95" s="10"/>
      <c r="V95" s="10"/>
      <c r="W95" s="10"/>
      <c r="X95" s="10"/>
      <c r="Y95" s="10"/>
    </row>
    <row r="96">
      <c r="A96" s="9"/>
      <c r="B96" s="9" t="s">
        <v>291</v>
      </c>
      <c r="C96" s="9">
        <v>1.0</v>
      </c>
      <c r="D96" s="9">
        <v>2018.0</v>
      </c>
      <c r="E96" s="9" t="s">
        <v>73</v>
      </c>
      <c r="F96" s="9" t="s">
        <v>39</v>
      </c>
      <c r="G96" s="9" t="s">
        <v>39</v>
      </c>
      <c r="H96" s="9" t="s">
        <v>311</v>
      </c>
      <c r="I96" s="9" t="s">
        <v>347</v>
      </c>
      <c r="J96" s="9" t="s">
        <v>318</v>
      </c>
      <c r="K96" s="9" t="s">
        <v>358</v>
      </c>
      <c r="L96" s="9" t="s">
        <v>386</v>
      </c>
      <c r="M96" s="10"/>
      <c r="N96" s="11">
        <v>45.0</v>
      </c>
      <c r="O96" s="9">
        <v>750.0</v>
      </c>
      <c r="P96" s="9" t="s">
        <v>440</v>
      </c>
      <c r="Q96" s="10"/>
      <c r="R96" s="10"/>
      <c r="S96" s="17"/>
      <c r="T96" s="12"/>
      <c r="U96" s="10"/>
      <c r="V96" s="10"/>
      <c r="W96" s="10"/>
      <c r="X96" s="10"/>
      <c r="Y96" s="10"/>
    </row>
    <row r="97" hidden="1"/>
    <row r="98" hidden="1"/>
    <row r="99">
      <c r="A99" s="9"/>
      <c r="B99" s="9" t="s">
        <v>291</v>
      </c>
      <c r="C99" s="9">
        <v>1.0</v>
      </c>
      <c r="D99" s="9">
        <v>2019.0</v>
      </c>
      <c r="E99" s="9" t="s">
        <v>446</v>
      </c>
      <c r="F99" s="9" t="s">
        <v>81</v>
      </c>
      <c r="G99" s="9" t="s">
        <v>604</v>
      </c>
      <c r="H99" s="9" t="s">
        <v>311</v>
      </c>
      <c r="I99" s="9" t="s">
        <v>347</v>
      </c>
      <c r="J99" s="9" t="s">
        <v>348</v>
      </c>
      <c r="K99" s="9" t="s">
        <v>447</v>
      </c>
      <c r="L99" s="9" t="s">
        <v>448</v>
      </c>
      <c r="M99" s="10"/>
      <c r="N99" s="11">
        <v>44.0</v>
      </c>
      <c r="O99" s="9">
        <v>750.0</v>
      </c>
      <c r="P99" s="9"/>
      <c r="Q99" s="9"/>
      <c r="R99" s="10"/>
      <c r="S99" s="17"/>
      <c r="T99" s="12"/>
      <c r="U99" s="10"/>
      <c r="V99" s="10"/>
      <c r="W99" s="10"/>
      <c r="X99" s="10"/>
      <c r="Y99" s="10"/>
    </row>
    <row r="100">
      <c r="A100" s="9"/>
      <c r="B100" s="9" t="s">
        <v>585</v>
      </c>
      <c r="C100" s="9">
        <v>2.0</v>
      </c>
      <c r="D100" s="9">
        <v>2019.0</v>
      </c>
      <c r="E100" s="9" t="s">
        <v>662</v>
      </c>
      <c r="F100" s="9" t="s">
        <v>587</v>
      </c>
      <c r="G100" s="9" t="s">
        <v>587</v>
      </c>
      <c r="H100" s="9" t="s">
        <v>311</v>
      </c>
      <c r="I100" s="9" t="s">
        <v>347</v>
      </c>
      <c r="J100" s="9"/>
      <c r="K100" s="10"/>
      <c r="L100" s="10"/>
      <c r="M100" s="10"/>
      <c r="N100" s="11">
        <v>12.0</v>
      </c>
      <c r="O100" s="9">
        <v>750.0</v>
      </c>
      <c r="P100" s="9"/>
      <c r="Q100" s="9"/>
      <c r="R100" s="10"/>
      <c r="S100" s="17"/>
      <c r="T100" s="12"/>
      <c r="U100" s="10"/>
      <c r="V100" s="10"/>
      <c r="W100" s="10"/>
      <c r="X100" s="10"/>
      <c r="Y100" s="10"/>
    </row>
    <row r="101">
      <c r="A101" s="9"/>
      <c r="B101" s="9" t="s">
        <v>291</v>
      </c>
      <c r="C101" s="9">
        <v>1.0</v>
      </c>
      <c r="D101" s="9">
        <v>2016.0</v>
      </c>
      <c r="E101" s="9" t="s">
        <v>663</v>
      </c>
      <c r="F101" s="9" t="s">
        <v>664</v>
      </c>
      <c r="G101" s="9" t="s">
        <v>194</v>
      </c>
      <c r="H101" s="9" t="s">
        <v>330</v>
      </c>
      <c r="I101" s="10"/>
      <c r="J101" s="10"/>
      <c r="K101" s="10"/>
      <c r="L101" s="10"/>
      <c r="M101" s="10"/>
      <c r="N101" s="31">
        <v>20.0</v>
      </c>
      <c r="O101" s="9">
        <v>750.0</v>
      </c>
      <c r="P101" s="9"/>
      <c r="Q101" s="9"/>
      <c r="R101" s="10"/>
      <c r="S101" s="17"/>
      <c r="T101" s="12"/>
      <c r="U101" s="10"/>
      <c r="V101" s="10"/>
      <c r="W101" s="10"/>
      <c r="X101" s="10"/>
      <c r="Y101" s="10"/>
    </row>
    <row r="102" hidden="1">
      <c r="A102" s="9"/>
      <c r="B102" s="9" t="s">
        <v>291</v>
      </c>
      <c r="C102" s="9">
        <v>1.0</v>
      </c>
      <c r="D102" s="9">
        <v>2019.0</v>
      </c>
      <c r="E102" s="9" t="s">
        <v>445</v>
      </c>
      <c r="F102" s="9" t="s">
        <v>395</v>
      </c>
      <c r="G102" s="9" t="s">
        <v>39</v>
      </c>
      <c r="H102" s="9" t="s">
        <v>311</v>
      </c>
      <c r="I102" s="9" t="s">
        <v>347</v>
      </c>
      <c r="J102" s="9" t="s">
        <v>318</v>
      </c>
      <c r="K102" s="9" t="s">
        <v>319</v>
      </c>
      <c r="L102" s="9" t="s">
        <v>665</v>
      </c>
      <c r="M102" s="10"/>
      <c r="N102" s="11">
        <v>190.0</v>
      </c>
      <c r="O102" s="9">
        <v>1500.0</v>
      </c>
      <c r="P102" s="9"/>
      <c r="Q102" s="9"/>
      <c r="R102" s="10"/>
      <c r="S102" s="17"/>
      <c r="T102" s="12"/>
      <c r="U102" s="10"/>
      <c r="V102" s="10"/>
      <c r="W102" s="10"/>
      <c r="X102" s="10"/>
      <c r="Y102" s="10"/>
    </row>
    <row r="104" hidden="1"/>
    <row r="105" hidden="1">
      <c r="A105" s="9"/>
      <c r="B105" s="9" t="s">
        <v>291</v>
      </c>
      <c r="C105" s="9">
        <v>1.0</v>
      </c>
      <c r="D105" s="9">
        <v>2019.0</v>
      </c>
      <c r="E105" s="9" t="s">
        <v>445</v>
      </c>
      <c r="F105" s="9" t="s">
        <v>666</v>
      </c>
      <c r="G105" s="9" t="s">
        <v>211</v>
      </c>
      <c r="H105" s="9" t="s">
        <v>311</v>
      </c>
      <c r="I105" s="9" t="s">
        <v>347</v>
      </c>
      <c r="J105" s="9" t="s">
        <v>318</v>
      </c>
      <c r="K105" s="9" t="s">
        <v>358</v>
      </c>
      <c r="L105" s="9" t="s">
        <v>667</v>
      </c>
      <c r="M105" s="10"/>
      <c r="N105" s="11">
        <v>145.0</v>
      </c>
      <c r="O105" s="9">
        <v>1500.0</v>
      </c>
      <c r="P105" s="9"/>
      <c r="Q105" s="9"/>
      <c r="R105" s="10"/>
      <c r="S105" s="17"/>
      <c r="T105" s="12"/>
      <c r="U105" s="10"/>
      <c r="V105" s="10"/>
      <c r="W105" s="10"/>
      <c r="X105" s="10"/>
      <c r="Y105" s="10"/>
    </row>
    <row r="106">
      <c r="A106" s="9"/>
      <c r="B106" s="9" t="s">
        <v>291</v>
      </c>
      <c r="C106" s="9">
        <v>1.0</v>
      </c>
      <c r="D106" s="9">
        <v>2020.0</v>
      </c>
      <c r="E106" s="9" t="s">
        <v>668</v>
      </c>
      <c r="F106" s="9" t="s">
        <v>669</v>
      </c>
      <c r="G106" s="9" t="s">
        <v>39</v>
      </c>
      <c r="H106" s="9" t="s">
        <v>311</v>
      </c>
      <c r="I106" s="9" t="s">
        <v>347</v>
      </c>
      <c r="J106" s="9" t="s">
        <v>318</v>
      </c>
      <c r="K106" s="10"/>
      <c r="L106" s="10"/>
      <c r="M106" s="10"/>
      <c r="N106" s="11">
        <v>15.0</v>
      </c>
      <c r="O106" s="9">
        <v>750.0</v>
      </c>
      <c r="P106" s="9"/>
      <c r="Q106" s="9"/>
      <c r="R106" s="10"/>
      <c r="S106" s="17"/>
      <c r="T106" s="12"/>
      <c r="U106" s="10"/>
      <c r="V106" s="10"/>
      <c r="W106" s="10"/>
      <c r="X106" s="10"/>
      <c r="Y106" s="10"/>
    </row>
    <row r="107">
      <c r="A107" s="9"/>
      <c r="B107" s="9"/>
      <c r="C107" s="9"/>
      <c r="D107" s="9"/>
      <c r="E107" s="9"/>
      <c r="F107" s="32"/>
      <c r="G107" s="9"/>
      <c r="H107" s="9"/>
      <c r="I107" s="9"/>
      <c r="J107" s="13"/>
      <c r="K107" s="10"/>
      <c r="L107" s="10"/>
      <c r="M107" s="10"/>
      <c r="N107" s="11"/>
      <c r="O107" s="9"/>
      <c r="P107" s="9"/>
      <c r="Q107" s="10"/>
      <c r="R107" s="10"/>
      <c r="S107" s="17"/>
      <c r="T107" s="12"/>
      <c r="U107" s="10"/>
      <c r="V107" s="10"/>
      <c r="W107" s="10"/>
      <c r="X107" s="10"/>
      <c r="Y107" s="10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10"/>
      <c r="N108" s="11"/>
      <c r="O108" s="9"/>
      <c r="P108" s="9"/>
      <c r="Q108" s="10"/>
      <c r="R108" s="10"/>
      <c r="S108" s="17"/>
      <c r="T108" s="12"/>
      <c r="U108" s="10"/>
      <c r="V108" s="10"/>
      <c r="W108" s="10"/>
      <c r="X108" s="10"/>
      <c r="Y108" s="10"/>
    </row>
    <row r="109">
      <c r="A109" s="9"/>
      <c r="B109" s="9" t="s">
        <v>585</v>
      </c>
      <c r="C109" s="9">
        <v>1.0</v>
      </c>
      <c r="D109" s="9">
        <v>2017.0</v>
      </c>
      <c r="E109" s="9" t="s">
        <v>670</v>
      </c>
      <c r="F109" s="9" t="s">
        <v>671</v>
      </c>
      <c r="G109" s="9" t="s">
        <v>590</v>
      </c>
      <c r="H109" s="9" t="s">
        <v>311</v>
      </c>
      <c r="I109" s="9" t="s">
        <v>312</v>
      </c>
      <c r="J109" s="9" t="s">
        <v>318</v>
      </c>
      <c r="K109" s="9" t="s">
        <v>319</v>
      </c>
      <c r="L109" s="10"/>
      <c r="M109" s="10"/>
      <c r="N109" s="11">
        <v>30.0</v>
      </c>
      <c r="O109" s="9">
        <v>750.0</v>
      </c>
      <c r="P109" s="9"/>
      <c r="Q109" s="10"/>
      <c r="R109" s="10"/>
      <c r="S109" s="17"/>
      <c r="T109" s="12"/>
      <c r="U109" s="10"/>
      <c r="V109" s="10"/>
      <c r="W109" s="10"/>
      <c r="X109" s="10"/>
      <c r="Y109" s="10"/>
    </row>
    <row r="110">
      <c r="A110" s="9"/>
      <c r="B110" s="9" t="s">
        <v>672</v>
      </c>
      <c r="C110" s="9">
        <v>9.0</v>
      </c>
      <c r="D110" s="9">
        <v>2020.0</v>
      </c>
      <c r="E110" s="9" t="s">
        <v>10</v>
      </c>
      <c r="F110" s="9" t="s">
        <v>672</v>
      </c>
      <c r="G110" s="9" t="s">
        <v>211</v>
      </c>
      <c r="H110" s="9" t="s">
        <v>311</v>
      </c>
      <c r="I110" s="9" t="s">
        <v>312</v>
      </c>
      <c r="J110" s="9" t="s">
        <v>318</v>
      </c>
      <c r="K110" s="9" t="s">
        <v>319</v>
      </c>
      <c r="L110" s="9" t="s">
        <v>439</v>
      </c>
      <c r="M110" s="10"/>
      <c r="N110" s="11">
        <v>30.0</v>
      </c>
      <c r="O110" s="9">
        <v>750.0</v>
      </c>
      <c r="P110" s="9"/>
      <c r="Q110" s="10"/>
      <c r="R110" s="10"/>
      <c r="S110" s="17"/>
      <c r="T110" s="12"/>
      <c r="U110" s="10"/>
      <c r="V110" s="10"/>
      <c r="W110" s="10"/>
      <c r="X110" s="10"/>
      <c r="Y110" s="10"/>
    </row>
    <row r="111" hidden="1"/>
    <row r="112" hidden="1"/>
    <row r="114">
      <c r="A114" s="9"/>
      <c r="B114" s="9" t="s">
        <v>291</v>
      </c>
      <c r="C114" s="9">
        <v>1.0</v>
      </c>
      <c r="D114" s="9">
        <v>2015.0</v>
      </c>
      <c r="E114" s="9" t="s">
        <v>378</v>
      </c>
      <c r="F114" s="9" t="s">
        <v>395</v>
      </c>
      <c r="G114" s="9" t="s">
        <v>39</v>
      </c>
      <c r="H114" s="9" t="s">
        <v>311</v>
      </c>
      <c r="I114" s="9" t="s">
        <v>312</v>
      </c>
      <c r="J114" s="9" t="s">
        <v>318</v>
      </c>
      <c r="K114" s="9" t="s">
        <v>319</v>
      </c>
      <c r="L114" s="10"/>
      <c r="M114" s="10"/>
      <c r="N114" s="11">
        <v>85.0</v>
      </c>
      <c r="O114" s="9">
        <v>750.0</v>
      </c>
      <c r="P114" s="10"/>
      <c r="Q114" s="10"/>
      <c r="R114" s="10"/>
      <c r="S114" s="17"/>
      <c r="T114" s="12"/>
      <c r="U114" s="10"/>
      <c r="V114" s="10"/>
      <c r="W114" s="10"/>
      <c r="X114" s="10"/>
      <c r="Y114" s="10"/>
    </row>
    <row r="115" hidden="1"/>
    <row r="116" hidden="1"/>
    <row r="118">
      <c r="A118" s="9"/>
      <c r="B118" s="9" t="s">
        <v>291</v>
      </c>
      <c r="C118" s="9">
        <v>2.0</v>
      </c>
      <c r="D118" s="9">
        <v>2018.0</v>
      </c>
      <c r="E118" s="9" t="s">
        <v>403</v>
      </c>
      <c r="F118" s="9" t="s">
        <v>194</v>
      </c>
      <c r="G118" s="9" t="s">
        <v>194</v>
      </c>
      <c r="H118" s="9" t="s">
        <v>311</v>
      </c>
      <c r="I118" s="9" t="s">
        <v>312</v>
      </c>
      <c r="J118" s="9" t="s">
        <v>313</v>
      </c>
      <c r="K118" s="9" t="s">
        <v>405</v>
      </c>
      <c r="L118" s="9" t="s">
        <v>545</v>
      </c>
      <c r="M118" s="9" t="s">
        <v>407</v>
      </c>
      <c r="N118" s="11">
        <v>75.0</v>
      </c>
      <c r="O118" s="9">
        <v>750.0</v>
      </c>
      <c r="P118" s="9"/>
      <c r="Q118" s="9"/>
      <c r="R118" s="10"/>
      <c r="S118" s="17"/>
      <c r="T118" s="12"/>
      <c r="U118" s="10"/>
      <c r="V118" s="10"/>
      <c r="W118" s="10"/>
      <c r="X118" s="10"/>
      <c r="Y118" s="10"/>
    </row>
    <row r="119" hidden="1"/>
    <row r="120" hidden="1">
      <c r="A120" s="9"/>
      <c r="B120" s="9" t="s">
        <v>291</v>
      </c>
      <c r="C120" s="9">
        <v>1.0</v>
      </c>
      <c r="D120" s="9">
        <v>1994.0</v>
      </c>
      <c r="E120" s="9" t="s">
        <v>516</v>
      </c>
      <c r="F120" s="9" t="s">
        <v>673</v>
      </c>
      <c r="G120" s="9" t="s">
        <v>35</v>
      </c>
      <c r="H120" s="9" t="s">
        <v>311</v>
      </c>
      <c r="I120" s="9" t="s">
        <v>312</v>
      </c>
      <c r="J120" s="9" t="s">
        <v>318</v>
      </c>
      <c r="K120" s="9" t="s">
        <v>319</v>
      </c>
      <c r="L120" s="9" t="s">
        <v>442</v>
      </c>
      <c r="M120" s="10"/>
      <c r="N120" s="11">
        <v>300.0</v>
      </c>
      <c r="O120" s="9">
        <v>3000.0</v>
      </c>
      <c r="P120" s="10"/>
      <c r="Q120" s="10"/>
      <c r="R120" s="10"/>
      <c r="S120" s="17"/>
      <c r="T120" s="12"/>
      <c r="U120" s="10"/>
      <c r="V120" s="10"/>
      <c r="W120" s="10"/>
      <c r="X120" s="10"/>
      <c r="Y120" s="10"/>
    </row>
    <row r="121">
      <c r="A121" s="9"/>
      <c r="B121" s="9"/>
      <c r="C121" s="9"/>
      <c r="D121" s="9"/>
      <c r="E121" s="9"/>
      <c r="F121" s="9"/>
      <c r="G121" s="9"/>
      <c r="H121" s="9"/>
      <c r="I121" s="10"/>
      <c r="J121" s="9"/>
      <c r="K121" s="9"/>
      <c r="M121" s="10"/>
      <c r="N121" s="11"/>
      <c r="O121" s="9"/>
      <c r="P121" s="9"/>
      <c r="Q121" s="10"/>
      <c r="R121" s="10"/>
      <c r="S121" s="17"/>
      <c r="T121" s="12"/>
      <c r="U121" s="10"/>
      <c r="V121" s="10"/>
      <c r="W121" s="10"/>
      <c r="X121" s="10"/>
      <c r="Y121" s="10"/>
    </row>
    <row r="123">
      <c r="A123" s="9"/>
      <c r="B123" s="9" t="s">
        <v>291</v>
      </c>
      <c r="C123" s="9">
        <v>1.0</v>
      </c>
      <c r="D123" s="9">
        <v>2018.0</v>
      </c>
      <c r="E123" s="9" t="s">
        <v>352</v>
      </c>
      <c r="F123" s="9" t="s">
        <v>674</v>
      </c>
      <c r="G123" s="9" t="s">
        <v>675</v>
      </c>
      <c r="H123" s="9" t="s">
        <v>311</v>
      </c>
      <c r="I123" s="9" t="s">
        <v>347</v>
      </c>
      <c r="J123" s="9" t="s">
        <v>348</v>
      </c>
      <c r="K123" s="9" t="s">
        <v>335</v>
      </c>
      <c r="L123" s="9" t="s">
        <v>676</v>
      </c>
      <c r="M123" s="32" t="s">
        <v>471</v>
      </c>
      <c r="N123" s="11">
        <v>70.0</v>
      </c>
      <c r="O123" s="9">
        <v>750.0</v>
      </c>
      <c r="P123" s="10"/>
      <c r="Q123" s="10"/>
      <c r="R123" s="10"/>
      <c r="S123" s="17"/>
      <c r="T123" s="12"/>
      <c r="U123" s="10"/>
      <c r="V123" s="10"/>
      <c r="W123" s="10"/>
      <c r="X123" s="10"/>
      <c r="Y123" s="10"/>
    </row>
    <row r="124" hidden="1">
      <c r="A124" s="9"/>
      <c r="B124" s="9" t="s">
        <v>291</v>
      </c>
      <c r="C124" s="9">
        <v>1.0</v>
      </c>
      <c r="D124" s="9">
        <v>2019.0</v>
      </c>
      <c r="E124" s="9" t="s">
        <v>352</v>
      </c>
      <c r="F124" s="9" t="s">
        <v>35</v>
      </c>
      <c r="G124" s="9" t="s">
        <v>35</v>
      </c>
      <c r="H124" s="9" t="s">
        <v>311</v>
      </c>
      <c r="I124" s="9" t="s">
        <v>347</v>
      </c>
      <c r="J124" s="9" t="s">
        <v>348</v>
      </c>
      <c r="K124" s="9" t="s">
        <v>473</v>
      </c>
      <c r="L124" s="9" t="s">
        <v>677</v>
      </c>
      <c r="M124" s="10"/>
      <c r="N124" s="16"/>
      <c r="O124" s="10"/>
      <c r="P124" s="10"/>
      <c r="Q124" s="10"/>
      <c r="R124" s="10"/>
      <c r="S124" s="17"/>
      <c r="T124" s="12"/>
      <c r="U124" s="10"/>
      <c r="V124" s="10"/>
      <c r="W124" s="10"/>
      <c r="X124" s="10"/>
      <c r="Y124" s="10"/>
    </row>
    <row r="125" hidden="1"/>
    <row r="126" hidden="1"/>
    <row r="127" hidden="1"/>
    <row r="128" hidden="1"/>
    <row r="129" hidden="1"/>
    <row r="131" hidden="1"/>
    <row r="132">
      <c r="A132" s="9"/>
      <c r="B132" s="9" t="s">
        <v>585</v>
      </c>
      <c r="C132" s="9">
        <v>1.0</v>
      </c>
      <c r="D132" s="9">
        <v>2019.0</v>
      </c>
      <c r="E132" s="9" t="s">
        <v>316</v>
      </c>
      <c r="F132" s="9" t="s">
        <v>587</v>
      </c>
      <c r="G132" s="9" t="s">
        <v>587</v>
      </c>
      <c r="H132" s="9" t="s">
        <v>311</v>
      </c>
      <c r="I132" s="9" t="s">
        <v>312</v>
      </c>
      <c r="J132" s="9" t="s">
        <v>318</v>
      </c>
      <c r="K132" s="9" t="s">
        <v>319</v>
      </c>
      <c r="L132" s="10"/>
      <c r="M132" s="10"/>
      <c r="N132" s="11">
        <v>35.0</v>
      </c>
      <c r="O132" s="9">
        <v>750.0</v>
      </c>
      <c r="P132" s="10"/>
      <c r="Q132" s="10"/>
      <c r="R132" s="10"/>
      <c r="S132" s="17"/>
      <c r="T132" s="12"/>
      <c r="U132" s="10"/>
      <c r="V132" s="10"/>
      <c r="W132" s="10"/>
      <c r="X132" s="10"/>
      <c r="Y132" s="10"/>
    </row>
    <row r="133" hidden="1">
      <c r="A133" s="9"/>
      <c r="B133" s="9" t="s">
        <v>291</v>
      </c>
      <c r="C133" s="9">
        <v>1.0</v>
      </c>
      <c r="D133" s="9">
        <v>2019.0</v>
      </c>
      <c r="E133" s="9" t="s">
        <v>678</v>
      </c>
      <c r="F133" s="9" t="s">
        <v>231</v>
      </c>
      <c r="G133" s="9" t="s">
        <v>393</v>
      </c>
      <c r="H133" s="9" t="s">
        <v>311</v>
      </c>
      <c r="I133" s="9" t="s">
        <v>312</v>
      </c>
      <c r="J133" s="9" t="s">
        <v>318</v>
      </c>
      <c r="K133" s="9" t="s">
        <v>319</v>
      </c>
      <c r="L133" s="9" t="s">
        <v>679</v>
      </c>
      <c r="M133" s="10"/>
      <c r="N133" s="11">
        <v>220.0</v>
      </c>
      <c r="O133" s="10"/>
      <c r="P133" s="10"/>
      <c r="Q133" s="10"/>
      <c r="R133" s="10"/>
      <c r="S133" s="17"/>
      <c r="T133" s="12"/>
      <c r="U133" s="10"/>
      <c r="V133" s="10"/>
      <c r="W133" s="10"/>
      <c r="X133" s="10"/>
      <c r="Y133" s="10"/>
    </row>
    <row r="134" hidden="1">
      <c r="A134" s="4"/>
      <c r="B134" s="4" t="s">
        <v>291</v>
      </c>
      <c r="C134" s="4">
        <v>1.0</v>
      </c>
      <c r="D134" s="4">
        <v>2014.0</v>
      </c>
      <c r="E134" s="4" t="s">
        <v>352</v>
      </c>
      <c r="F134" s="4" t="s">
        <v>680</v>
      </c>
      <c r="G134" s="4" t="s">
        <v>146</v>
      </c>
      <c r="H134" s="4" t="s">
        <v>311</v>
      </c>
      <c r="I134" s="4" t="s">
        <v>347</v>
      </c>
      <c r="J134" s="4" t="s">
        <v>348</v>
      </c>
      <c r="K134" s="4" t="s">
        <v>335</v>
      </c>
      <c r="L134" s="7"/>
      <c r="M134" s="7"/>
      <c r="N134" s="6"/>
      <c r="O134" s="7"/>
      <c r="P134" s="7"/>
      <c r="Q134" s="7"/>
      <c r="R134" s="7"/>
      <c r="S134" s="27"/>
      <c r="T134" s="8"/>
      <c r="U134" s="10"/>
      <c r="V134" s="10"/>
      <c r="W134" s="10"/>
      <c r="X134" s="10"/>
    </row>
    <row r="135" hidden="1"/>
    <row r="136" hidden="1">
      <c r="A136" s="33"/>
      <c r="B136" s="4" t="s">
        <v>291</v>
      </c>
      <c r="C136" s="4">
        <v>8.0</v>
      </c>
      <c r="D136" s="4">
        <v>2018.0</v>
      </c>
      <c r="E136" s="4" t="s">
        <v>316</v>
      </c>
      <c r="F136" s="4" t="s">
        <v>39</v>
      </c>
      <c r="G136" s="4" t="s">
        <v>39</v>
      </c>
      <c r="H136" s="4" t="s">
        <v>311</v>
      </c>
      <c r="I136" s="4" t="s">
        <v>312</v>
      </c>
      <c r="J136" s="4" t="s">
        <v>318</v>
      </c>
      <c r="K136" s="4" t="s">
        <v>319</v>
      </c>
      <c r="L136" s="33"/>
      <c r="M136" s="33"/>
      <c r="N136" s="33"/>
      <c r="O136" s="33"/>
      <c r="P136" s="33"/>
      <c r="Q136" s="33"/>
      <c r="R136" s="33"/>
      <c r="S136" s="33"/>
      <c r="T136" s="33"/>
    </row>
    <row r="137" hidden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6"/>
      <c r="O137" s="10"/>
      <c r="P137" s="10"/>
      <c r="Q137" s="10"/>
      <c r="R137" s="10"/>
      <c r="S137" s="17"/>
      <c r="T137" s="12"/>
      <c r="U137" s="10"/>
      <c r="V137" s="10"/>
      <c r="W137" s="10"/>
      <c r="X137" s="10"/>
      <c r="Y137" s="10"/>
    </row>
    <row r="138" hidden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6"/>
      <c r="O138" s="10"/>
      <c r="P138" s="10"/>
      <c r="Q138" s="10"/>
      <c r="R138" s="10"/>
      <c r="S138" s="17"/>
      <c r="T138" s="12"/>
      <c r="U138" s="10"/>
      <c r="V138" s="10"/>
      <c r="W138" s="10"/>
      <c r="X138" s="10"/>
      <c r="Y138" s="10"/>
    </row>
    <row r="139" hidden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6"/>
      <c r="O139" s="10"/>
      <c r="P139" s="10"/>
      <c r="Q139" s="10"/>
      <c r="R139" s="10"/>
      <c r="S139" s="17"/>
      <c r="T139" s="12"/>
      <c r="U139" s="10"/>
      <c r="V139" s="10"/>
      <c r="W139" s="10"/>
      <c r="X139" s="10"/>
      <c r="Y139" s="10"/>
    </row>
    <row r="140" hidden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6"/>
      <c r="O140" s="10"/>
      <c r="P140" s="10"/>
      <c r="Q140" s="10"/>
      <c r="R140" s="10"/>
      <c r="S140" s="17"/>
      <c r="T140" s="12"/>
      <c r="U140" s="10"/>
      <c r="V140" s="10"/>
      <c r="W140" s="10"/>
      <c r="X140" s="10"/>
      <c r="Y140" s="10"/>
    </row>
    <row r="141" hidden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6"/>
      <c r="O141" s="10"/>
      <c r="P141" s="10"/>
      <c r="Q141" s="10"/>
      <c r="R141" s="10"/>
      <c r="S141" s="17"/>
      <c r="T141" s="12"/>
      <c r="U141" s="10"/>
      <c r="V141" s="10"/>
      <c r="W141" s="10"/>
      <c r="X141" s="10"/>
      <c r="Y141" s="10"/>
    </row>
    <row r="142" hidden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6"/>
      <c r="O142" s="10"/>
      <c r="P142" s="10"/>
      <c r="Q142" s="10"/>
      <c r="R142" s="10"/>
      <c r="S142" s="17"/>
      <c r="T142" s="12"/>
      <c r="U142" s="10"/>
      <c r="V142" s="10"/>
      <c r="W142" s="10"/>
      <c r="X142" s="10"/>
      <c r="Y142" s="10"/>
    </row>
    <row r="143" hidden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6"/>
      <c r="O143" s="10"/>
      <c r="P143" s="10"/>
      <c r="Q143" s="10"/>
      <c r="R143" s="10"/>
      <c r="S143" s="17"/>
      <c r="T143" s="12"/>
      <c r="U143" s="10"/>
      <c r="V143" s="10"/>
      <c r="W143" s="10"/>
      <c r="X143" s="10"/>
      <c r="Y143" s="10"/>
    </row>
    <row r="144" hidden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6"/>
      <c r="O144" s="10"/>
      <c r="P144" s="10"/>
      <c r="Q144" s="10"/>
      <c r="R144" s="10"/>
      <c r="S144" s="17"/>
      <c r="T144" s="12"/>
      <c r="U144" s="10"/>
      <c r="V144" s="10"/>
      <c r="W144" s="10"/>
      <c r="X144" s="10"/>
      <c r="Y144" s="10"/>
    </row>
    <row r="145" hidden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6"/>
      <c r="O145" s="10"/>
      <c r="P145" s="10"/>
      <c r="Q145" s="10"/>
      <c r="R145" s="10"/>
      <c r="S145" s="17"/>
      <c r="T145" s="12"/>
      <c r="U145" s="10"/>
      <c r="V145" s="10"/>
      <c r="W145" s="10"/>
      <c r="X145" s="10"/>
      <c r="Y145" s="10"/>
    </row>
    <row r="146" hidden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6"/>
      <c r="O146" s="10"/>
      <c r="P146" s="10"/>
      <c r="Q146" s="10"/>
      <c r="R146" s="10"/>
      <c r="S146" s="17"/>
      <c r="T146" s="12"/>
      <c r="U146" s="10"/>
      <c r="V146" s="10"/>
      <c r="W146" s="10"/>
      <c r="X146" s="10"/>
      <c r="Y146" s="10"/>
    </row>
    <row r="147" hidden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6"/>
      <c r="O147" s="10"/>
      <c r="P147" s="10"/>
      <c r="Q147" s="10"/>
      <c r="R147" s="10"/>
      <c r="S147" s="17"/>
      <c r="T147" s="12"/>
      <c r="U147" s="10"/>
      <c r="V147" s="10"/>
      <c r="W147" s="10"/>
      <c r="X147" s="10"/>
      <c r="Y147" s="10"/>
    </row>
    <row r="148" hidden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6"/>
      <c r="O148" s="10"/>
      <c r="P148" s="10"/>
      <c r="Q148" s="10"/>
      <c r="R148" s="10"/>
      <c r="S148" s="17"/>
      <c r="T148" s="12"/>
      <c r="U148" s="10"/>
      <c r="V148" s="10"/>
      <c r="W148" s="10"/>
      <c r="X148" s="10"/>
      <c r="Y148" s="10"/>
    </row>
    <row r="149" hidden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6"/>
      <c r="O149" s="10"/>
      <c r="P149" s="10"/>
      <c r="Q149" s="10"/>
      <c r="R149" s="10"/>
      <c r="S149" s="17"/>
      <c r="T149" s="12"/>
      <c r="U149" s="10"/>
      <c r="V149" s="10"/>
      <c r="W149" s="10"/>
      <c r="X149" s="10"/>
      <c r="Y149" s="10"/>
    </row>
    <row r="150" hidden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6"/>
      <c r="O150" s="10"/>
      <c r="P150" s="10"/>
      <c r="Q150" s="10"/>
      <c r="R150" s="10"/>
      <c r="S150" s="17"/>
      <c r="T150" s="12"/>
      <c r="U150" s="10"/>
      <c r="V150" s="10"/>
      <c r="W150" s="10"/>
      <c r="X150" s="10"/>
      <c r="Y150" s="10"/>
    </row>
    <row r="151" hidden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6"/>
      <c r="O151" s="10"/>
      <c r="P151" s="10"/>
      <c r="Q151" s="10"/>
      <c r="R151" s="10"/>
      <c r="S151" s="17"/>
      <c r="T151" s="12"/>
      <c r="U151" s="10"/>
      <c r="V151" s="10"/>
      <c r="W151" s="10"/>
      <c r="X151" s="10"/>
      <c r="Y151" s="10"/>
    </row>
    <row r="152" hidden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6"/>
      <c r="O152" s="10"/>
      <c r="P152" s="10"/>
      <c r="Q152" s="10"/>
      <c r="R152" s="10"/>
      <c r="S152" s="17"/>
      <c r="T152" s="12"/>
      <c r="U152" s="10"/>
      <c r="V152" s="10"/>
      <c r="W152" s="10"/>
      <c r="X152" s="10"/>
      <c r="Y152" s="10"/>
    </row>
    <row r="153" hidden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6"/>
      <c r="O153" s="10"/>
      <c r="P153" s="10"/>
      <c r="Q153" s="10"/>
      <c r="R153" s="10"/>
      <c r="S153" s="17"/>
      <c r="T153" s="12"/>
      <c r="U153" s="10"/>
      <c r="V153" s="10"/>
      <c r="W153" s="10"/>
      <c r="X153" s="10"/>
      <c r="Y153" s="10"/>
    </row>
    <row r="154" hidden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6"/>
      <c r="O154" s="10"/>
      <c r="P154" s="10"/>
      <c r="Q154" s="10"/>
      <c r="R154" s="10"/>
      <c r="S154" s="17"/>
      <c r="T154" s="12"/>
      <c r="U154" s="10"/>
      <c r="V154" s="10"/>
      <c r="W154" s="10"/>
      <c r="X154" s="10"/>
      <c r="Y154" s="10"/>
    </row>
    <row r="155" hidden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6"/>
      <c r="O155" s="10"/>
      <c r="P155" s="10"/>
      <c r="Q155" s="10"/>
      <c r="R155" s="10"/>
      <c r="S155" s="17"/>
      <c r="T155" s="12"/>
      <c r="U155" s="10"/>
      <c r="V155" s="10"/>
      <c r="W155" s="10"/>
      <c r="X155" s="10"/>
      <c r="Y155" s="10"/>
    </row>
    <row r="156" hidden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6"/>
      <c r="O156" s="10"/>
      <c r="P156" s="10"/>
      <c r="Q156" s="10"/>
      <c r="R156" s="10"/>
      <c r="S156" s="17"/>
      <c r="T156" s="12"/>
      <c r="U156" s="10"/>
      <c r="V156" s="10"/>
      <c r="W156" s="10"/>
      <c r="X156" s="10"/>
      <c r="Y156" s="10"/>
    </row>
    <row r="157" hidden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6"/>
      <c r="O157" s="10"/>
      <c r="P157" s="10"/>
      <c r="Q157" s="10"/>
      <c r="R157" s="10"/>
      <c r="S157" s="17"/>
      <c r="T157" s="12"/>
      <c r="U157" s="10"/>
      <c r="V157" s="10"/>
      <c r="W157" s="10"/>
      <c r="X157" s="10"/>
      <c r="Y157" s="10"/>
    </row>
    <row r="158" hidden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6"/>
      <c r="O158" s="10"/>
      <c r="P158" s="10"/>
      <c r="Q158" s="10"/>
      <c r="R158" s="10"/>
      <c r="S158" s="17"/>
      <c r="T158" s="12"/>
      <c r="U158" s="10"/>
      <c r="V158" s="10"/>
      <c r="W158" s="10"/>
      <c r="X158" s="10"/>
      <c r="Y158" s="10"/>
    </row>
    <row r="159" hidden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6"/>
      <c r="O159" s="10"/>
      <c r="P159" s="10"/>
      <c r="Q159" s="10"/>
      <c r="R159" s="10"/>
      <c r="S159" s="17"/>
      <c r="T159" s="12"/>
      <c r="U159" s="10"/>
      <c r="V159" s="10"/>
      <c r="W159" s="10"/>
      <c r="X159" s="10"/>
      <c r="Y159" s="10"/>
    </row>
    <row r="160" hidden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6"/>
      <c r="O160" s="10"/>
      <c r="P160" s="10"/>
      <c r="Q160" s="10"/>
      <c r="R160" s="10"/>
      <c r="S160" s="17"/>
      <c r="T160" s="12"/>
      <c r="U160" s="10"/>
      <c r="V160" s="10"/>
      <c r="W160" s="10"/>
      <c r="X160" s="10"/>
      <c r="Y160" s="10"/>
    </row>
    <row r="161" hidden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6"/>
      <c r="O161" s="10"/>
      <c r="P161" s="10"/>
      <c r="Q161" s="10"/>
      <c r="R161" s="10"/>
      <c r="S161" s="17"/>
      <c r="T161" s="12"/>
      <c r="U161" s="10"/>
      <c r="V161" s="10"/>
      <c r="W161" s="10"/>
      <c r="X161" s="10"/>
      <c r="Y161" s="10"/>
    </row>
    <row r="162" hidden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6"/>
      <c r="O162" s="10"/>
      <c r="P162" s="10"/>
      <c r="Q162" s="10"/>
      <c r="R162" s="10"/>
      <c r="S162" s="17"/>
      <c r="T162" s="12"/>
      <c r="U162" s="10"/>
      <c r="V162" s="10"/>
      <c r="W162" s="10"/>
      <c r="X162" s="10"/>
      <c r="Y162" s="10"/>
    </row>
    <row r="163" hidden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6"/>
      <c r="O163" s="10"/>
      <c r="P163" s="10"/>
      <c r="Q163" s="10"/>
      <c r="R163" s="10"/>
      <c r="S163" s="17"/>
      <c r="T163" s="12"/>
      <c r="U163" s="10"/>
      <c r="V163" s="10"/>
      <c r="W163" s="10"/>
      <c r="X163" s="10"/>
      <c r="Y163" s="10"/>
    </row>
    <row r="164" hidden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6"/>
      <c r="O164" s="10"/>
      <c r="P164" s="10"/>
      <c r="Q164" s="10"/>
      <c r="R164" s="10"/>
      <c r="S164" s="17"/>
      <c r="T164" s="12"/>
      <c r="U164" s="10"/>
      <c r="V164" s="10"/>
      <c r="W164" s="10"/>
      <c r="X164" s="10"/>
      <c r="Y164" s="10"/>
    </row>
    <row r="165" hidden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6"/>
      <c r="O165" s="10"/>
      <c r="P165" s="10"/>
      <c r="Q165" s="10"/>
      <c r="R165" s="10"/>
      <c r="S165" s="17"/>
      <c r="T165" s="12"/>
      <c r="U165" s="10"/>
      <c r="V165" s="10"/>
      <c r="W165" s="10"/>
      <c r="X165" s="10"/>
      <c r="Y165" s="10"/>
    </row>
    <row r="166" hidden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6"/>
      <c r="O166" s="10"/>
      <c r="P166" s="10"/>
      <c r="Q166" s="10"/>
      <c r="R166" s="10"/>
      <c r="S166" s="17"/>
      <c r="T166" s="12"/>
      <c r="U166" s="10"/>
      <c r="V166" s="10"/>
      <c r="W166" s="10"/>
      <c r="X166" s="10"/>
      <c r="Y166" s="10"/>
    </row>
    <row r="167" hidden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6"/>
      <c r="O167" s="10"/>
      <c r="P167" s="10"/>
      <c r="Q167" s="10"/>
      <c r="R167" s="10"/>
      <c r="S167" s="17"/>
      <c r="T167" s="12"/>
      <c r="U167" s="10"/>
      <c r="V167" s="10"/>
      <c r="W167" s="10"/>
      <c r="X167" s="10"/>
      <c r="Y167" s="10"/>
    </row>
    <row r="168" hidden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6"/>
      <c r="O168" s="10"/>
      <c r="P168" s="10"/>
      <c r="Q168" s="10"/>
      <c r="R168" s="10"/>
      <c r="S168" s="17"/>
      <c r="T168" s="12"/>
      <c r="U168" s="10"/>
      <c r="V168" s="10"/>
      <c r="W168" s="10"/>
      <c r="X168" s="10"/>
      <c r="Y168" s="10"/>
    </row>
    <row r="169" hidden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6"/>
      <c r="O169" s="10"/>
      <c r="P169" s="10"/>
      <c r="Q169" s="10"/>
      <c r="R169" s="10"/>
      <c r="S169" s="17"/>
      <c r="T169" s="12"/>
      <c r="U169" s="10"/>
      <c r="V169" s="10"/>
      <c r="W169" s="10"/>
      <c r="X169" s="10"/>
      <c r="Y169" s="10"/>
    </row>
    <row r="170" hidden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6"/>
      <c r="O170" s="10"/>
      <c r="P170" s="10"/>
      <c r="Q170" s="10"/>
      <c r="R170" s="10"/>
      <c r="S170" s="17"/>
      <c r="T170" s="12"/>
      <c r="U170" s="10"/>
      <c r="V170" s="10"/>
      <c r="W170" s="10"/>
      <c r="X170" s="10"/>
      <c r="Y170" s="10"/>
    </row>
    <row r="171" hidden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6"/>
      <c r="O171" s="10"/>
      <c r="P171" s="10"/>
      <c r="Q171" s="10"/>
      <c r="R171" s="10"/>
      <c r="S171" s="17"/>
      <c r="T171" s="12"/>
      <c r="U171" s="10"/>
      <c r="V171" s="10"/>
      <c r="W171" s="10"/>
      <c r="X171" s="10"/>
      <c r="Y171" s="10"/>
    </row>
    <row r="172" hidden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6"/>
      <c r="O172" s="10"/>
      <c r="P172" s="10"/>
      <c r="Q172" s="10"/>
      <c r="R172" s="10"/>
      <c r="S172" s="17"/>
      <c r="T172" s="12"/>
      <c r="U172" s="10"/>
      <c r="V172" s="10"/>
      <c r="W172" s="10"/>
      <c r="X172" s="10"/>
      <c r="Y172" s="10"/>
    </row>
    <row r="173" hidden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6"/>
      <c r="O173" s="10"/>
      <c r="P173" s="10"/>
      <c r="Q173" s="10"/>
      <c r="R173" s="10"/>
      <c r="S173" s="17"/>
      <c r="T173" s="12"/>
      <c r="U173" s="10"/>
      <c r="V173" s="10"/>
      <c r="W173" s="10"/>
      <c r="X173" s="10"/>
      <c r="Y173" s="10"/>
    </row>
    <row r="174" hidden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6"/>
      <c r="O174" s="10"/>
      <c r="P174" s="10"/>
      <c r="Q174" s="10"/>
      <c r="R174" s="10"/>
      <c r="S174" s="17"/>
      <c r="T174" s="12"/>
      <c r="U174" s="10"/>
      <c r="V174" s="10"/>
      <c r="W174" s="10"/>
      <c r="X174" s="10"/>
      <c r="Y174" s="10"/>
    </row>
    <row r="175" hidden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6"/>
      <c r="O175" s="10"/>
      <c r="P175" s="10"/>
      <c r="Q175" s="10"/>
      <c r="R175" s="10"/>
      <c r="S175" s="17"/>
      <c r="T175" s="12"/>
      <c r="U175" s="10"/>
      <c r="V175" s="10"/>
      <c r="W175" s="10"/>
      <c r="X175" s="10"/>
      <c r="Y175" s="10"/>
    </row>
    <row r="176" hidden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6"/>
      <c r="O176" s="10"/>
      <c r="P176" s="10"/>
      <c r="Q176" s="10"/>
      <c r="R176" s="10"/>
      <c r="S176" s="17"/>
      <c r="T176" s="12"/>
      <c r="U176" s="10"/>
      <c r="V176" s="10"/>
      <c r="W176" s="10"/>
      <c r="X176" s="10"/>
      <c r="Y176" s="10"/>
    </row>
    <row r="177" hidden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6"/>
      <c r="O177" s="10"/>
      <c r="P177" s="10"/>
      <c r="Q177" s="10"/>
      <c r="R177" s="10"/>
      <c r="S177" s="17"/>
      <c r="T177" s="12"/>
      <c r="U177" s="10"/>
      <c r="V177" s="10"/>
      <c r="W177" s="10"/>
      <c r="X177" s="10"/>
      <c r="Y177" s="10"/>
    </row>
    <row r="178" hidden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6"/>
      <c r="O178" s="10"/>
      <c r="P178" s="10"/>
      <c r="Q178" s="10"/>
      <c r="R178" s="10"/>
      <c r="S178" s="17"/>
      <c r="T178" s="12"/>
      <c r="U178" s="10"/>
      <c r="V178" s="10"/>
      <c r="W178" s="10"/>
      <c r="X178" s="10"/>
      <c r="Y178" s="10"/>
    </row>
    <row r="179" hidden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6"/>
      <c r="O179" s="10"/>
      <c r="P179" s="10"/>
      <c r="Q179" s="10"/>
      <c r="R179" s="10"/>
      <c r="S179" s="17"/>
      <c r="T179" s="12"/>
      <c r="U179" s="10"/>
      <c r="V179" s="10"/>
      <c r="W179" s="10"/>
      <c r="X179" s="10"/>
      <c r="Y179" s="10"/>
    </row>
    <row r="180" hidden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6"/>
      <c r="O180" s="10"/>
      <c r="P180" s="10"/>
      <c r="Q180" s="10"/>
      <c r="R180" s="10"/>
      <c r="S180" s="17"/>
      <c r="T180" s="12"/>
      <c r="U180" s="10"/>
      <c r="V180" s="10"/>
      <c r="W180" s="10"/>
      <c r="X180" s="10"/>
      <c r="Y180" s="10"/>
    </row>
    <row r="181" hidden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6"/>
      <c r="O181" s="10"/>
      <c r="P181" s="10"/>
      <c r="Q181" s="10"/>
      <c r="R181" s="10"/>
      <c r="S181" s="17"/>
      <c r="T181" s="12"/>
      <c r="U181" s="10"/>
      <c r="V181" s="10"/>
      <c r="W181" s="10"/>
      <c r="X181" s="10"/>
      <c r="Y181" s="10"/>
    </row>
    <row r="182" hidden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6"/>
      <c r="O182" s="10"/>
      <c r="P182" s="10"/>
      <c r="Q182" s="10"/>
      <c r="R182" s="10"/>
      <c r="S182" s="17"/>
      <c r="T182" s="12"/>
      <c r="U182" s="10"/>
      <c r="V182" s="10"/>
      <c r="W182" s="10"/>
      <c r="X182" s="10"/>
      <c r="Y182" s="10"/>
    </row>
    <row r="183" hidden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6"/>
      <c r="O183" s="10"/>
      <c r="P183" s="10"/>
      <c r="Q183" s="10"/>
      <c r="R183" s="10"/>
      <c r="S183" s="17"/>
      <c r="T183" s="12"/>
      <c r="U183" s="10"/>
      <c r="V183" s="10"/>
      <c r="W183" s="10"/>
      <c r="X183" s="10"/>
      <c r="Y183" s="10"/>
    </row>
    <row r="184" hidden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6"/>
      <c r="O184" s="10"/>
      <c r="P184" s="10"/>
      <c r="Q184" s="10"/>
      <c r="R184" s="10"/>
      <c r="S184" s="17"/>
      <c r="T184" s="12"/>
      <c r="U184" s="10"/>
      <c r="V184" s="10"/>
      <c r="W184" s="10"/>
      <c r="X184" s="10"/>
      <c r="Y184" s="10"/>
    </row>
    <row r="185" hidden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6"/>
      <c r="O185" s="10"/>
      <c r="P185" s="10"/>
      <c r="Q185" s="10"/>
      <c r="R185" s="10"/>
      <c r="S185" s="17"/>
      <c r="T185" s="12"/>
      <c r="U185" s="10"/>
      <c r="V185" s="10"/>
      <c r="W185" s="10"/>
      <c r="X185" s="10"/>
      <c r="Y185" s="10"/>
    </row>
    <row r="186" hidden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6"/>
      <c r="O186" s="10"/>
      <c r="P186" s="10"/>
      <c r="Q186" s="10"/>
      <c r="R186" s="10"/>
      <c r="S186" s="17"/>
      <c r="T186" s="12"/>
      <c r="U186" s="10"/>
      <c r="V186" s="10"/>
      <c r="W186" s="10"/>
      <c r="X186" s="10"/>
      <c r="Y186" s="10"/>
    </row>
    <row r="187" hidden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6"/>
      <c r="O187" s="10"/>
      <c r="P187" s="10"/>
      <c r="Q187" s="10"/>
      <c r="R187" s="10"/>
      <c r="S187" s="17"/>
      <c r="T187" s="12"/>
      <c r="U187" s="10"/>
      <c r="V187" s="10"/>
      <c r="W187" s="10"/>
      <c r="X187" s="10"/>
      <c r="Y187" s="10"/>
    </row>
    <row r="188" hidden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6"/>
      <c r="O188" s="10"/>
      <c r="P188" s="10"/>
      <c r="Q188" s="10"/>
      <c r="R188" s="10"/>
      <c r="S188" s="17"/>
      <c r="T188" s="12"/>
      <c r="U188" s="10"/>
      <c r="V188" s="10"/>
      <c r="W188" s="10"/>
      <c r="X188" s="10"/>
      <c r="Y188" s="10"/>
    </row>
    <row r="189" hidden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6"/>
      <c r="O189" s="10"/>
      <c r="P189" s="10"/>
      <c r="Q189" s="10"/>
      <c r="R189" s="10"/>
      <c r="S189" s="17"/>
      <c r="T189" s="12"/>
      <c r="U189" s="10"/>
      <c r="V189" s="10"/>
      <c r="W189" s="10"/>
      <c r="X189" s="10"/>
      <c r="Y189" s="10"/>
    </row>
    <row r="190" hidden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6"/>
      <c r="O190" s="10"/>
      <c r="P190" s="10"/>
      <c r="Q190" s="10"/>
      <c r="R190" s="10"/>
      <c r="S190" s="17"/>
      <c r="T190" s="12"/>
      <c r="U190" s="10"/>
      <c r="V190" s="10"/>
      <c r="W190" s="10"/>
      <c r="X190" s="10"/>
      <c r="Y190" s="10"/>
    </row>
    <row r="191" hidden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6"/>
      <c r="O191" s="10"/>
      <c r="P191" s="10"/>
      <c r="Q191" s="10"/>
      <c r="R191" s="10"/>
      <c r="S191" s="17"/>
      <c r="T191" s="12"/>
      <c r="U191" s="10"/>
      <c r="V191" s="10"/>
      <c r="W191" s="10"/>
      <c r="X191" s="10"/>
      <c r="Y191" s="10"/>
    </row>
    <row r="192" hidden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6"/>
      <c r="O192" s="10"/>
      <c r="P192" s="10"/>
      <c r="Q192" s="10"/>
      <c r="R192" s="10"/>
      <c r="S192" s="17"/>
      <c r="T192" s="12"/>
      <c r="U192" s="10"/>
      <c r="V192" s="10"/>
      <c r="W192" s="10"/>
      <c r="X192" s="10"/>
      <c r="Y192" s="10"/>
    </row>
    <row r="193" hidden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6"/>
      <c r="O193" s="10"/>
      <c r="P193" s="10"/>
      <c r="Q193" s="10"/>
      <c r="R193" s="10"/>
      <c r="S193" s="17"/>
      <c r="T193" s="12"/>
      <c r="U193" s="10"/>
      <c r="V193" s="10"/>
      <c r="W193" s="10"/>
      <c r="X193" s="10"/>
      <c r="Y193" s="10"/>
    </row>
    <row r="194" hidden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6"/>
      <c r="O194" s="10"/>
      <c r="P194" s="10"/>
      <c r="Q194" s="10"/>
      <c r="R194" s="10"/>
      <c r="S194" s="17"/>
      <c r="T194" s="12"/>
      <c r="U194" s="10"/>
      <c r="V194" s="10"/>
      <c r="W194" s="10"/>
      <c r="X194" s="10"/>
      <c r="Y194" s="10"/>
    </row>
    <row r="195" hidden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6"/>
      <c r="O195" s="10"/>
      <c r="P195" s="10"/>
      <c r="Q195" s="10"/>
      <c r="R195" s="10"/>
      <c r="S195" s="17"/>
      <c r="T195" s="12"/>
      <c r="U195" s="10"/>
      <c r="V195" s="10"/>
      <c r="W195" s="10"/>
      <c r="X195" s="10"/>
      <c r="Y195" s="10"/>
    </row>
    <row r="196" hidden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6"/>
      <c r="O196" s="10"/>
      <c r="P196" s="10"/>
      <c r="Q196" s="10"/>
      <c r="R196" s="10"/>
      <c r="S196" s="17"/>
      <c r="T196" s="12"/>
      <c r="U196" s="10"/>
      <c r="V196" s="10"/>
      <c r="W196" s="10"/>
      <c r="X196" s="10"/>
      <c r="Y196" s="10"/>
    </row>
    <row r="197" hidden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6"/>
      <c r="O197" s="10"/>
      <c r="P197" s="10"/>
      <c r="Q197" s="10"/>
      <c r="R197" s="10"/>
      <c r="S197" s="17"/>
      <c r="T197" s="12"/>
      <c r="U197" s="10"/>
      <c r="V197" s="10"/>
      <c r="W197" s="10"/>
      <c r="X197" s="10"/>
      <c r="Y197" s="10"/>
    </row>
    <row r="198" hidden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6"/>
      <c r="O198" s="10"/>
      <c r="P198" s="10"/>
      <c r="Q198" s="10"/>
      <c r="R198" s="10"/>
      <c r="S198" s="17"/>
      <c r="T198" s="12"/>
      <c r="U198" s="10"/>
      <c r="V198" s="10"/>
      <c r="W198" s="10"/>
      <c r="X198" s="10"/>
      <c r="Y198" s="10"/>
    </row>
    <row r="199" hidden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6"/>
      <c r="O199" s="10"/>
      <c r="P199" s="10"/>
      <c r="Q199" s="10"/>
      <c r="R199" s="10"/>
      <c r="S199" s="17"/>
      <c r="T199" s="12"/>
      <c r="U199" s="10"/>
      <c r="V199" s="10"/>
      <c r="W199" s="10"/>
      <c r="X199" s="10"/>
      <c r="Y199" s="10"/>
    </row>
    <row r="200" hidden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6"/>
      <c r="O200" s="10"/>
      <c r="P200" s="10"/>
      <c r="Q200" s="10"/>
      <c r="R200" s="10"/>
      <c r="S200" s="17"/>
      <c r="T200" s="12"/>
      <c r="U200" s="10"/>
      <c r="V200" s="10"/>
      <c r="W200" s="10"/>
      <c r="X200" s="10"/>
      <c r="Y200" s="10"/>
    </row>
    <row r="201" hidden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6"/>
      <c r="O201" s="10"/>
      <c r="P201" s="10"/>
      <c r="Q201" s="10"/>
      <c r="R201" s="10"/>
      <c r="S201" s="17"/>
      <c r="T201" s="12"/>
      <c r="U201" s="10"/>
      <c r="V201" s="10"/>
      <c r="W201" s="10"/>
      <c r="X201" s="10"/>
      <c r="Y201" s="10"/>
    </row>
    <row r="202" hidden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6"/>
      <c r="O202" s="10"/>
      <c r="P202" s="10"/>
      <c r="Q202" s="10"/>
      <c r="R202" s="10"/>
      <c r="S202" s="17"/>
      <c r="T202" s="12"/>
      <c r="U202" s="10"/>
      <c r="V202" s="10"/>
      <c r="W202" s="10"/>
      <c r="X202" s="10"/>
      <c r="Y202" s="10"/>
    </row>
    <row r="203" hidden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6"/>
      <c r="O203" s="10"/>
      <c r="P203" s="10"/>
      <c r="Q203" s="10"/>
      <c r="R203" s="10"/>
      <c r="S203" s="17"/>
      <c r="T203" s="12"/>
      <c r="U203" s="10"/>
      <c r="V203" s="10"/>
      <c r="W203" s="10"/>
      <c r="X203" s="10"/>
      <c r="Y203" s="10"/>
    </row>
    <row r="204" hidden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6"/>
      <c r="O204" s="10"/>
      <c r="P204" s="10"/>
      <c r="Q204" s="10"/>
      <c r="R204" s="10"/>
      <c r="S204" s="17"/>
      <c r="T204" s="12"/>
      <c r="U204" s="10"/>
      <c r="V204" s="10"/>
      <c r="W204" s="10"/>
      <c r="X204" s="10"/>
      <c r="Y204" s="10"/>
    </row>
    <row r="205" hidden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6"/>
      <c r="O205" s="10"/>
      <c r="P205" s="10"/>
      <c r="Q205" s="10"/>
      <c r="R205" s="10"/>
      <c r="S205" s="17"/>
      <c r="T205" s="12"/>
      <c r="U205" s="10"/>
      <c r="V205" s="10"/>
      <c r="W205" s="10"/>
      <c r="X205" s="10"/>
      <c r="Y205" s="10"/>
    </row>
    <row r="206" hidden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6"/>
      <c r="O206" s="10"/>
      <c r="P206" s="10"/>
      <c r="Q206" s="10"/>
      <c r="R206" s="10"/>
      <c r="S206" s="17"/>
      <c r="T206" s="12"/>
      <c r="U206" s="10"/>
      <c r="V206" s="10"/>
      <c r="W206" s="10"/>
      <c r="X206" s="10"/>
      <c r="Y206" s="10"/>
    </row>
    <row r="207" hidden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6"/>
      <c r="O207" s="10"/>
      <c r="P207" s="10"/>
      <c r="Q207" s="10"/>
      <c r="R207" s="10"/>
      <c r="S207" s="17"/>
      <c r="T207" s="12"/>
      <c r="U207" s="10"/>
      <c r="V207" s="10"/>
      <c r="W207" s="10"/>
      <c r="X207" s="10"/>
      <c r="Y207" s="10"/>
    </row>
    <row r="208" hidden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6"/>
      <c r="O208" s="10"/>
      <c r="P208" s="10"/>
      <c r="Q208" s="10"/>
      <c r="R208" s="10"/>
      <c r="S208" s="17"/>
      <c r="T208" s="12"/>
      <c r="U208" s="10"/>
      <c r="V208" s="10"/>
      <c r="W208" s="10"/>
      <c r="X208" s="10"/>
      <c r="Y208" s="10"/>
    </row>
    <row r="209" hidden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6"/>
      <c r="O209" s="10"/>
      <c r="P209" s="10"/>
      <c r="Q209" s="10"/>
      <c r="R209" s="10"/>
      <c r="S209" s="17"/>
      <c r="T209" s="12"/>
      <c r="U209" s="10"/>
      <c r="V209" s="10"/>
      <c r="W209" s="10"/>
      <c r="X209" s="10"/>
      <c r="Y209" s="10"/>
    </row>
    <row r="210" hidden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6"/>
      <c r="O210" s="10"/>
      <c r="P210" s="10"/>
      <c r="Q210" s="10"/>
      <c r="R210" s="10"/>
      <c r="S210" s="17"/>
      <c r="T210" s="12"/>
      <c r="U210" s="10"/>
      <c r="V210" s="10"/>
      <c r="W210" s="10"/>
      <c r="X210" s="10"/>
      <c r="Y210" s="10"/>
    </row>
    <row r="211" hidden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6"/>
      <c r="O211" s="10"/>
      <c r="P211" s="10"/>
      <c r="Q211" s="10"/>
      <c r="R211" s="10"/>
      <c r="S211" s="17"/>
      <c r="T211" s="12"/>
      <c r="U211" s="10"/>
      <c r="V211" s="10"/>
      <c r="W211" s="10"/>
      <c r="X211" s="10"/>
      <c r="Y211" s="10"/>
    </row>
    <row r="212" hidden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6"/>
      <c r="O212" s="10"/>
      <c r="P212" s="10"/>
      <c r="Q212" s="10"/>
      <c r="R212" s="10"/>
      <c r="S212" s="17"/>
      <c r="T212" s="12"/>
      <c r="U212" s="10"/>
      <c r="V212" s="10"/>
      <c r="W212" s="10"/>
      <c r="X212" s="10"/>
      <c r="Y212" s="10"/>
    </row>
    <row r="213" hidden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6"/>
      <c r="O213" s="10"/>
      <c r="P213" s="10"/>
      <c r="Q213" s="10"/>
      <c r="R213" s="10"/>
      <c r="S213" s="17"/>
      <c r="T213" s="12"/>
      <c r="U213" s="10"/>
      <c r="V213" s="10"/>
      <c r="W213" s="10"/>
      <c r="X213" s="10"/>
      <c r="Y213" s="10"/>
    </row>
    <row r="214" hidden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6"/>
      <c r="O214" s="10"/>
      <c r="P214" s="10"/>
      <c r="Q214" s="10"/>
      <c r="R214" s="10"/>
      <c r="S214" s="17"/>
      <c r="T214" s="12"/>
      <c r="U214" s="10"/>
      <c r="V214" s="10"/>
      <c r="W214" s="10"/>
      <c r="X214" s="10"/>
      <c r="Y214" s="10"/>
    </row>
    <row r="215" hidden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6"/>
      <c r="O215" s="10"/>
      <c r="P215" s="10"/>
      <c r="Q215" s="10"/>
      <c r="R215" s="10"/>
      <c r="S215" s="17"/>
      <c r="T215" s="12"/>
      <c r="U215" s="10"/>
      <c r="V215" s="10"/>
      <c r="W215" s="10"/>
      <c r="X215" s="10"/>
      <c r="Y215" s="10"/>
    </row>
    <row r="216" hidden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6"/>
      <c r="O216" s="10"/>
      <c r="P216" s="10"/>
      <c r="Q216" s="10"/>
      <c r="R216" s="10"/>
      <c r="S216" s="17"/>
      <c r="T216" s="12"/>
      <c r="U216" s="10"/>
      <c r="V216" s="10"/>
      <c r="W216" s="10"/>
      <c r="X216" s="10"/>
      <c r="Y216" s="10"/>
    </row>
    <row r="217" hidden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6"/>
      <c r="O217" s="10"/>
      <c r="P217" s="10"/>
      <c r="Q217" s="10"/>
      <c r="R217" s="10"/>
      <c r="S217" s="17"/>
      <c r="T217" s="12"/>
      <c r="U217" s="10"/>
      <c r="V217" s="10"/>
      <c r="W217" s="10"/>
      <c r="X217" s="10"/>
      <c r="Y217" s="10"/>
    </row>
    <row r="218" hidden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6"/>
      <c r="O218" s="10"/>
      <c r="P218" s="10"/>
      <c r="Q218" s="10"/>
      <c r="R218" s="10"/>
      <c r="S218" s="17"/>
      <c r="T218" s="12"/>
      <c r="U218" s="10"/>
      <c r="V218" s="10"/>
      <c r="W218" s="10"/>
      <c r="X218" s="10"/>
      <c r="Y218" s="10"/>
    </row>
    <row r="219" hidden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6"/>
      <c r="O219" s="10"/>
      <c r="P219" s="10"/>
      <c r="Q219" s="10"/>
      <c r="R219" s="10"/>
      <c r="S219" s="17"/>
      <c r="T219" s="12"/>
      <c r="U219" s="10"/>
      <c r="V219" s="10"/>
      <c r="W219" s="10"/>
      <c r="X219" s="10"/>
      <c r="Y219" s="10"/>
    </row>
    <row r="220" hidden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6"/>
      <c r="O220" s="10"/>
      <c r="P220" s="10"/>
      <c r="Q220" s="10"/>
      <c r="R220" s="10"/>
      <c r="S220" s="17"/>
      <c r="T220" s="12"/>
      <c r="U220" s="10"/>
      <c r="V220" s="10"/>
      <c r="W220" s="10"/>
      <c r="X220" s="10"/>
      <c r="Y220" s="10"/>
    </row>
    <row r="221" hidden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6"/>
      <c r="O221" s="10"/>
      <c r="P221" s="10"/>
      <c r="Q221" s="10"/>
      <c r="R221" s="10"/>
      <c r="S221" s="17"/>
      <c r="T221" s="12"/>
      <c r="U221" s="10"/>
      <c r="V221" s="10"/>
      <c r="W221" s="10"/>
      <c r="X221" s="10"/>
      <c r="Y221" s="10"/>
    </row>
    <row r="222" hidden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6"/>
      <c r="O222" s="10"/>
      <c r="P222" s="10"/>
      <c r="Q222" s="10"/>
      <c r="R222" s="10"/>
      <c r="S222" s="17"/>
      <c r="T222" s="12"/>
      <c r="U222" s="10"/>
      <c r="V222" s="10"/>
      <c r="W222" s="10"/>
      <c r="X222" s="10"/>
      <c r="Y222" s="10"/>
    </row>
    <row r="223" hidden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6"/>
      <c r="O223" s="10"/>
      <c r="P223" s="10"/>
      <c r="Q223" s="10"/>
      <c r="R223" s="10"/>
      <c r="S223" s="17"/>
      <c r="T223" s="12"/>
      <c r="U223" s="10"/>
      <c r="V223" s="10"/>
      <c r="W223" s="10"/>
      <c r="X223" s="10"/>
      <c r="Y223" s="10"/>
    </row>
    <row r="224" hidden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6"/>
      <c r="O224" s="10"/>
      <c r="P224" s="10"/>
      <c r="Q224" s="10"/>
      <c r="R224" s="10"/>
      <c r="S224" s="17"/>
      <c r="T224" s="12"/>
      <c r="U224" s="10"/>
      <c r="V224" s="10"/>
      <c r="W224" s="10"/>
      <c r="X224" s="10"/>
      <c r="Y224" s="10"/>
    </row>
    <row r="225" hidden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6"/>
      <c r="O225" s="10"/>
      <c r="P225" s="10"/>
      <c r="Q225" s="10"/>
      <c r="R225" s="10"/>
      <c r="S225" s="17"/>
      <c r="T225" s="12"/>
      <c r="U225" s="10"/>
      <c r="V225" s="10"/>
      <c r="W225" s="10"/>
      <c r="X225" s="10"/>
      <c r="Y225" s="10"/>
    </row>
    <row r="226" hidden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6"/>
      <c r="O226" s="10"/>
      <c r="P226" s="10"/>
      <c r="Q226" s="10"/>
      <c r="R226" s="10"/>
      <c r="S226" s="17"/>
      <c r="T226" s="12"/>
      <c r="U226" s="10"/>
      <c r="V226" s="10"/>
      <c r="W226" s="10"/>
      <c r="X226" s="10"/>
      <c r="Y226" s="10"/>
    </row>
    <row r="227" hidden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6"/>
      <c r="O227" s="10"/>
      <c r="P227" s="10"/>
      <c r="Q227" s="10"/>
      <c r="R227" s="10"/>
      <c r="S227" s="17"/>
      <c r="T227" s="12"/>
      <c r="U227" s="10"/>
      <c r="V227" s="10"/>
      <c r="W227" s="10"/>
      <c r="X227" s="10"/>
      <c r="Y227" s="10"/>
    </row>
    <row r="228" hidden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6"/>
      <c r="O228" s="10"/>
      <c r="P228" s="10"/>
      <c r="Q228" s="10"/>
      <c r="R228" s="10"/>
      <c r="S228" s="17"/>
      <c r="T228" s="12"/>
      <c r="U228" s="10"/>
      <c r="V228" s="10"/>
      <c r="W228" s="10"/>
      <c r="X228" s="10"/>
      <c r="Y228" s="10"/>
    </row>
    <row r="229" hidden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6"/>
      <c r="O229" s="10"/>
      <c r="P229" s="10"/>
      <c r="Q229" s="10"/>
      <c r="R229" s="10"/>
      <c r="S229" s="17"/>
      <c r="T229" s="12"/>
      <c r="U229" s="10"/>
      <c r="V229" s="10"/>
      <c r="W229" s="10"/>
      <c r="X229" s="10"/>
      <c r="Y229" s="10"/>
    </row>
    <row r="230" hidden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6"/>
      <c r="O230" s="10"/>
      <c r="P230" s="10"/>
      <c r="Q230" s="10"/>
      <c r="R230" s="10"/>
      <c r="S230" s="17"/>
      <c r="T230" s="12"/>
      <c r="U230" s="10"/>
      <c r="V230" s="10"/>
      <c r="W230" s="10"/>
      <c r="X230" s="10"/>
      <c r="Y230" s="10"/>
    </row>
    <row r="231" hidden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6"/>
      <c r="O231" s="10"/>
      <c r="P231" s="10"/>
      <c r="Q231" s="10"/>
      <c r="R231" s="10"/>
      <c r="S231" s="17"/>
      <c r="T231" s="12"/>
      <c r="U231" s="10"/>
      <c r="V231" s="10"/>
      <c r="W231" s="10"/>
      <c r="X231" s="10"/>
      <c r="Y231" s="10"/>
    </row>
    <row r="232" hidden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6"/>
      <c r="O232" s="10"/>
      <c r="P232" s="10"/>
      <c r="Q232" s="10"/>
      <c r="R232" s="10"/>
      <c r="S232" s="17"/>
      <c r="T232" s="12"/>
      <c r="U232" s="10"/>
      <c r="V232" s="10"/>
      <c r="W232" s="10"/>
      <c r="X232" s="10"/>
      <c r="Y232" s="10"/>
    </row>
    <row r="233" hidden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6"/>
      <c r="O233" s="10"/>
      <c r="P233" s="10"/>
      <c r="Q233" s="10"/>
      <c r="R233" s="10"/>
      <c r="S233" s="17"/>
      <c r="T233" s="12"/>
      <c r="U233" s="10"/>
      <c r="V233" s="10"/>
      <c r="W233" s="10"/>
      <c r="X233" s="10"/>
      <c r="Y233" s="10"/>
    </row>
    <row r="234" hidden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6"/>
      <c r="O234" s="10"/>
      <c r="P234" s="10"/>
      <c r="Q234" s="10"/>
      <c r="R234" s="10"/>
      <c r="S234" s="17"/>
      <c r="T234" s="12"/>
      <c r="U234" s="10"/>
      <c r="V234" s="10"/>
      <c r="W234" s="10"/>
      <c r="X234" s="10"/>
      <c r="Y234" s="10"/>
    </row>
    <row r="235" hidden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6"/>
      <c r="O235" s="10"/>
      <c r="P235" s="10"/>
      <c r="Q235" s="10"/>
      <c r="R235" s="10"/>
      <c r="S235" s="17"/>
      <c r="T235" s="12"/>
      <c r="U235" s="10"/>
      <c r="V235" s="10"/>
      <c r="W235" s="10"/>
      <c r="X235" s="10"/>
      <c r="Y235" s="10"/>
    </row>
    <row r="236" hidden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6"/>
      <c r="O236" s="10"/>
      <c r="P236" s="10"/>
      <c r="Q236" s="10"/>
      <c r="R236" s="10"/>
      <c r="S236" s="17"/>
      <c r="T236" s="12"/>
      <c r="U236" s="10"/>
      <c r="V236" s="10"/>
      <c r="W236" s="10"/>
      <c r="X236" s="10"/>
      <c r="Y236" s="10"/>
    </row>
    <row r="237" hidden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6"/>
      <c r="O237" s="10"/>
      <c r="P237" s="10"/>
      <c r="Q237" s="10"/>
      <c r="R237" s="10"/>
      <c r="S237" s="17"/>
      <c r="T237" s="12"/>
      <c r="U237" s="10"/>
      <c r="V237" s="10"/>
      <c r="W237" s="10"/>
      <c r="X237" s="10"/>
      <c r="Y237" s="10"/>
    </row>
    <row r="238" hidden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6"/>
      <c r="O238" s="10"/>
      <c r="P238" s="10"/>
      <c r="Q238" s="10"/>
      <c r="R238" s="10"/>
      <c r="S238" s="17"/>
      <c r="T238" s="12"/>
      <c r="U238" s="10"/>
      <c r="V238" s="10"/>
      <c r="W238" s="10"/>
      <c r="X238" s="10"/>
      <c r="Y238" s="10"/>
    </row>
    <row r="239" hidden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6"/>
      <c r="O239" s="10"/>
      <c r="P239" s="10"/>
      <c r="Q239" s="10"/>
      <c r="R239" s="10"/>
      <c r="S239" s="17"/>
      <c r="T239" s="12"/>
      <c r="U239" s="10"/>
      <c r="V239" s="10"/>
      <c r="W239" s="10"/>
      <c r="X239" s="10"/>
      <c r="Y239" s="10"/>
    </row>
    <row r="240" hidden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6"/>
      <c r="O240" s="10"/>
      <c r="P240" s="10"/>
      <c r="Q240" s="10"/>
      <c r="R240" s="10"/>
      <c r="S240" s="17"/>
      <c r="T240" s="12"/>
      <c r="U240" s="10"/>
      <c r="V240" s="10"/>
      <c r="W240" s="10"/>
      <c r="X240" s="10"/>
      <c r="Y240" s="10"/>
    </row>
    <row r="241" hidden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6"/>
      <c r="O241" s="10"/>
      <c r="P241" s="10"/>
      <c r="Q241" s="10"/>
      <c r="R241" s="10"/>
      <c r="S241" s="17"/>
      <c r="T241" s="12"/>
      <c r="U241" s="10"/>
      <c r="V241" s="10"/>
      <c r="W241" s="10"/>
      <c r="X241" s="10"/>
      <c r="Y241" s="10"/>
    </row>
    <row r="242" hidden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6"/>
      <c r="O242" s="10"/>
      <c r="P242" s="10"/>
      <c r="Q242" s="10"/>
      <c r="R242" s="10"/>
      <c r="S242" s="17"/>
      <c r="T242" s="12"/>
      <c r="U242" s="10"/>
      <c r="V242" s="10"/>
      <c r="W242" s="10"/>
      <c r="X242" s="10"/>
      <c r="Y242" s="10"/>
    </row>
    <row r="243" hidden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6"/>
      <c r="O243" s="10"/>
      <c r="P243" s="10"/>
      <c r="Q243" s="10"/>
      <c r="R243" s="10"/>
      <c r="S243" s="17"/>
      <c r="T243" s="12"/>
      <c r="U243" s="10"/>
      <c r="V243" s="10"/>
      <c r="W243" s="10"/>
      <c r="X243" s="10"/>
      <c r="Y243" s="10"/>
    </row>
    <row r="244" hidden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6"/>
      <c r="O244" s="10"/>
      <c r="P244" s="10"/>
      <c r="Q244" s="10"/>
      <c r="R244" s="10"/>
      <c r="S244" s="17"/>
      <c r="T244" s="12"/>
      <c r="U244" s="10"/>
      <c r="V244" s="10"/>
      <c r="W244" s="10"/>
      <c r="X244" s="10"/>
      <c r="Y244" s="10"/>
    </row>
    <row r="245" hidden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6"/>
      <c r="O245" s="10"/>
      <c r="P245" s="10"/>
      <c r="Q245" s="10"/>
      <c r="R245" s="10"/>
      <c r="S245" s="17"/>
      <c r="T245" s="12"/>
      <c r="U245" s="10"/>
      <c r="V245" s="10"/>
      <c r="W245" s="10"/>
      <c r="X245" s="10"/>
      <c r="Y245" s="10"/>
    </row>
    <row r="246" hidden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6"/>
      <c r="O246" s="10"/>
      <c r="P246" s="10"/>
      <c r="Q246" s="10"/>
      <c r="R246" s="10"/>
      <c r="S246" s="17"/>
      <c r="T246" s="12"/>
      <c r="U246" s="10"/>
      <c r="V246" s="10"/>
      <c r="W246" s="10"/>
      <c r="X246" s="10"/>
      <c r="Y246" s="10"/>
    </row>
    <row r="247" hidden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6"/>
      <c r="O247" s="10"/>
      <c r="P247" s="10"/>
      <c r="Q247" s="10"/>
      <c r="R247" s="10"/>
      <c r="S247" s="17"/>
      <c r="T247" s="12"/>
      <c r="U247" s="10"/>
      <c r="V247" s="10"/>
      <c r="W247" s="10"/>
      <c r="X247" s="10"/>
      <c r="Y247" s="10"/>
    </row>
    <row r="248" hidden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6"/>
      <c r="O248" s="10"/>
      <c r="P248" s="10"/>
      <c r="Q248" s="10"/>
      <c r="R248" s="10"/>
      <c r="S248" s="17"/>
      <c r="T248" s="12"/>
      <c r="U248" s="10"/>
      <c r="V248" s="10"/>
      <c r="W248" s="10"/>
      <c r="X248" s="10"/>
      <c r="Y248" s="10"/>
    </row>
    <row r="249" hidden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6"/>
      <c r="O249" s="10"/>
      <c r="P249" s="10"/>
      <c r="Q249" s="10"/>
      <c r="R249" s="10"/>
      <c r="S249" s="17"/>
      <c r="T249" s="12"/>
      <c r="U249" s="10"/>
      <c r="V249" s="10"/>
      <c r="W249" s="10"/>
      <c r="X249" s="10"/>
      <c r="Y249" s="10"/>
    </row>
    <row r="250" hidden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6"/>
      <c r="O250" s="10"/>
      <c r="P250" s="10"/>
      <c r="Q250" s="10"/>
      <c r="R250" s="10"/>
      <c r="S250" s="17"/>
      <c r="T250" s="12"/>
      <c r="U250" s="10"/>
      <c r="V250" s="10"/>
      <c r="W250" s="10"/>
      <c r="X250" s="10"/>
      <c r="Y250" s="10"/>
    </row>
    <row r="251" hidden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6"/>
      <c r="O251" s="10"/>
      <c r="P251" s="10"/>
      <c r="Q251" s="10"/>
      <c r="R251" s="10"/>
      <c r="S251" s="17"/>
      <c r="T251" s="12"/>
      <c r="U251" s="10"/>
      <c r="V251" s="10"/>
      <c r="W251" s="10"/>
      <c r="X251" s="10"/>
      <c r="Y251" s="10"/>
    </row>
    <row r="252" hidden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6"/>
      <c r="O252" s="10"/>
      <c r="P252" s="10"/>
      <c r="Q252" s="10"/>
      <c r="R252" s="10"/>
      <c r="S252" s="17"/>
      <c r="T252" s="12"/>
      <c r="U252" s="10"/>
      <c r="V252" s="10"/>
      <c r="W252" s="10"/>
      <c r="X252" s="10"/>
      <c r="Y252" s="10"/>
    </row>
    <row r="253" hidden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6"/>
      <c r="O253" s="10"/>
      <c r="P253" s="10"/>
      <c r="Q253" s="10"/>
      <c r="R253" s="10"/>
      <c r="S253" s="17"/>
      <c r="T253" s="12"/>
      <c r="U253" s="10"/>
      <c r="V253" s="10"/>
      <c r="W253" s="10"/>
      <c r="X253" s="10"/>
      <c r="Y253" s="10"/>
    </row>
    <row r="254" hidden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6"/>
      <c r="O254" s="10"/>
      <c r="P254" s="10"/>
      <c r="Q254" s="10"/>
      <c r="R254" s="10"/>
      <c r="S254" s="17"/>
      <c r="T254" s="12"/>
      <c r="U254" s="10"/>
      <c r="V254" s="10"/>
      <c r="W254" s="10"/>
      <c r="X254" s="10"/>
      <c r="Y254" s="10"/>
    </row>
    <row r="255" hidden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6"/>
      <c r="O255" s="10"/>
      <c r="P255" s="10"/>
      <c r="Q255" s="10"/>
      <c r="R255" s="10"/>
      <c r="S255" s="17"/>
      <c r="T255" s="12"/>
      <c r="U255" s="10"/>
      <c r="V255" s="10"/>
      <c r="W255" s="10"/>
      <c r="X255" s="10"/>
      <c r="Y255" s="10"/>
    </row>
    <row r="256" hidden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6"/>
      <c r="O256" s="10"/>
      <c r="P256" s="10"/>
      <c r="Q256" s="10"/>
      <c r="R256" s="10"/>
      <c r="S256" s="17"/>
      <c r="T256" s="12"/>
      <c r="U256" s="10"/>
      <c r="V256" s="10"/>
      <c r="W256" s="10"/>
      <c r="X256" s="10"/>
      <c r="Y256" s="10"/>
    </row>
    <row r="257" hidden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6"/>
      <c r="O257" s="10"/>
      <c r="P257" s="10"/>
      <c r="Q257" s="10"/>
      <c r="R257" s="10"/>
      <c r="S257" s="17"/>
      <c r="T257" s="12"/>
      <c r="U257" s="10"/>
      <c r="V257" s="10"/>
      <c r="W257" s="10"/>
      <c r="X257" s="10"/>
      <c r="Y257" s="10"/>
    </row>
    <row r="258" hidden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6"/>
      <c r="O258" s="10"/>
      <c r="P258" s="10"/>
      <c r="Q258" s="10"/>
      <c r="R258" s="10"/>
      <c r="S258" s="17"/>
      <c r="T258" s="12"/>
      <c r="U258" s="10"/>
      <c r="V258" s="10"/>
      <c r="W258" s="10"/>
      <c r="X258" s="10"/>
      <c r="Y258" s="10"/>
    </row>
    <row r="259" hidden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6"/>
      <c r="O259" s="10"/>
      <c r="P259" s="10"/>
      <c r="Q259" s="10"/>
      <c r="R259" s="10"/>
      <c r="S259" s="17"/>
      <c r="T259" s="12"/>
      <c r="U259" s="10"/>
      <c r="V259" s="10"/>
      <c r="W259" s="10"/>
      <c r="X259" s="10"/>
      <c r="Y259" s="10"/>
    </row>
    <row r="260" hidden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6"/>
      <c r="O260" s="10"/>
      <c r="P260" s="10"/>
      <c r="Q260" s="10"/>
      <c r="R260" s="10"/>
      <c r="S260" s="17"/>
      <c r="T260" s="12"/>
      <c r="U260" s="10"/>
      <c r="V260" s="10"/>
      <c r="W260" s="10"/>
      <c r="X260" s="10"/>
      <c r="Y260" s="10"/>
    </row>
    <row r="261" hidden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6"/>
      <c r="O261" s="10"/>
      <c r="P261" s="10"/>
      <c r="Q261" s="10"/>
      <c r="R261" s="10"/>
      <c r="S261" s="17"/>
      <c r="T261" s="12"/>
      <c r="U261" s="10"/>
      <c r="V261" s="10"/>
      <c r="W261" s="10"/>
      <c r="X261" s="10"/>
      <c r="Y261" s="10"/>
    </row>
    <row r="262" hidden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6"/>
      <c r="O262" s="10"/>
      <c r="P262" s="10"/>
      <c r="Q262" s="10"/>
      <c r="R262" s="10"/>
      <c r="S262" s="17"/>
      <c r="T262" s="12"/>
      <c r="U262" s="10"/>
      <c r="V262" s="10"/>
      <c r="W262" s="10"/>
      <c r="X262" s="10"/>
      <c r="Y262" s="10"/>
    </row>
    <row r="263" hidden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6"/>
      <c r="O263" s="10"/>
      <c r="P263" s="10"/>
      <c r="Q263" s="10"/>
      <c r="R263" s="10"/>
      <c r="S263" s="17"/>
      <c r="T263" s="12"/>
      <c r="U263" s="10"/>
      <c r="V263" s="10"/>
      <c r="W263" s="10"/>
      <c r="X263" s="10"/>
      <c r="Y263" s="10"/>
    </row>
    <row r="264" hidden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6"/>
      <c r="O264" s="10"/>
      <c r="P264" s="10"/>
      <c r="Q264" s="10"/>
      <c r="R264" s="10"/>
      <c r="S264" s="17"/>
      <c r="T264" s="12"/>
      <c r="U264" s="10"/>
      <c r="V264" s="10"/>
      <c r="W264" s="10"/>
      <c r="X264" s="10"/>
      <c r="Y264" s="10"/>
    </row>
    <row r="265" hidden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6"/>
      <c r="O265" s="10"/>
      <c r="P265" s="10"/>
      <c r="Q265" s="10"/>
      <c r="R265" s="10"/>
      <c r="S265" s="17"/>
      <c r="T265" s="12"/>
      <c r="U265" s="10"/>
      <c r="V265" s="10"/>
      <c r="W265" s="10"/>
      <c r="X265" s="10"/>
      <c r="Y265" s="10"/>
    </row>
    <row r="266" hidden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6"/>
      <c r="O266" s="10"/>
      <c r="P266" s="10"/>
      <c r="Q266" s="10"/>
      <c r="R266" s="10"/>
      <c r="S266" s="17"/>
      <c r="T266" s="12"/>
      <c r="U266" s="10"/>
      <c r="V266" s="10"/>
      <c r="W266" s="10"/>
      <c r="X266" s="10"/>
      <c r="Y266" s="10"/>
    </row>
    <row r="267" hidden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6"/>
      <c r="O267" s="10"/>
      <c r="P267" s="10"/>
      <c r="Q267" s="10"/>
      <c r="R267" s="10"/>
      <c r="S267" s="17"/>
      <c r="T267" s="12"/>
      <c r="U267" s="10"/>
      <c r="V267" s="10"/>
      <c r="W267" s="10"/>
      <c r="X267" s="10"/>
      <c r="Y267" s="10"/>
    </row>
    <row r="268" hidden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6"/>
      <c r="O268" s="10"/>
      <c r="P268" s="10"/>
      <c r="Q268" s="10"/>
      <c r="R268" s="10"/>
      <c r="S268" s="17"/>
      <c r="T268" s="12"/>
      <c r="U268" s="10"/>
      <c r="V268" s="10"/>
      <c r="W268" s="10"/>
      <c r="X268" s="10"/>
      <c r="Y268" s="10"/>
    </row>
    <row r="269" hidden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6"/>
      <c r="O269" s="10"/>
      <c r="P269" s="10"/>
      <c r="Q269" s="10"/>
      <c r="R269" s="10"/>
      <c r="S269" s="17"/>
      <c r="T269" s="12"/>
      <c r="U269" s="10"/>
      <c r="V269" s="10"/>
      <c r="W269" s="10"/>
      <c r="X269" s="10"/>
      <c r="Y269" s="10"/>
    </row>
    <row r="270" hidden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6"/>
      <c r="O270" s="10"/>
      <c r="P270" s="10"/>
      <c r="Q270" s="10"/>
      <c r="R270" s="10"/>
      <c r="S270" s="17"/>
      <c r="T270" s="12"/>
      <c r="U270" s="10"/>
      <c r="V270" s="10"/>
      <c r="W270" s="10"/>
      <c r="X270" s="10"/>
      <c r="Y270" s="10"/>
    </row>
    <row r="271" hidden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6"/>
      <c r="O271" s="10"/>
      <c r="P271" s="10"/>
      <c r="Q271" s="10"/>
      <c r="R271" s="10"/>
      <c r="S271" s="17"/>
      <c r="T271" s="12"/>
      <c r="U271" s="10"/>
      <c r="V271" s="10"/>
      <c r="W271" s="10"/>
      <c r="X271" s="10"/>
      <c r="Y271" s="10"/>
    </row>
    <row r="272" hidden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6"/>
      <c r="O272" s="10"/>
      <c r="P272" s="10"/>
      <c r="Q272" s="10"/>
      <c r="R272" s="10"/>
      <c r="S272" s="17"/>
      <c r="T272" s="12"/>
      <c r="U272" s="10"/>
      <c r="V272" s="10"/>
      <c r="W272" s="10"/>
      <c r="X272" s="10"/>
      <c r="Y272" s="10"/>
    </row>
    <row r="273" hidden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6"/>
      <c r="O273" s="10"/>
      <c r="P273" s="10"/>
      <c r="Q273" s="10"/>
      <c r="R273" s="10"/>
      <c r="S273" s="17"/>
      <c r="T273" s="12"/>
      <c r="U273" s="10"/>
      <c r="V273" s="10"/>
      <c r="W273" s="10"/>
      <c r="X273" s="10"/>
      <c r="Y273" s="10"/>
    </row>
    <row r="274" hidden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6"/>
      <c r="O274" s="10"/>
      <c r="P274" s="10"/>
      <c r="Q274" s="10"/>
      <c r="R274" s="10"/>
      <c r="S274" s="17"/>
      <c r="T274" s="12"/>
      <c r="U274" s="10"/>
      <c r="V274" s="10"/>
      <c r="W274" s="10"/>
      <c r="X274" s="10"/>
      <c r="Y274" s="10"/>
    </row>
    <row r="275" hidden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6"/>
      <c r="O275" s="10"/>
      <c r="P275" s="10"/>
      <c r="Q275" s="10"/>
      <c r="R275" s="10"/>
      <c r="S275" s="17"/>
      <c r="T275" s="12"/>
      <c r="U275" s="10"/>
      <c r="V275" s="10"/>
      <c r="W275" s="10"/>
      <c r="X275" s="10"/>
      <c r="Y275" s="10"/>
    </row>
    <row r="276" hidden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6"/>
      <c r="O276" s="10"/>
      <c r="P276" s="10"/>
      <c r="Q276" s="10"/>
      <c r="R276" s="10"/>
      <c r="S276" s="17"/>
      <c r="T276" s="12"/>
      <c r="U276" s="10"/>
      <c r="V276" s="10"/>
      <c r="W276" s="10"/>
      <c r="X276" s="10"/>
      <c r="Y276" s="10"/>
    </row>
    <row r="277" hidden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6"/>
      <c r="O277" s="10"/>
      <c r="P277" s="10"/>
      <c r="Q277" s="10"/>
      <c r="R277" s="10"/>
      <c r="S277" s="17"/>
      <c r="T277" s="12"/>
      <c r="U277" s="10"/>
      <c r="V277" s="10"/>
      <c r="W277" s="10"/>
      <c r="X277" s="10"/>
      <c r="Y277" s="10"/>
    </row>
    <row r="278" hidden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6"/>
      <c r="O278" s="10"/>
      <c r="P278" s="10"/>
      <c r="Q278" s="10"/>
      <c r="R278" s="10"/>
      <c r="S278" s="17"/>
      <c r="T278" s="12"/>
      <c r="U278" s="10"/>
      <c r="V278" s="10"/>
      <c r="W278" s="10"/>
      <c r="X278" s="10"/>
      <c r="Y278" s="10"/>
    </row>
    <row r="279" hidden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6"/>
      <c r="O279" s="10"/>
      <c r="P279" s="10"/>
      <c r="Q279" s="10"/>
      <c r="R279" s="10"/>
      <c r="S279" s="17"/>
      <c r="T279" s="12"/>
      <c r="U279" s="10"/>
      <c r="V279" s="10"/>
      <c r="W279" s="10"/>
      <c r="X279" s="10"/>
      <c r="Y279" s="10"/>
    </row>
    <row r="280" hidden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6"/>
      <c r="O280" s="10"/>
      <c r="P280" s="10"/>
      <c r="Q280" s="10"/>
      <c r="R280" s="10"/>
      <c r="S280" s="17"/>
      <c r="T280" s="12"/>
      <c r="U280" s="10"/>
      <c r="V280" s="10"/>
      <c r="W280" s="10"/>
      <c r="X280" s="10"/>
      <c r="Y280" s="10"/>
    </row>
    <row r="281" hidden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6"/>
      <c r="O281" s="10"/>
      <c r="P281" s="10"/>
      <c r="Q281" s="10"/>
      <c r="R281" s="10"/>
      <c r="S281" s="17"/>
      <c r="T281" s="12"/>
      <c r="U281" s="10"/>
      <c r="V281" s="10"/>
      <c r="W281" s="10"/>
      <c r="X281" s="10"/>
      <c r="Y281" s="10"/>
    </row>
    <row r="282" hidden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6"/>
      <c r="O282" s="10"/>
      <c r="P282" s="10"/>
      <c r="Q282" s="10"/>
      <c r="R282" s="10"/>
      <c r="S282" s="17"/>
      <c r="T282" s="12"/>
      <c r="U282" s="10"/>
      <c r="V282" s="10"/>
      <c r="W282" s="10"/>
      <c r="X282" s="10"/>
      <c r="Y282" s="10"/>
    </row>
    <row r="283" hidden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6"/>
      <c r="O283" s="10"/>
      <c r="P283" s="10"/>
      <c r="Q283" s="10"/>
      <c r="R283" s="10"/>
      <c r="S283" s="17"/>
      <c r="T283" s="12"/>
      <c r="U283" s="10"/>
      <c r="V283" s="10"/>
      <c r="W283" s="10"/>
      <c r="X283" s="10"/>
      <c r="Y283" s="10"/>
    </row>
    <row r="284" hidden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6"/>
      <c r="O284" s="10"/>
      <c r="P284" s="10"/>
      <c r="Q284" s="10"/>
      <c r="R284" s="10"/>
      <c r="S284" s="17"/>
      <c r="T284" s="12"/>
      <c r="U284" s="10"/>
      <c r="V284" s="10"/>
      <c r="W284" s="10"/>
      <c r="X284" s="10"/>
      <c r="Y284" s="10"/>
    </row>
    <row r="285" hidden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6"/>
      <c r="O285" s="10"/>
      <c r="P285" s="10"/>
      <c r="Q285" s="10"/>
      <c r="R285" s="10"/>
      <c r="S285" s="17"/>
      <c r="T285" s="12"/>
      <c r="U285" s="10"/>
      <c r="V285" s="10"/>
      <c r="W285" s="10"/>
      <c r="X285" s="10"/>
      <c r="Y285" s="10"/>
    </row>
    <row r="286" hidden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6"/>
      <c r="O286" s="10"/>
      <c r="P286" s="10"/>
      <c r="Q286" s="10"/>
      <c r="R286" s="10"/>
      <c r="S286" s="17"/>
      <c r="T286" s="12"/>
      <c r="U286" s="10"/>
      <c r="V286" s="10"/>
      <c r="W286" s="10"/>
      <c r="X286" s="10"/>
      <c r="Y286" s="10"/>
    </row>
    <row r="287" hidden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6"/>
      <c r="O287" s="10"/>
      <c r="P287" s="10"/>
      <c r="Q287" s="10"/>
      <c r="R287" s="10"/>
      <c r="S287" s="17"/>
      <c r="T287" s="12"/>
      <c r="U287" s="10"/>
      <c r="V287" s="10"/>
      <c r="W287" s="10"/>
      <c r="X287" s="10"/>
      <c r="Y287" s="10"/>
    </row>
    <row r="288" hidden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6"/>
      <c r="O288" s="10"/>
      <c r="P288" s="10"/>
      <c r="Q288" s="10"/>
      <c r="R288" s="10"/>
      <c r="S288" s="17"/>
      <c r="T288" s="12"/>
      <c r="U288" s="10"/>
      <c r="V288" s="10"/>
      <c r="W288" s="10"/>
      <c r="X288" s="10"/>
      <c r="Y288" s="10"/>
    </row>
    <row r="289" hidden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6"/>
      <c r="O289" s="10"/>
      <c r="P289" s="10"/>
      <c r="Q289" s="10"/>
      <c r="R289" s="10"/>
      <c r="S289" s="17"/>
      <c r="T289" s="12"/>
      <c r="U289" s="10"/>
      <c r="V289" s="10"/>
      <c r="W289" s="10"/>
      <c r="X289" s="10"/>
      <c r="Y289" s="10"/>
    </row>
    <row r="290" hidden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6"/>
      <c r="O290" s="10"/>
      <c r="P290" s="10"/>
      <c r="Q290" s="10"/>
      <c r="R290" s="10"/>
      <c r="S290" s="17"/>
      <c r="T290" s="12"/>
      <c r="U290" s="10"/>
      <c r="V290" s="10"/>
      <c r="W290" s="10"/>
      <c r="X290" s="10"/>
      <c r="Y290" s="10"/>
    </row>
    <row r="291" hidden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6"/>
      <c r="O291" s="10"/>
      <c r="P291" s="10"/>
      <c r="Q291" s="10"/>
      <c r="R291" s="10"/>
      <c r="S291" s="17"/>
      <c r="T291" s="12"/>
      <c r="U291" s="10"/>
      <c r="V291" s="10"/>
      <c r="W291" s="10"/>
      <c r="X291" s="10"/>
      <c r="Y291" s="10"/>
    </row>
    <row r="292" hidden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6"/>
      <c r="O292" s="10"/>
      <c r="P292" s="10"/>
      <c r="Q292" s="10"/>
      <c r="R292" s="10"/>
      <c r="S292" s="17"/>
      <c r="T292" s="12"/>
      <c r="U292" s="10"/>
      <c r="V292" s="10"/>
      <c r="W292" s="10"/>
      <c r="X292" s="10"/>
      <c r="Y292" s="10"/>
    </row>
    <row r="293" hidden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6"/>
      <c r="O293" s="10"/>
      <c r="P293" s="10"/>
      <c r="Q293" s="10"/>
      <c r="R293" s="10"/>
      <c r="S293" s="17"/>
      <c r="T293" s="12"/>
      <c r="U293" s="10"/>
      <c r="V293" s="10"/>
      <c r="W293" s="10"/>
      <c r="X293" s="10"/>
      <c r="Y293" s="10"/>
    </row>
    <row r="294" hidden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6"/>
      <c r="O294" s="10"/>
      <c r="P294" s="10"/>
      <c r="Q294" s="10"/>
      <c r="R294" s="10"/>
      <c r="S294" s="17"/>
      <c r="T294" s="12"/>
      <c r="U294" s="10"/>
      <c r="V294" s="10"/>
      <c r="W294" s="10"/>
      <c r="X294" s="10"/>
      <c r="Y294" s="10"/>
    </row>
    <row r="295" hidden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6"/>
      <c r="O295" s="10"/>
      <c r="P295" s="10"/>
      <c r="Q295" s="10"/>
      <c r="R295" s="10"/>
      <c r="S295" s="17"/>
      <c r="T295" s="12"/>
      <c r="U295" s="10"/>
      <c r="V295" s="10"/>
      <c r="W295" s="10"/>
      <c r="X295" s="10"/>
      <c r="Y295" s="10"/>
    </row>
    <row r="296" hidden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6"/>
      <c r="O296" s="10"/>
      <c r="P296" s="10"/>
      <c r="Q296" s="10"/>
      <c r="R296" s="10"/>
      <c r="S296" s="17"/>
      <c r="T296" s="12"/>
      <c r="U296" s="10"/>
      <c r="V296" s="10"/>
      <c r="W296" s="10"/>
      <c r="X296" s="10"/>
      <c r="Y296" s="10"/>
    </row>
    <row r="297" hidden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6"/>
      <c r="O297" s="10"/>
      <c r="P297" s="10"/>
      <c r="Q297" s="10"/>
      <c r="R297" s="10"/>
      <c r="S297" s="17"/>
      <c r="T297" s="12"/>
      <c r="U297" s="10"/>
      <c r="V297" s="10"/>
      <c r="W297" s="10"/>
      <c r="X297" s="10"/>
      <c r="Y297" s="10"/>
    </row>
    <row r="298" hidden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6"/>
      <c r="O298" s="10"/>
      <c r="P298" s="10"/>
      <c r="Q298" s="10"/>
      <c r="R298" s="10"/>
      <c r="S298" s="17"/>
      <c r="T298" s="12"/>
      <c r="U298" s="10"/>
      <c r="V298" s="10"/>
      <c r="W298" s="10"/>
      <c r="X298" s="10"/>
      <c r="Y298" s="10"/>
    </row>
    <row r="299" hidden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6"/>
      <c r="O299" s="10"/>
      <c r="P299" s="10"/>
      <c r="Q299" s="10"/>
      <c r="R299" s="10"/>
      <c r="S299" s="17"/>
      <c r="T299" s="12"/>
      <c r="U299" s="10"/>
      <c r="V299" s="10"/>
      <c r="W299" s="10"/>
      <c r="X299" s="10"/>
      <c r="Y299" s="10"/>
    </row>
    <row r="300" hidden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6"/>
      <c r="O300" s="10"/>
      <c r="P300" s="10"/>
      <c r="Q300" s="10"/>
      <c r="R300" s="10"/>
      <c r="S300" s="17"/>
      <c r="T300" s="12"/>
      <c r="U300" s="10"/>
      <c r="V300" s="10"/>
      <c r="W300" s="10"/>
      <c r="X300" s="10"/>
      <c r="Y300" s="10"/>
    </row>
    <row r="301" hidden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6"/>
      <c r="O301" s="10"/>
      <c r="P301" s="10"/>
      <c r="Q301" s="10"/>
      <c r="R301" s="10"/>
      <c r="S301" s="17"/>
      <c r="T301" s="12"/>
      <c r="U301" s="10"/>
      <c r="V301" s="10"/>
      <c r="W301" s="10"/>
      <c r="X301" s="10"/>
      <c r="Y301" s="10"/>
    </row>
    <row r="302" hidden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6"/>
      <c r="O302" s="10"/>
      <c r="P302" s="10"/>
      <c r="Q302" s="10"/>
      <c r="R302" s="10"/>
      <c r="S302" s="17"/>
      <c r="T302" s="12"/>
      <c r="U302" s="10"/>
      <c r="V302" s="10"/>
      <c r="W302" s="10"/>
      <c r="X302" s="10"/>
      <c r="Y302" s="10"/>
    </row>
    <row r="303" hidden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6"/>
      <c r="O303" s="10"/>
      <c r="P303" s="10"/>
      <c r="Q303" s="10"/>
      <c r="R303" s="10"/>
      <c r="S303" s="17"/>
      <c r="T303" s="12"/>
      <c r="U303" s="10"/>
      <c r="V303" s="10"/>
      <c r="W303" s="10"/>
      <c r="X303" s="10"/>
      <c r="Y303" s="10"/>
    </row>
    <row r="304" hidden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6"/>
      <c r="O304" s="10"/>
      <c r="P304" s="10"/>
      <c r="Q304" s="10"/>
      <c r="R304" s="10"/>
      <c r="S304" s="17"/>
      <c r="T304" s="12"/>
      <c r="U304" s="10"/>
      <c r="V304" s="10"/>
      <c r="W304" s="10"/>
      <c r="X304" s="10"/>
      <c r="Y304" s="10"/>
    </row>
    <row r="305" hidden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6"/>
      <c r="O305" s="10"/>
      <c r="P305" s="10"/>
      <c r="Q305" s="10"/>
      <c r="R305" s="10"/>
      <c r="S305" s="17"/>
      <c r="T305" s="12"/>
      <c r="U305" s="10"/>
      <c r="V305" s="10"/>
      <c r="W305" s="10"/>
      <c r="X305" s="10"/>
      <c r="Y305" s="10"/>
    </row>
    <row r="306" hidden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6"/>
      <c r="O306" s="10"/>
      <c r="P306" s="10"/>
      <c r="Q306" s="10"/>
      <c r="R306" s="10"/>
      <c r="S306" s="17"/>
      <c r="T306" s="12"/>
      <c r="U306" s="10"/>
      <c r="V306" s="10"/>
      <c r="W306" s="10"/>
      <c r="X306" s="10"/>
      <c r="Y306" s="10"/>
    </row>
    <row r="307" hidden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6"/>
      <c r="O307" s="10"/>
      <c r="P307" s="10"/>
      <c r="Q307" s="10"/>
      <c r="R307" s="10"/>
      <c r="S307" s="17"/>
      <c r="T307" s="12"/>
      <c r="U307" s="10"/>
      <c r="V307" s="10"/>
      <c r="W307" s="10"/>
      <c r="X307" s="10"/>
      <c r="Y307" s="10"/>
    </row>
    <row r="308" hidden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6"/>
      <c r="O308" s="10"/>
      <c r="P308" s="10"/>
      <c r="Q308" s="10"/>
      <c r="R308" s="10"/>
      <c r="S308" s="17"/>
      <c r="T308" s="12"/>
      <c r="U308" s="10"/>
      <c r="V308" s="10"/>
      <c r="W308" s="10"/>
      <c r="X308" s="10"/>
      <c r="Y308" s="10"/>
    </row>
    <row r="309" hidden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6"/>
      <c r="O309" s="10"/>
      <c r="P309" s="10"/>
      <c r="Q309" s="10"/>
      <c r="R309" s="10"/>
      <c r="S309" s="17"/>
      <c r="T309" s="12"/>
      <c r="U309" s="10"/>
      <c r="V309" s="10"/>
      <c r="W309" s="10"/>
      <c r="X309" s="10"/>
      <c r="Y309" s="10"/>
    </row>
    <row r="310" hidden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6"/>
      <c r="O310" s="10"/>
      <c r="P310" s="10"/>
      <c r="Q310" s="10"/>
      <c r="R310" s="10"/>
      <c r="S310" s="17"/>
      <c r="T310" s="12"/>
      <c r="U310" s="10"/>
      <c r="V310" s="10"/>
      <c r="W310" s="10"/>
      <c r="X310" s="10"/>
      <c r="Y310" s="10"/>
    </row>
    <row r="311" hidden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6"/>
      <c r="O311" s="10"/>
      <c r="P311" s="10"/>
      <c r="Q311" s="10"/>
      <c r="R311" s="10"/>
      <c r="S311" s="17"/>
      <c r="T311" s="12"/>
      <c r="U311" s="10"/>
      <c r="V311" s="10"/>
      <c r="W311" s="10"/>
      <c r="X311" s="10"/>
      <c r="Y311" s="10"/>
    </row>
    <row r="312" hidden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6"/>
      <c r="O312" s="10"/>
      <c r="P312" s="10"/>
      <c r="Q312" s="10"/>
      <c r="R312" s="10"/>
      <c r="S312" s="17"/>
      <c r="T312" s="12"/>
      <c r="U312" s="10"/>
      <c r="V312" s="10"/>
      <c r="W312" s="10"/>
      <c r="X312" s="10"/>
      <c r="Y312" s="10"/>
    </row>
    <row r="313" hidden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6"/>
      <c r="O313" s="10"/>
      <c r="P313" s="10"/>
      <c r="Q313" s="10"/>
      <c r="R313" s="10"/>
      <c r="S313" s="17"/>
      <c r="T313" s="12"/>
      <c r="U313" s="10"/>
      <c r="V313" s="10"/>
      <c r="W313" s="10"/>
      <c r="X313" s="10"/>
      <c r="Y313" s="10"/>
    </row>
    <row r="314" hidden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6"/>
      <c r="O314" s="10"/>
      <c r="P314" s="10"/>
      <c r="Q314" s="10"/>
      <c r="R314" s="10"/>
      <c r="S314" s="17"/>
      <c r="T314" s="12"/>
      <c r="U314" s="10"/>
      <c r="V314" s="10"/>
      <c r="W314" s="10"/>
      <c r="X314" s="10"/>
      <c r="Y314" s="10"/>
    </row>
    <row r="315" hidden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6"/>
      <c r="O315" s="10"/>
      <c r="P315" s="10"/>
      <c r="Q315" s="10"/>
      <c r="R315" s="10"/>
      <c r="S315" s="17"/>
      <c r="T315" s="12"/>
      <c r="U315" s="10"/>
      <c r="V315" s="10"/>
      <c r="W315" s="10"/>
      <c r="X315" s="10"/>
      <c r="Y315" s="10"/>
    </row>
    <row r="316" hidden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6"/>
      <c r="O316" s="10"/>
      <c r="P316" s="10"/>
      <c r="Q316" s="10"/>
      <c r="R316" s="10"/>
      <c r="S316" s="17"/>
      <c r="T316" s="12"/>
      <c r="U316" s="10"/>
      <c r="V316" s="10"/>
      <c r="W316" s="10"/>
      <c r="X316" s="10"/>
      <c r="Y316" s="10"/>
    </row>
    <row r="317" hidden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6"/>
      <c r="O317" s="10"/>
      <c r="P317" s="10"/>
      <c r="Q317" s="10"/>
      <c r="R317" s="10"/>
      <c r="S317" s="17"/>
      <c r="T317" s="12"/>
      <c r="U317" s="10"/>
      <c r="V317" s="10"/>
      <c r="W317" s="10"/>
      <c r="X317" s="10"/>
      <c r="Y317" s="10"/>
    </row>
    <row r="318" hidden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6"/>
      <c r="O318" s="10"/>
      <c r="P318" s="10"/>
      <c r="Q318" s="10"/>
      <c r="R318" s="10"/>
      <c r="S318" s="17"/>
      <c r="T318" s="12"/>
      <c r="U318" s="10"/>
      <c r="V318" s="10"/>
      <c r="W318" s="10"/>
      <c r="X318" s="10"/>
      <c r="Y318" s="10"/>
    </row>
    <row r="319" hidden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6"/>
      <c r="O319" s="10"/>
      <c r="P319" s="10"/>
      <c r="Q319" s="10"/>
      <c r="R319" s="10"/>
      <c r="S319" s="17"/>
      <c r="T319" s="12"/>
      <c r="U319" s="10"/>
      <c r="V319" s="10"/>
      <c r="W319" s="10"/>
      <c r="X319" s="10"/>
      <c r="Y319" s="10"/>
    </row>
    <row r="320" hidden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6"/>
      <c r="O320" s="10"/>
      <c r="P320" s="10"/>
      <c r="Q320" s="10"/>
      <c r="R320" s="10"/>
      <c r="S320" s="17"/>
      <c r="T320" s="12"/>
      <c r="U320" s="10"/>
      <c r="V320" s="10"/>
      <c r="W320" s="10"/>
      <c r="X320" s="10"/>
      <c r="Y320" s="10"/>
    </row>
    <row r="321" hidden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6"/>
      <c r="O321" s="10"/>
      <c r="P321" s="10"/>
      <c r="Q321" s="10"/>
      <c r="R321" s="10"/>
      <c r="S321" s="17"/>
      <c r="T321" s="12"/>
      <c r="U321" s="10"/>
      <c r="V321" s="10"/>
      <c r="W321" s="10"/>
      <c r="X321" s="10"/>
      <c r="Y321" s="10"/>
    </row>
    <row r="322" hidden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6"/>
      <c r="O322" s="10"/>
      <c r="P322" s="10"/>
      <c r="Q322" s="10"/>
      <c r="R322" s="10"/>
      <c r="S322" s="17"/>
      <c r="T322" s="12"/>
      <c r="U322" s="10"/>
      <c r="V322" s="10"/>
      <c r="W322" s="10"/>
      <c r="X322" s="10"/>
      <c r="Y322" s="10"/>
    </row>
    <row r="323" hidden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6"/>
      <c r="O323" s="10"/>
      <c r="P323" s="10"/>
      <c r="Q323" s="10"/>
      <c r="R323" s="10"/>
      <c r="S323" s="17"/>
      <c r="T323" s="12"/>
      <c r="U323" s="10"/>
      <c r="V323" s="10"/>
      <c r="W323" s="10"/>
      <c r="X323" s="10"/>
      <c r="Y323" s="10"/>
    </row>
    <row r="324" hidden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6"/>
      <c r="O324" s="10"/>
      <c r="P324" s="10"/>
      <c r="Q324" s="10"/>
      <c r="R324" s="10"/>
      <c r="S324" s="17"/>
      <c r="T324" s="12"/>
      <c r="U324" s="10"/>
      <c r="V324" s="10"/>
      <c r="W324" s="10"/>
      <c r="X324" s="10"/>
      <c r="Y324" s="10"/>
    </row>
    <row r="325" hidden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6"/>
      <c r="O325" s="10"/>
      <c r="P325" s="10"/>
      <c r="Q325" s="10"/>
      <c r="R325" s="10"/>
      <c r="S325" s="17"/>
      <c r="T325" s="12"/>
      <c r="U325" s="10"/>
      <c r="V325" s="10"/>
      <c r="W325" s="10"/>
      <c r="X325" s="10"/>
      <c r="Y325" s="10"/>
    </row>
    <row r="326" hidden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6"/>
      <c r="O326" s="10"/>
      <c r="P326" s="10"/>
      <c r="Q326" s="10"/>
      <c r="R326" s="10"/>
      <c r="S326" s="17"/>
      <c r="T326" s="12"/>
      <c r="U326" s="10"/>
      <c r="V326" s="10"/>
      <c r="W326" s="10"/>
      <c r="X326" s="10"/>
      <c r="Y326" s="10"/>
    </row>
    <row r="327" hidden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6"/>
      <c r="O327" s="10"/>
      <c r="P327" s="10"/>
      <c r="Q327" s="10"/>
      <c r="R327" s="10"/>
      <c r="S327" s="17"/>
      <c r="T327" s="12"/>
      <c r="U327" s="10"/>
      <c r="V327" s="10"/>
      <c r="W327" s="10"/>
      <c r="X327" s="10"/>
      <c r="Y327" s="10"/>
    </row>
    <row r="328" hidden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6"/>
      <c r="O328" s="10"/>
      <c r="P328" s="10"/>
      <c r="Q328" s="10"/>
      <c r="R328" s="10"/>
      <c r="S328" s="17"/>
      <c r="T328" s="12"/>
      <c r="U328" s="10"/>
      <c r="V328" s="10"/>
      <c r="W328" s="10"/>
      <c r="X328" s="10"/>
      <c r="Y328" s="10"/>
    </row>
    <row r="329" hidden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6"/>
      <c r="O329" s="10"/>
      <c r="P329" s="10"/>
      <c r="Q329" s="10"/>
      <c r="R329" s="10"/>
      <c r="S329" s="17"/>
      <c r="T329" s="12"/>
      <c r="U329" s="10"/>
      <c r="V329" s="10"/>
      <c r="W329" s="10"/>
      <c r="X329" s="10"/>
      <c r="Y329" s="10"/>
    </row>
    <row r="330" hidden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6"/>
      <c r="O330" s="10"/>
      <c r="P330" s="10"/>
      <c r="Q330" s="10"/>
      <c r="R330" s="10"/>
      <c r="S330" s="17"/>
      <c r="T330" s="12"/>
      <c r="U330" s="10"/>
      <c r="V330" s="10"/>
      <c r="W330" s="10"/>
      <c r="X330" s="10"/>
      <c r="Y330" s="10"/>
    </row>
    <row r="331" hidden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6"/>
      <c r="O331" s="10"/>
      <c r="P331" s="10"/>
      <c r="Q331" s="10"/>
      <c r="R331" s="10"/>
      <c r="S331" s="17"/>
      <c r="T331" s="12"/>
      <c r="U331" s="10"/>
      <c r="V331" s="10"/>
      <c r="W331" s="10"/>
      <c r="X331" s="10"/>
      <c r="Y331" s="10"/>
    </row>
    <row r="332" hidden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6"/>
      <c r="O332" s="10"/>
      <c r="P332" s="10"/>
      <c r="Q332" s="10"/>
      <c r="R332" s="10"/>
      <c r="S332" s="17"/>
      <c r="T332" s="12"/>
      <c r="U332" s="10"/>
      <c r="V332" s="10"/>
      <c r="W332" s="10"/>
      <c r="X332" s="10"/>
      <c r="Y332" s="10"/>
    </row>
    <row r="333" hidden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6"/>
      <c r="O333" s="10"/>
      <c r="P333" s="10"/>
      <c r="Q333" s="10"/>
      <c r="R333" s="10"/>
      <c r="S333" s="17"/>
      <c r="T333" s="12"/>
      <c r="U333" s="10"/>
      <c r="V333" s="10"/>
      <c r="W333" s="10"/>
      <c r="X333" s="10"/>
      <c r="Y333" s="10"/>
    </row>
    <row r="334" hidden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6"/>
      <c r="O334" s="10"/>
      <c r="P334" s="10"/>
      <c r="Q334" s="10"/>
      <c r="R334" s="10"/>
      <c r="S334" s="17"/>
      <c r="T334" s="12"/>
      <c r="U334" s="10"/>
      <c r="V334" s="10"/>
      <c r="W334" s="10"/>
      <c r="X334" s="10"/>
      <c r="Y334" s="10"/>
    </row>
    <row r="335" hidden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6"/>
      <c r="O335" s="10"/>
      <c r="P335" s="10"/>
      <c r="Q335" s="10"/>
      <c r="R335" s="10"/>
      <c r="S335" s="17"/>
      <c r="T335" s="12"/>
      <c r="U335" s="10"/>
      <c r="V335" s="10"/>
      <c r="W335" s="10"/>
      <c r="X335" s="10"/>
      <c r="Y335" s="10"/>
    </row>
    <row r="336" hidden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6"/>
      <c r="O336" s="10"/>
      <c r="P336" s="10"/>
      <c r="Q336" s="10"/>
      <c r="R336" s="10"/>
      <c r="S336" s="17"/>
      <c r="T336" s="12"/>
      <c r="U336" s="10"/>
      <c r="V336" s="10"/>
      <c r="W336" s="10"/>
      <c r="X336" s="10"/>
      <c r="Y336" s="10"/>
    </row>
    <row r="337" hidden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6"/>
      <c r="O337" s="10"/>
      <c r="P337" s="10"/>
      <c r="Q337" s="10"/>
      <c r="R337" s="10"/>
      <c r="S337" s="17"/>
      <c r="T337" s="12"/>
      <c r="U337" s="10"/>
      <c r="V337" s="10"/>
      <c r="W337" s="10"/>
      <c r="X337" s="10"/>
      <c r="Y337" s="10"/>
    </row>
    <row r="338" hidden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6"/>
      <c r="O338" s="10"/>
      <c r="P338" s="10"/>
      <c r="Q338" s="10"/>
      <c r="R338" s="10"/>
      <c r="S338" s="17"/>
      <c r="T338" s="12"/>
      <c r="U338" s="10"/>
      <c r="V338" s="10"/>
      <c r="W338" s="10"/>
      <c r="X338" s="10"/>
      <c r="Y338" s="10"/>
    </row>
    <row r="339" hidden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6"/>
      <c r="O339" s="10"/>
      <c r="P339" s="10"/>
      <c r="Q339" s="10"/>
      <c r="R339" s="10"/>
      <c r="S339" s="17"/>
      <c r="T339" s="12"/>
      <c r="U339" s="10"/>
      <c r="V339" s="10"/>
      <c r="W339" s="10"/>
      <c r="X339" s="10"/>
      <c r="Y339" s="10"/>
    </row>
    <row r="340" hidden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6"/>
      <c r="O340" s="10"/>
      <c r="P340" s="10"/>
      <c r="Q340" s="10"/>
      <c r="R340" s="10"/>
      <c r="S340" s="17"/>
      <c r="T340" s="12"/>
      <c r="U340" s="10"/>
      <c r="V340" s="10"/>
      <c r="W340" s="10"/>
      <c r="X340" s="10"/>
      <c r="Y340" s="10"/>
    </row>
    <row r="341" hidden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6"/>
      <c r="O341" s="10"/>
      <c r="P341" s="10"/>
      <c r="Q341" s="10"/>
      <c r="R341" s="10"/>
      <c r="S341" s="17"/>
      <c r="T341" s="12"/>
      <c r="U341" s="10"/>
      <c r="V341" s="10"/>
      <c r="W341" s="10"/>
      <c r="X341" s="10"/>
      <c r="Y341" s="10"/>
    </row>
    <row r="342" hidden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6"/>
      <c r="O342" s="10"/>
      <c r="P342" s="10"/>
      <c r="Q342" s="10"/>
      <c r="R342" s="10"/>
      <c r="S342" s="17"/>
      <c r="T342" s="12"/>
      <c r="U342" s="10"/>
      <c r="V342" s="10"/>
      <c r="W342" s="10"/>
      <c r="X342" s="10"/>
      <c r="Y342" s="10"/>
    </row>
    <row r="343" hidden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6"/>
      <c r="O343" s="10"/>
      <c r="P343" s="10"/>
      <c r="Q343" s="10"/>
      <c r="R343" s="10"/>
      <c r="S343" s="17"/>
      <c r="T343" s="12"/>
      <c r="U343" s="10"/>
      <c r="V343" s="10"/>
      <c r="W343" s="10"/>
      <c r="X343" s="10"/>
      <c r="Y343" s="10"/>
    </row>
    <row r="344" hidden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6"/>
      <c r="O344" s="10"/>
      <c r="P344" s="10"/>
      <c r="Q344" s="10"/>
      <c r="R344" s="10"/>
      <c r="S344" s="17"/>
      <c r="T344" s="12"/>
      <c r="U344" s="10"/>
      <c r="V344" s="10"/>
      <c r="W344" s="10"/>
      <c r="X344" s="10"/>
      <c r="Y344" s="10"/>
    </row>
    <row r="345" hidden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6"/>
      <c r="O345" s="10"/>
      <c r="P345" s="10"/>
      <c r="Q345" s="10"/>
      <c r="R345" s="10"/>
      <c r="S345" s="17"/>
      <c r="T345" s="12"/>
      <c r="U345" s="10"/>
      <c r="V345" s="10"/>
      <c r="W345" s="10"/>
      <c r="X345" s="10"/>
      <c r="Y345" s="10"/>
    </row>
    <row r="346" hidden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6"/>
      <c r="O346" s="10"/>
      <c r="P346" s="10"/>
      <c r="Q346" s="10"/>
      <c r="R346" s="10"/>
      <c r="S346" s="17"/>
      <c r="T346" s="12"/>
      <c r="U346" s="10"/>
      <c r="V346" s="10"/>
      <c r="W346" s="10"/>
      <c r="X346" s="10"/>
      <c r="Y346" s="10"/>
    </row>
    <row r="347" hidden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6"/>
      <c r="O347" s="10"/>
      <c r="P347" s="10"/>
      <c r="Q347" s="10"/>
      <c r="R347" s="10"/>
      <c r="S347" s="17"/>
      <c r="T347" s="12"/>
      <c r="U347" s="10"/>
      <c r="V347" s="10"/>
      <c r="W347" s="10"/>
      <c r="X347" s="10"/>
      <c r="Y347" s="10"/>
    </row>
    <row r="348" hidden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6"/>
      <c r="O348" s="10"/>
      <c r="P348" s="10"/>
      <c r="Q348" s="10"/>
      <c r="R348" s="10"/>
      <c r="S348" s="17"/>
      <c r="T348" s="12"/>
      <c r="U348" s="10"/>
      <c r="V348" s="10"/>
      <c r="W348" s="10"/>
      <c r="X348" s="10"/>
      <c r="Y348" s="10"/>
    </row>
    <row r="349" hidden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6"/>
      <c r="O349" s="10"/>
      <c r="P349" s="10"/>
      <c r="Q349" s="10"/>
      <c r="R349" s="10"/>
      <c r="S349" s="17"/>
      <c r="T349" s="12"/>
      <c r="U349" s="10"/>
      <c r="V349" s="10"/>
      <c r="W349" s="10"/>
      <c r="X349" s="10"/>
      <c r="Y349" s="10"/>
    </row>
    <row r="350" hidden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6"/>
      <c r="O350" s="10"/>
      <c r="P350" s="10"/>
      <c r="Q350" s="10"/>
      <c r="R350" s="10"/>
      <c r="S350" s="17"/>
      <c r="T350" s="12"/>
      <c r="U350" s="10"/>
      <c r="V350" s="10"/>
      <c r="W350" s="10"/>
      <c r="X350" s="10"/>
      <c r="Y350" s="10"/>
    </row>
    <row r="351" hidden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6"/>
      <c r="O351" s="10"/>
      <c r="P351" s="10"/>
      <c r="Q351" s="10"/>
      <c r="R351" s="10"/>
      <c r="S351" s="17"/>
      <c r="T351" s="12"/>
      <c r="U351" s="10"/>
      <c r="V351" s="10"/>
      <c r="W351" s="10"/>
      <c r="X351" s="10"/>
      <c r="Y351" s="10"/>
    </row>
    <row r="352" hidden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6"/>
      <c r="O352" s="10"/>
      <c r="P352" s="10"/>
      <c r="Q352" s="10"/>
      <c r="R352" s="10"/>
      <c r="S352" s="17"/>
      <c r="T352" s="12"/>
      <c r="U352" s="10"/>
      <c r="V352" s="10"/>
      <c r="W352" s="10"/>
      <c r="X352" s="10"/>
      <c r="Y352" s="10"/>
    </row>
    <row r="353" hidden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6"/>
      <c r="O353" s="10"/>
      <c r="P353" s="10"/>
      <c r="Q353" s="10"/>
      <c r="R353" s="10"/>
      <c r="S353" s="17"/>
      <c r="T353" s="12"/>
      <c r="U353" s="10"/>
      <c r="V353" s="10"/>
      <c r="W353" s="10"/>
      <c r="X353" s="10"/>
      <c r="Y353" s="10"/>
    </row>
    <row r="354" hidden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6"/>
      <c r="O354" s="10"/>
      <c r="P354" s="10"/>
      <c r="Q354" s="10"/>
      <c r="R354" s="10"/>
      <c r="S354" s="17"/>
      <c r="T354" s="12"/>
      <c r="U354" s="10"/>
      <c r="V354" s="10"/>
      <c r="W354" s="10"/>
      <c r="X354" s="10"/>
      <c r="Y354" s="10"/>
    </row>
    <row r="355" hidden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6"/>
      <c r="O355" s="10"/>
      <c r="P355" s="10"/>
      <c r="Q355" s="10"/>
      <c r="R355" s="10"/>
      <c r="S355" s="17"/>
      <c r="T355" s="12"/>
      <c r="U355" s="10"/>
      <c r="V355" s="10"/>
      <c r="W355" s="10"/>
      <c r="X355" s="10"/>
      <c r="Y355" s="10"/>
    </row>
    <row r="356" hidden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6"/>
      <c r="O356" s="10"/>
      <c r="P356" s="10"/>
      <c r="Q356" s="10"/>
      <c r="R356" s="10"/>
      <c r="S356" s="17"/>
      <c r="T356" s="12"/>
      <c r="U356" s="10"/>
      <c r="V356" s="10"/>
      <c r="W356" s="10"/>
      <c r="X356" s="10"/>
      <c r="Y356" s="10"/>
    </row>
    <row r="357" hidden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6"/>
      <c r="O357" s="10"/>
      <c r="P357" s="10"/>
      <c r="Q357" s="10"/>
      <c r="R357" s="10"/>
      <c r="S357" s="17"/>
      <c r="T357" s="12"/>
      <c r="U357" s="10"/>
      <c r="V357" s="10"/>
      <c r="W357" s="10"/>
      <c r="X357" s="10"/>
      <c r="Y357" s="10"/>
    </row>
    <row r="358" hidden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6"/>
      <c r="O358" s="10"/>
      <c r="P358" s="10"/>
      <c r="Q358" s="10"/>
      <c r="R358" s="10"/>
      <c r="S358" s="17"/>
      <c r="T358" s="12"/>
      <c r="U358" s="10"/>
      <c r="V358" s="10"/>
      <c r="W358" s="10"/>
      <c r="X358" s="10"/>
      <c r="Y358" s="10"/>
    </row>
    <row r="359" hidden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6"/>
      <c r="O359" s="10"/>
      <c r="P359" s="10"/>
      <c r="Q359" s="10"/>
      <c r="R359" s="10"/>
      <c r="S359" s="17"/>
      <c r="T359" s="12"/>
      <c r="U359" s="10"/>
      <c r="V359" s="10"/>
      <c r="W359" s="10"/>
      <c r="X359" s="10"/>
      <c r="Y359" s="10"/>
    </row>
    <row r="360" hidden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6"/>
      <c r="O360" s="10"/>
      <c r="P360" s="10"/>
      <c r="Q360" s="10"/>
      <c r="R360" s="10"/>
      <c r="S360" s="17"/>
      <c r="T360" s="12"/>
      <c r="U360" s="10"/>
      <c r="V360" s="10"/>
      <c r="W360" s="10"/>
      <c r="X360" s="10"/>
      <c r="Y360" s="10"/>
    </row>
    <row r="361" hidden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6"/>
      <c r="O361" s="10"/>
      <c r="P361" s="10"/>
      <c r="Q361" s="10"/>
      <c r="R361" s="10"/>
      <c r="S361" s="17"/>
      <c r="T361" s="12"/>
      <c r="U361" s="10"/>
      <c r="V361" s="10"/>
      <c r="W361" s="10"/>
      <c r="X361" s="10"/>
      <c r="Y361" s="10"/>
    </row>
    <row r="362" hidden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6"/>
      <c r="O362" s="10"/>
      <c r="P362" s="10"/>
      <c r="Q362" s="10"/>
      <c r="R362" s="10"/>
      <c r="S362" s="17"/>
      <c r="T362" s="12"/>
      <c r="U362" s="10"/>
      <c r="V362" s="10"/>
      <c r="W362" s="10"/>
      <c r="X362" s="10"/>
      <c r="Y362" s="10"/>
    </row>
    <row r="363" hidden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6"/>
      <c r="O363" s="10"/>
      <c r="P363" s="10"/>
      <c r="Q363" s="10"/>
      <c r="R363" s="10"/>
      <c r="S363" s="17"/>
      <c r="T363" s="12"/>
      <c r="U363" s="10"/>
      <c r="V363" s="10"/>
      <c r="W363" s="10"/>
      <c r="X363" s="10"/>
      <c r="Y363" s="10"/>
    </row>
    <row r="364" hidden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6"/>
      <c r="O364" s="10"/>
      <c r="P364" s="10"/>
      <c r="Q364" s="10"/>
      <c r="R364" s="10"/>
      <c r="S364" s="17"/>
      <c r="T364" s="12"/>
      <c r="U364" s="10"/>
      <c r="V364" s="10"/>
      <c r="W364" s="10"/>
      <c r="X364" s="10"/>
      <c r="Y364" s="10"/>
    </row>
    <row r="365" hidden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6"/>
      <c r="O365" s="10"/>
      <c r="P365" s="10"/>
      <c r="Q365" s="10"/>
      <c r="R365" s="10"/>
      <c r="S365" s="17"/>
      <c r="T365" s="12"/>
      <c r="U365" s="10"/>
      <c r="V365" s="10"/>
      <c r="W365" s="10"/>
      <c r="X365" s="10"/>
      <c r="Y365" s="10"/>
    </row>
    <row r="366" hidden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6"/>
      <c r="O366" s="10"/>
      <c r="P366" s="10"/>
      <c r="Q366" s="10"/>
      <c r="R366" s="10"/>
      <c r="S366" s="17"/>
      <c r="T366" s="12"/>
      <c r="U366" s="10"/>
      <c r="V366" s="10"/>
      <c r="W366" s="10"/>
      <c r="X366" s="10"/>
      <c r="Y366" s="10"/>
    </row>
    <row r="367" hidden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6"/>
      <c r="O367" s="10"/>
      <c r="P367" s="10"/>
      <c r="Q367" s="10"/>
      <c r="R367" s="10"/>
      <c r="S367" s="17"/>
      <c r="T367" s="12"/>
      <c r="U367" s="10"/>
      <c r="V367" s="10"/>
      <c r="W367" s="10"/>
      <c r="X367" s="10"/>
      <c r="Y367" s="10"/>
    </row>
    <row r="368" hidden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6"/>
      <c r="O368" s="10"/>
      <c r="P368" s="10"/>
      <c r="Q368" s="10"/>
      <c r="R368" s="10"/>
      <c r="S368" s="17"/>
      <c r="T368" s="12"/>
      <c r="U368" s="10"/>
      <c r="V368" s="10"/>
      <c r="W368" s="10"/>
      <c r="X368" s="10"/>
      <c r="Y368" s="10"/>
    </row>
    <row r="369" hidden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6"/>
      <c r="O369" s="10"/>
      <c r="P369" s="10"/>
      <c r="Q369" s="10"/>
      <c r="R369" s="10"/>
      <c r="S369" s="17"/>
      <c r="T369" s="12"/>
      <c r="U369" s="10"/>
      <c r="V369" s="10"/>
      <c r="W369" s="10"/>
      <c r="X369" s="10"/>
      <c r="Y369" s="10"/>
    </row>
    <row r="370" hidden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6"/>
      <c r="O370" s="10"/>
      <c r="P370" s="10"/>
      <c r="Q370" s="10"/>
      <c r="R370" s="10"/>
      <c r="S370" s="17"/>
      <c r="T370" s="12"/>
      <c r="U370" s="10"/>
      <c r="V370" s="10"/>
      <c r="W370" s="10"/>
      <c r="X370" s="10"/>
      <c r="Y370" s="10"/>
    </row>
    <row r="371" hidden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6"/>
      <c r="O371" s="10"/>
      <c r="P371" s="10"/>
      <c r="Q371" s="10"/>
      <c r="R371" s="10"/>
      <c r="S371" s="17"/>
      <c r="T371" s="12"/>
      <c r="U371" s="10"/>
      <c r="V371" s="10"/>
      <c r="W371" s="10"/>
      <c r="X371" s="10"/>
      <c r="Y371" s="10"/>
    </row>
    <row r="372" hidden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6"/>
      <c r="O372" s="10"/>
      <c r="P372" s="10"/>
      <c r="Q372" s="10"/>
      <c r="R372" s="10"/>
      <c r="S372" s="17"/>
      <c r="T372" s="12"/>
      <c r="U372" s="10"/>
      <c r="V372" s="10"/>
      <c r="W372" s="10"/>
      <c r="X372" s="10"/>
      <c r="Y372" s="10"/>
    </row>
    <row r="373" hidden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6"/>
      <c r="O373" s="10"/>
      <c r="P373" s="10"/>
      <c r="Q373" s="10"/>
      <c r="R373" s="10"/>
      <c r="S373" s="17"/>
      <c r="T373" s="12"/>
      <c r="U373" s="10"/>
      <c r="V373" s="10"/>
      <c r="W373" s="10"/>
      <c r="X373" s="10"/>
      <c r="Y373" s="10"/>
    </row>
    <row r="374" hidden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6"/>
      <c r="O374" s="10"/>
      <c r="P374" s="10"/>
      <c r="Q374" s="10"/>
      <c r="R374" s="10"/>
      <c r="S374" s="17"/>
      <c r="T374" s="12"/>
      <c r="U374" s="10"/>
      <c r="V374" s="10"/>
      <c r="W374" s="10"/>
      <c r="X374" s="10"/>
      <c r="Y374" s="10"/>
    </row>
    <row r="375" hidden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6"/>
      <c r="O375" s="10"/>
      <c r="P375" s="10"/>
      <c r="Q375" s="10"/>
      <c r="R375" s="10"/>
      <c r="S375" s="17"/>
      <c r="T375" s="12"/>
      <c r="U375" s="10"/>
      <c r="V375" s="10"/>
      <c r="W375" s="10"/>
      <c r="X375" s="10"/>
      <c r="Y375" s="10"/>
    </row>
    <row r="376" hidden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6"/>
      <c r="O376" s="10"/>
      <c r="P376" s="10"/>
      <c r="Q376" s="10"/>
      <c r="R376" s="10"/>
      <c r="S376" s="17"/>
      <c r="T376" s="12"/>
      <c r="U376" s="10"/>
      <c r="V376" s="10"/>
      <c r="W376" s="10"/>
      <c r="X376" s="10"/>
      <c r="Y376" s="10"/>
    </row>
    <row r="377" hidden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6"/>
      <c r="O377" s="10"/>
      <c r="P377" s="10"/>
      <c r="Q377" s="10"/>
      <c r="R377" s="10"/>
      <c r="S377" s="17"/>
      <c r="T377" s="12"/>
      <c r="U377" s="10"/>
      <c r="V377" s="10"/>
      <c r="W377" s="10"/>
      <c r="X377" s="10"/>
      <c r="Y377" s="10"/>
    </row>
    <row r="378" hidden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6"/>
      <c r="O378" s="10"/>
      <c r="P378" s="10"/>
      <c r="Q378" s="10"/>
      <c r="R378" s="10"/>
      <c r="S378" s="17"/>
      <c r="T378" s="12"/>
      <c r="U378" s="10"/>
      <c r="V378" s="10"/>
      <c r="W378" s="10"/>
      <c r="X378" s="10"/>
      <c r="Y378" s="10"/>
    </row>
    <row r="379" hidden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6"/>
      <c r="O379" s="10"/>
      <c r="P379" s="10"/>
      <c r="Q379" s="10"/>
      <c r="R379" s="10"/>
      <c r="S379" s="17"/>
      <c r="T379" s="12"/>
      <c r="U379" s="10"/>
      <c r="V379" s="10"/>
      <c r="W379" s="10"/>
      <c r="X379" s="10"/>
      <c r="Y379" s="10"/>
    </row>
    <row r="380" hidden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6"/>
      <c r="O380" s="10"/>
      <c r="P380" s="10"/>
      <c r="Q380" s="10"/>
      <c r="R380" s="10"/>
      <c r="S380" s="17"/>
      <c r="T380" s="12"/>
      <c r="U380" s="10"/>
      <c r="V380" s="10"/>
      <c r="W380" s="10"/>
      <c r="X380" s="10"/>
      <c r="Y380" s="10"/>
    </row>
    <row r="381" hidden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6"/>
      <c r="O381" s="10"/>
      <c r="P381" s="10"/>
      <c r="Q381" s="10"/>
      <c r="R381" s="10"/>
      <c r="S381" s="17"/>
      <c r="T381" s="12"/>
      <c r="U381" s="10"/>
      <c r="V381" s="10"/>
      <c r="W381" s="10"/>
      <c r="X381" s="10"/>
      <c r="Y381" s="10"/>
    </row>
    <row r="382" hidden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6"/>
      <c r="O382" s="10"/>
      <c r="P382" s="10"/>
      <c r="Q382" s="10"/>
      <c r="R382" s="10"/>
      <c r="S382" s="17"/>
      <c r="T382" s="12"/>
      <c r="U382" s="10"/>
      <c r="V382" s="10"/>
      <c r="W382" s="10"/>
      <c r="X382" s="10"/>
      <c r="Y382" s="10"/>
    </row>
    <row r="383" hidden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6"/>
      <c r="O383" s="10"/>
      <c r="P383" s="10"/>
      <c r="Q383" s="10"/>
      <c r="R383" s="10"/>
      <c r="S383" s="17"/>
      <c r="T383" s="12"/>
      <c r="U383" s="10"/>
      <c r="V383" s="10"/>
      <c r="W383" s="10"/>
      <c r="X383" s="10"/>
      <c r="Y383" s="10"/>
    </row>
    <row r="384" hidden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6"/>
      <c r="O384" s="10"/>
      <c r="P384" s="10"/>
      <c r="Q384" s="10"/>
      <c r="R384" s="10"/>
      <c r="S384" s="17"/>
      <c r="T384" s="12"/>
      <c r="U384" s="10"/>
      <c r="V384" s="10"/>
      <c r="W384" s="10"/>
      <c r="X384" s="10"/>
      <c r="Y384" s="10"/>
    </row>
    <row r="385" hidden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6"/>
      <c r="O385" s="10"/>
      <c r="P385" s="10"/>
      <c r="Q385" s="10"/>
      <c r="R385" s="10"/>
      <c r="S385" s="17"/>
      <c r="T385" s="12"/>
      <c r="U385" s="10"/>
      <c r="V385" s="10"/>
      <c r="W385" s="10"/>
      <c r="X385" s="10"/>
      <c r="Y385" s="10"/>
    </row>
    <row r="386" hidden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6"/>
      <c r="O386" s="10"/>
      <c r="P386" s="10"/>
      <c r="Q386" s="10"/>
      <c r="R386" s="10"/>
      <c r="S386" s="17"/>
      <c r="T386" s="12"/>
      <c r="U386" s="10"/>
      <c r="V386" s="10"/>
      <c r="W386" s="10"/>
      <c r="X386" s="10"/>
      <c r="Y386" s="10"/>
    </row>
    <row r="387" hidden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6"/>
      <c r="O387" s="10"/>
      <c r="P387" s="10"/>
      <c r="Q387" s="10"/>
      <c r="R387" s="10"/>
      <c r="S387" s="17"/>
      <c r="T387" s="12"/>
      <c r="U387" s="10"/>
      <c r="V387" s="10"/>
      <c r="W387" s="10"/>
      <c r="X387" s="10"/>
      <c r="Y387" s="10"/>
    </row>
    <row r="388" hidden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6"/>
      <c r="O388" s="10"/>
      <c r="P388" s="10"/>
      <c r="Q388" s="10"/>
      <c r="R388" s="10"/>
      <c r="S388" s="17"/>
      <c r="T388" s="12"/>
      <c r="U388" s="10"/>
      <c r="V388" s="10"/>
      <c r="W388" s="10"/>
      <c r="X388" s="10"/>
      <c r="Y388" s="10"/>
    </row>
    <row r="389" hidden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6"/>
      <c r="O389" s="10"/>
      <c r="P389" s="10"/>
      <c r="Q389" s="10"/>
      <c r="R389" s="10"/>
      <c r="S389" s="17"/>
      <c r="T389" s="12"/>
      <c r="U389" s="10"/>
      <c r="V389" s="10"/>
      <c r="W389" s="10"/>
      <c r="X389" s="10"/>
      <c r="Y389" s="10"/>
    </row>
    <row r="390" hidden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6"/>
      <c r="O390" s="10"/>
      <c r="P390" s="10"/>
      <c r="Q390" s="10"/>
      <c r="R390" s="10"/>
      <c r="S390" s="17"/>
      <c r="T390" s="12"/>
      <c r="U390" s="10"/>
      <c r="V390" s="10"/>
      <c r="W390" s="10"/>
      <c r="X390" s="10"/>
      <c r="Y390" s="10"/>
    </row>
    <row r="391" hidden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6"/>
      <c r="O391" s="10"/>
      <c r="P391" s="10"/>
      <c r="Q391" s="10"/>
      <c r="R391" s="10"/>
      <c r="S391" s="17"/>
      <c r="T391" s="12"/>
      <c r="U391" s="10"/>
      <c r="V391" s="10"/>
      <c r="W391" s="10"/>
      <c r="X391" s="10"/>
      <c r="Y391" s="10"/>
    </row>
    <row r="392" hidden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6"/>
      <c r="O392" s="10"/>
      <c r="P392" s="10"/>
      <c r="Q392" s="10"/>
      <c r="R392" s="10"/>
      <c r="S392" s="17"/>
      <c r="T392" s="12"/>
      <c r="U392" s="10"/>
      <c r="V392" s="10"/>
      <c r="W392" s="10"/>
      <c r="X392" s="10"/>
      <c r="Y392" s="10"/>
    </row>
    <row r="393" hidden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6"/>
      <c r="O393" s="10"/>
      <c r="P393" s="10"/>
      <c r="Q393" s="10"/>
      <c r="R393" s="10"/>
      <c r="S393" s="17"/>
      <c r="T393" s="12"/>
      <c r="U393" s="10"/>
      <c r="V393" s="10"/>
      <c r="W393" s="10"/>
      <c r="X393" s="10"/>
      <c r="Y393" s="10"/>
    </row>
    <row r="394" hidden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6"/>
      <c r="O394" s="10"/>
      <c r="P394" s="10"/>
      <c r="Q394" s="10"/>
      <c r="R394" s="10"/>
      <c r="S394" s="17"/>
      <c r="T394" s="12"/>
      <c r="U394" s="10"/>
      <c r="V394" s="10"/>
      <c r="W394" s="10"/>
      <c r="X394" s="10"/>
      <c r="Y394" s="10"/>
    </row>
    <row r="395" hidden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6"/>
      <c r="O395" s="10"/>
      <c r="P395" s="10"/>
      <c r="Q395" s="10"/>
      <c r="R395" s="10"/>
      <c r="S395" s="17"/>
      <c r="T395" s="12"/>
      <c r="U395" s="10"/>
      <c r="V395" s="10"/>
      <c r="W395" s="10"/>
      <c r="X395" s="10"/>
      <c r="Y395" s="10"/>
    </row>
    <row r="396" hidden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6"/>
      <c r="O396" s="10"/>
      <c r="P396" s="10"/>
      <c r="Q396" s="10"/>
      <c r="R396" s="10"/>
      <c r="S396" s="17"/>
      <c r="T396" s="12"/>
      <c r="U396" s="10"/>
      <c r="V396" s="10"/>
      <c r="W396" s="10"/>
      <c r="X396" s="10"/>
      <c r="Y396" s="10"/>
    </row>
    <row r="397" hidden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6"/>
      <c r="O397" s="10"/>
      <c r="P397" s="10"/>
      <c r="Q397" s="10"/>
      <c r="R397" s="10"/>
      <c r="S397" s="17"/>
      <c r="T397" s="12"/>
      <c r="U397" s="10"/>
      <c r="V397" s="10"/>
      <c r="W397" s="10"/>
      <c r="X397" s="10"/>
      <c r="Y397" s="10"/>
    </row>
    <row r="398" hidden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6"/>
      <c r="O398" s="10"/>
      <c r="P398" s="10"/>
      <c r="Q398" s="10"/>
      <c r="R398" s="10"/>
      <c r="S398" s="17"/>
      <c r="T398" s="12"/>
      <c r="U398" s="10"/>
      <c r="V398" s="10"/>
      <c r="W398" s="10"/>
      <c r="X398" s="10"/>
      <c r="Y398" s="10"/>
    </row>
    <row r="399" hidden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6"/>
      <c r="O399" s="10"/>
      <c r="P399" s="10"/>
      <c r="Q399" s="10"/>
      <c r="R399" s="10"/>
      <c r="S399" s="17"/>
      <c r="T399" s="12"/>
      <c r="U399" s="10"/>
      <c r="V399" s="10"/>
      <c r="W399" s="10"/>
      <c r="X399" s="10"/>
      <c r="Y399" s="10"/>
    </row>
    <row r="400" hidden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6"/>
      <c r="O400" s="10"/>
      <c r="P400" s="10"/>
      <c r="Q400" s="10"/>
      <c r="R400" s="10"/>
      <c r="S400" s="17"/>
      <c r="T400" s="12"/>
      <c r="U400" s="10"/>
      <c r="V400" s="10"/>
      <c r="W400" s="10"/>
      <c r="X400" s="10"/>
      <c r="Y400" s="10"/>
    </row>
    <row r="401" hidden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6"/>
      <c r="O401" s="10"/>
      <c r="P401" s="10"/>
      <c r="Q401" s="10"/>
      <c r="R401" s="10"/>
      <c r="S401" s="17"/>
      <c r="T401" s="12"/>
      <c r="U401" s="10"/>
      <c r="V401" s="10"/>
      <c r="W401" s="10"/>
      <c r="X401" s="10"/>
      <c r="Y401" s="10"/>
    </row>
    <row r="402" hidden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6"/>
      <c r="O402" s="10"/>
      <c r="P402" s="10"/>
      <c r="Q402" s="10"/>
      <c r="R402" s="10"/>
      <c r="S402" s="17"/>
      <c r="T402" s="12"/>
      <c r="U402" s="10"/>
      <c r="V402" s="10"/>
      <c r="W402" s="10"/>
      <c r="X402" s="10"/>
      <c r="Y402" s="10"/>
    </row>
    <row r="403" hidden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6"/>
      <c r="O403" s="10"/>
      <c r="P403" s="10"/>
      <c r="Q403" s="10"/>
      <c r="R403" s="10"/>
      <c r="S403" s="17"/>
      <c r="T403" s="12"/>
      <c r="U403" s="10"/>
      <c r="V403" s="10"/>
      <c r="W403" s="10"/>
      <c r="X403" s="10"/>
      <c r="Y403" s="10"/>
    </row>
    <row r="404" hidden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6"/>
      <c r="O404" s="10"/>
      <c r="P404" s="10"/>
      <c r="Q404" s="10"/>
      <c r="R404" s="10"/>
      <c r="S404" s="17"/>
      <c r="T404" s="12"/>
      <c r="U404" s="10"/>
      <c r="V404" s="10"/>
      <c r="W404" s="10"/>
      <c r="X404" s="10"/>
      <c r="Y404" s="10"/>
    </row>
    <row r="405" hidden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6"/>
      <c r="O405" s="10"/>
      <c r="P405" s="10"/>
      <c r="Q405" s="10"/>
      <c r="R405" s="10"/>
      <c r="S405" s="17"/>
      <c r="T405" s="12"/>
      <c r="U405" s="10"/>
      <c r="V405" s="10"/>
      <c r="W405" s="10"/>
      <c r="X405" s="10"/>
      <c r="Y405" s="10"/>
    </row>
    <row r="406" hidden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6"/>
      <c r="O406" s="10"/>
      <c r="P406" s="10"/>
      <c r="Q406" s="10"/>
      <c r="R406" s="10"/>
      <c r="S406" s="17"/>
      <c r="T406" s="12"/>
      <c r="U406" s="10"/>
      <c r="V406" s="10"/>
      <c r="W406" s="10"/>
      <c r="X406" s="10"/>
      <c r="Y406" s="10"/>
    </row>
    <row r="407" hidden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6"/>
      <c r="O407" s="10"/>
      <c r="P407" s="10"/>
      <c r="Q407" s="10"/>
      <c r="R407" s="10"/>
      <c r="S407" s="17"/>
      <c r="T407" s="12"/>
      <c r="U407" s="10"/>
      <c r="V407" s="10"/>
      <c r="W407" s="10"/>
      <c r="X407" s="10"/>
      <c r="Y407" s="10"/>
    </row>
    <row r="408" hidden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6"/>
      <c r="O408" s="10"/>
      <c r="P408" s="10"/>
      <c r="Q408" s="10"/>
      <c r="R408" s="10"/>
      <c r="S408" s="17"/>
      <c r="T408" s="12"/>
      <c r="U408" s="10"/>
      <c r="V408" s="10"/>
      <c r="W408" s="10"/>
      <c r="X408" s="10"/>
      <c r="Y408" s="10"/>
    </row>
    <row r="409" hidden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6"/>
      <c r="O409" s="10"/>
      <c r="P409" s="10"/>
      <c r="Q409" s="10"/>
      <c r="R409" s="10"/>
      <c r="S409" s="17"/>
      <c r="T409" s="12"/>
      <c r="U409" s="10"/>
      <c r="V409" s="10"/>
      <c r="W409" s="10"/>
      <c r="X409" s="10"/>
      <c r="Y409" s="10"/>
    </row>
    <row r="410" hidden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6"/>
      <c r="O410" s="10"/>
      <c r="P410" s="10"/>
      <c r="Q410" s="10"/>
      <c r="R410" s="10"/>
      <c r="S410" s="17"/>
      <c r="T410" s="12"/>
      <c r="U410" s="10"/>
      <c r="V410" s="10"/>
      <c r="W410" s="10"/>
      <c r="X410" s="10"/>
      <c r="Y410" s="10"/>
    </row>
    <row r="411" hidden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6"/>
      <c r="O411" s="10"/>
      <c r="P411" s="10"/>
      <c r="Q411" s="10"/>
      <c r="R411" s="10"/>
      <c r="S411" s="17"/>
      <c r="T411" s="12"/>
      <c r="U411" s="10"/>
      <c r="V411" s="10"/>
      <c r="W411" s="10"/>
      <c r="X411" s="10"/>
      <c r="Y411" s="10"/>
    </row>
    <row r="412" hidden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6"/>
      <c r="O412" s="10"/>
      <c r="P412" s="10"/>
      <c r="Q412" s="10"/>
      <c r="R412" s="10"/>
      <c r="S412" s="17"/>
      <c r="T412" s="12"/>
      <c r="U412" s="10"/>
      <c r="V412" s="10"/>
      <c r="W412" s="10"/>
      <c r="X412" s="10"/>
      <c r="Y412" s="10"/>
    </row>
    <row r="413" hidden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6"/>
      <c r="O413" s="10"/>
      <c r="P413" s="10"/>
      <c r="Q413" s="10"/>
      <c r="R413" s="10"/>
      <c r="S413" s="17"/>
      <c r="T413" s="12"/>
      <c r="U413" s="10"/>
      <c r="V413" s="10"/>
      <c r="W413" s="10"/>
      <c r="X413" s="10"/>
      <c r="Y413" s="10"/>
    </row>
    <row r="414" hidden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6"/>
      <c r="O414" s="10"/>
      <c r="P414" s="10"/>
      <c r="Q414" s="10"/>
      <c r="R414" s="10"/>
      <c r="S414" s="17"/>
      <c r="T414" s="12"/>
      <c r="U414" s="10"/>
      <c r="V414" s="10"/>
      <c r="W414" s="10"/>
      <c r="X414" s="10"/>
      <c r="Y414" s="10"/>
    </row>
    <row r="415" hidden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6"/>
      <c r="O415" s="10"/>
      <c r="P415" s="10"/>
      <c r="Q415" s="10"/>
      <c r="R415" s="10"/>
      <c r="S415" s="17"/>
      <c r="T415" s="12"/>
      <c r="U415" s="10"/>
      <c r="V415" s="10"/>
      <c r="W415" s="10"/>
      <c r="X415" s="10"/>
      <c r="Y415" s="10"/>
    </row>
    <row r="416" hidden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6"/>
      <c r="O416" s="10"/>
      <c r="P416" s="10"/>
      <c r="Q416" s="10"/>
      <c r="R416" s="10"/>
      <c r="S416" s="17"/>
      <c r="T416" s="12"/>
      <c r="U416" s="10"/>
      <c r="V416" s="10"/>
      <c r="W416" s="10"/>
      <c r="X416" s="10"/>
      <c r="Y416" s="10"/>
    </row>
    <row r="417" hidden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6"/>
      <c r="O417" s="10"/>
      <c r="P417" s="10"/>
      <c r="Q417" s="10"/>
      <c r="R417" s="10"/>
      <c r="S417" s="17"/>
      <c r="T417" s="12"/>
      <c r="U417" s="10"/>
      <c r="V417" s="10"/>
      <c r="W417" s="10"/>
      <c r="X417" s="10"/>
      <c r="Y417" s="10"/>
    </row>
    <row r="418" hidden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6"/>
      <c r="O418" s="10"/>
      <c r="P418" s="10"/>
      <c r="Q418" s="10"/>
      <c r="R418" s="10"/>
      <c r="S418" s="17"/>
      <c r="T418" s="12"/>
      <c r="U418" s="10"/>
      <c r="V418" s="10"/>
      <c r="W418" s="10"/>
      <c r="X418" s="10"/>
      <c r="Y418" s="10"/>
    </row>
    <row r="419" hidden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6"/>
      <c r="O419" s="10"/>
      <c r="P419" s="10"/>
      <c r="Q419" s="10"/>
      <c r="R419" s="10"/>
      <c r="S419" s="17"/>
      <c r="T419" s="12"/>
      <c r="U419" s="10"/>
      <c r="V419" s="10"/>
      <c r="W419" s="10"/>
      <c r="X419" s="10"/>
      <c r="Y419" s="10"/>
    </row>
    <row r="420" hidden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6"/>
      <c r="O420" s="10"/>
      <c r="P420" s="10"/>
      <c r="Q420" s="10"/>
      <c r="R420" s="10"/>
      <c r="S420" s="17"/>
      <c r="T420" s="12"/>
      <c r="U420" s="10"/>
      <c r="V420" s="10"/>
      <c r="W420" s="10"/>
      <c r="X420" s="10"/>
      <c r="Y420" s="10"/>
    </row>
    <row r="421" hidden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6"/>
      <c r="O421" s="10"/>
      <c r="P421" s="10"/>
      <c r="Q421" s="10"/>
      <c r="R421" s="10"/>
      <c r="S421" s="17"/>
      <c r="T421" s="12"/>
      <c r="U421" s="10"/>
      <c r="V421" s="10"/>
      <c r="W421" s="10"/>
      <c r="X421" s="10"/>
      <c r="Y421" s="10"/>
    </row>
    <row r="422" hidden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6"/>
      <c r="O422" s="10"/>
      <c r="P422" s="10"/>
      <c r="Q422" s="10"/>
      <c r="R422" s="10"/>
      <c r="S422" s="17"/>
      <c r="T422" s="12"/>
      <c r="U422" s="10"/>
      <c r="V422" s="10"/>
      <c r="W422" s="10"/>
      <c r="X422" s="10"/>
      <c r="Y422" s="10"/>
    </row>
    <row r="423" hidden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6"/>
      <c r="O423" s="10"/>
      <c r="P423" s="10"/>
      <c r="Q423" s="10"/>
      <c r="R423" s="10"/>
      <c r="S423" s="17"/>
      <c r="T423" s="12"/>
      <c r="U423" s="10"/>
      <c r="V423" s="10"/>
      <c r="W423" s="10"/>
      <c r="X423" s="10"/>
      <c r="Y423" s="10"/>
    </row>
    <row r="424" hidden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6"/>
      <c r="O424" s="10"/>
      <c r="P424" s="10"/>
      <c r="Q424" s="10"/>
      <c r="R424" s="10"/>
      <c r="S424" s="17"/>
      <c r="T424" s="12"/>
      <c r="U424" s="10"/>
      <c r="V424" s="10"/>
      <c r="W424" s="10"/>
      <c r="X424" s="10"/>
      <c r="Y424" s="10"/>
    </row>
    <row r="425" hidden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6"/>
      <c r="O425" s="10"/>
      <c r="P425" s="10"/>
      <c r="Q425" s="10"/>
      <c r="R425" s="10"/>
      <c r="S425" s="17"/>
      <c r="T425" s="12"/>
      <c r="U425" s="10"/>
      <c r="V425" s="10"/>
      <c r="W425" s="10"/>
      <c r="X425" s="10"/>
      <c r="Y425" s="10"/>
    </row>
    <row r="426" hidden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6"/>
      <c r="O426" s="10"/>
      <c r="P426" s="10"/>
      <c r="Q426" s="10"/>
      <c r="R426" s="10"/>
      <c r="S426" s="17"/>
      <c r="T426" s="12"/>
      <c r="U426" s="10"/>
      <c r="V426" s="10"/>
      <c r="W426" s="10"/>
      <c r="X426" s="10"/>
      <c r="Y426" s="10"/>
    </row>
    <row r="427" hidden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6"/>
      <c r="O427" s="10"/>
      <c r="P427" s="10"/>
      <c r="Q427" s="10"/>
      <c r="R427" s="10"/>
      <c r="S427" s="17"/>
      <c r="T427" s="12"/>
      <c r="U427" s="10"/>
      <c r="V427" s="10"/>
      <c r="W427" s="10"/>
      <c r="X427" s="10"/>
      <c r="Y427" s="10"/>
    </row>
    <row r="428" hidden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6"/>
      <c r="O428" s="10"/>
      <c r="P428" s="10"/>
      <c r="Q428" s="10"/>
      <c r="R428" s="10"/>
      <c r="S428" s="17"/>
      <c r="T428" s="12"/>
      <c r="U428" s="10"/>
      <c r="V428" s="10"/>
      <c r="W428" s="10"/>
      <c r="X428" s="10"/>
      <c r="Y428" s="10"/>
    </row>
    <row r="429" hidden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6"/>
      <c r="O429" s="10"/>
      <c r="P429" s="10"/>
      <c r="Q429" s="10"/>
      <c r="R429" s="10"/>
      <c r="S429" s="17"/>
      <c r="T429" s="12"/>
      <c r="U429" s="10"/>
      <c r="V429" s="10"/>
      <c r="W429" s="10"/>
      <c r="X429" s="10"/>
      <c r="Y429" s="10"/>
    </row>
    <row r="430" hidden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6"/>
      <c r="O430" s="10"/>
      <c r="P430" s="10"/>
      <c r="Q430" s="10"/>
      <c r="R430" s="10"/>
      <c r="S430" s="17"/>
      <c r="T430" s="12"/>
      <c r="U430" s="10"/>
      <c r="V430" s="10"/>
      <c r="W430" s="10"/>
      <c r="X430" s="10"/>
      <c r="Y430" s="10"/>
    </row>
    <row r="431" hidden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6"/>
      <c r="O431" s="10"/>
      <c r="P431" s="10"/>
      <c r="Q431" s="10"/>
      <c r="R431" s="10"/>
      <c r="S431" s="17"/>
      <c r="T431" s="12"/>
      <c r="U431" s="10"/>
      <c r="V431" s="10"/>
      <c r="W431" s="10"/>
      <c r="X431" s="10"/>
      <c r="Y431" s="10"/>
    </row>
    <row r="432" hidden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6"/>
      <c r="O432" s="10"/>
      <c r="P432" s="10"/>
      <c r="Q432" s="10"/>
      <c r="R432" s="10"/>
      <c r="S432" s="17"/>
      <c r="T432" s="12"/>
      <c r="U432" s="10"/>
      <c r="V432" s="10"/>
      <c r="W432" s="10"/>
      <c r="X432" s="10"/>
      <c r="Y432" s="10"/>
    </row>
    <row r="433" hidden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6"/>
      <c r="O433" s="10"/>
      <c r="P433" s="10"/>
      <c r="Q433" s="10"/>
      <c r="R433" s="10"/>
      <c r="S433" s="17"/>
      <c r="T433" s="12"/>
      <c r="U433" s="10"/>
      <c r="V433" s="10"/>
      <c r="W433" s="10"/>
      <c r="X433" s="10"/>
      <c r="Y433" s="10"/>
    </row>
    <row r="434" hidden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6"/>
      <c r="O434" s="10"/>
      <c r="P434" s="10"/>
      <c r="Q434" s="10"/>
      <c r="R434" s="10"/>
      <c r="S434" s="17"/>
      <c r="T434" s="12"/>
      <c r="U434" s="10"/>
      <c r="V434" s="10"/>
      <c r="W434" s="10"/>
      <c r="X434" s="10"/>
      <c r="Y434" s="10"/>
    </row>
    <row r="435" hidden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6"/>
      <c r="O435" s="10"/>
      <c r="P435" s="10"/>
      <c r="Q435" s="10"/>
      <c r="R435" s="10"/>
      <c r="S435" s="17"/>
      <c r="T435" s="12"/>
      <c r="U435" s="10"/>
      <c r="V435" s="10"/>
      <c r="W435" s="10"/>
      <c r="X435" s="10"/>
      <c r="Y435" s="10"/>
    </row>
    <row r="436" hidden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6"/>
      <c r="O436" s="10"/>
      <c r="P436" s="10"/>
      <c r="Q436" s="10"/>
      <c r="R436" s="10"/>
      <c r="S436" s="17"/>
      <c r="T436" s="12"/>
      <c r="U436" s="10"/>
      <c r="V436" s="10"/>
      <c r="W436" s="10"/>
      <c r="X436" s="10"/>
      <c r="Y436" s="10"/>
    </row>
    <row r="437" hidden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6"/>
      <c r="O437" s="10"/>
      <c r="P437" s="10"/>
      <c r="Q437" s="10"/>
      <c r="R437" s="10"/>
      <c r="S437" s="17"/>
      <c r="T437" s="12"/>
      <c r="U437" s="10"/>
      <c r="V437" s="10"/>
      <c r="W437" s="10"/>
      <c r="X437" s="10"/>
      <c r="Y437" s="10"/>
    </row>
    <row r="438" hidden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6"/>
      <c r="O438" s="10"/>
      <c r="P438" s="10"/>
      <c r="Q438" s="10"/>
      <c r="R438" s="10"/>
      <c r="S438" s="17"/>
      <c r="T438" s="12"/>
      <c r="U438" s="10"/>
      <c r="V438" s="10"/>
      <c r="W438" s="10"/>
      <c r="X438" s="10"/>
      <c r="Y438" s="10"/>
    </row>
    <row r="439" hidden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6"/>
      <c r="O439" s="10"/>
      <c r="P439" s="10"/>
      <c r="Q439" s="10"/>
      <c r="R439" s="10"/>
      <c r="S439" s="17"/>
      <c r="T439" s="12"/>
      <c r="U439" s="10"/>
      <c r="V439" s="10"/>
      <c r="W439" s="10"/>
      <c r="X439" s="10"/>
      <c r="Y439" s="10"/>
    </row>
    <row r="440" hidden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6"/>
      <c r="O440" s="10"/>
      <c r="P440" s="10"/>
      <c r="Q440" s="10"/>
      <c r="R440" s="10"/>
      <c r="S440" s="17"/>
      <c r="T440" s="12"/>
      <c r="U440" s="10"/>
      <c r="V440" s="10"/>
      <c r="W440" s="10"/>
      <c r="X440" s="10"/>
      <c r="Y440" s="10"/>
    </row>
    <row r="441" hidden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6"/>
      <c r="O441" s="10"/>
      <c r="P441" s="10"/>
      <c r="Q441" s="10"/>
      <c r="R441" s="10"/>
      <c r="S441" s="17"/>
      <c r="T441" s="12"/>
      <c r="U441" s="10"/>
      <c r="V441" s="10"/>
      <c r="W441" s="10"/>
      <c r="X441" s="10"/>
      <c r="Y441" s="10"/>
    </row>
    <row r="442" hidden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6"/>
      <c r="O442" s="10"/>
      <c r="P442" s="10"/>
      <c r="Q442" s="10"/>
      <c r="R442" s="10"/>
      <c r="S442" s="17"/>
      <c r="T442" s="12"/>
      <c r="U442" s="10"/>
      <c r="V442" s="10"/>
      <c r="W442" s="10"/>
      <c r="X442" s="10"/>
      <c r="Y442" s="10"/>
    </row>
    <row r="443" hidden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6"/>
      <c r="O443" s="10"/>
      <c r="P443" s="10"/>
      <c r="Q443" s="10"/>
      <c r="R443" s="10"/>
      <c r="S443" s="17"/>
      <c r="T443" s="12"/>
      <c r="U443" s="10"/>
      <c r="V443" s="10"/>
      <c r="W443" s="10"/>
      <c r="X443" s="10"/>
      <c r="Y443" s="10"/>
    </row>
    <row r="444" hidden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6"/>
      <c r="O444" s="10"/>
      <c r="P444" s="10"/>
      <c r="Q444" s="10"/>
      <c r="R444" s="10"/>
      <c r="S444" s="17"/>
      <c r="T444" s="12"/>
      <c r="U444" s="10"/>
      <c r="V444" s="10"/>
      <c r="W444" s="10"/>
      <c r="X444" s="10"/>
      <c r="Y444" s="10"/>
    </row>
    <row r="445" hidden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6"/>
      <c r="O445" s="10"/>
      <c r="P445" s="10"/>
      <c r="Q445" s="10"/>
      <c r="R445" s="10"/>
      <c r="S445" s="17"/>
      <c r="T445" s="12"/>
      <c r="U445" s="10"/>
      <c r="V445" s="10"/>
      <c r="W445" s="10"/>
      <c r="X445" s="10"/>
      <c r="Y445" s="10"/>
    </row>
    <row r="446" hidden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6"/>
      <c r="O446" s="10"/>
      <c r="P446" s="10"/>
      <c r="Q446" s="10"/>
      <c r="R446" s="10"/>
      <c r="S446" s="17"/>
      <c r="T446" s="12"/>
      <c r="U446" s="10"/>
      <c r="V446" s="10"/>
      <c r="W446" s="10"/>
      <c r="X446" s="10"/>
      <c r="Y446" s="10"/>
    </row>
    <row r="447" hidden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6"/>
      <c r="O447" s="10"/>
      <c r="P447" s="10"/>
      <c r="Q447" s="10"/>
      <c r="R447" s="10"/>
      <c r="S447" s="17"/>
      <c r="T447" s="12"/>
      <c r="U447" s="10"/>
      <c r="V447" s="10"/>
      <c r="W447" s="10"/>
      <c r="X447" s="10"/>
      <c r="Y447" s="10"/>
    </row>
    <row r="448" hidden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6"/>
      <c r="O448" s="10"/>
      <c r="P448" s="10"/>
      <c r="Q448" s="10"/>
      <c r="R448" s="10"/>
      <c r="S448" s="17"/>
      <c r="T448" s="12"/>
      <c r="U448" s="10"/>
      <c r="V448" s="10"/>
      <c r="W448" s="10"/>
      <c r="X448" s="10"/>
      <c r="Y448" s="10"/>
    </row>
    <row r="449" hidden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6"/>
      <c r="O449" s="10"/>
      <c r="P449" s="10"/>
      <c r="Q449" s="10"/>
      <c r="R449" s="10"/>
      <c r="S449" s="17"/>
      <c r="T449" s="12"/>
      <c r="U449" s="10"/>
      <c r="V449" s="10"/>
      <c r="W449" s="10"/>
      <c r="X449" s="10"/>
      <c r="Y449" s="10"/>
    </row>
    <row r="450" hidden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6"/>
      <c r="O450" s="10"/>
      <c r="P450" s="10"/>
      <c r="Q450" s="10"/>
      <c r="R450" s="10"/>
      <c r="S450" s="17"/>
      <c r="T450" s="12"/>
      <c r="U450" s="10"/>
      <c r="V450" s="10"/>
      <c r="W450" s="10"/>
      <c r="X450" s="10"/>
      <c r="Y450" s="10"/>
    </row>
    <row r="451" hidden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6"/>
      <c r="O451" s="10"/>
      <c r="P451" s="10"/>
      <c r="Q451" s="10"/>
      <c r="R451" s="10"/>
      <c r="S451" s="17"/>
      <c r="T451" s="12"/>
      <c r="U451" s="10"/>
      <c r="V451" s="10"/>
      <c r="W451" s="10"/>
      <c r="X451" s="10"/>
      <c r="Y451" s="10"/>
    </row>
    <row r="452" hidden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6"/>
      <c r="O452" s="10"/>
      <c r="P452" s="10"/>
      <c r="Q452" s="10"/>
      <c r="R452" s="10"/>
      <c r="S452" s="17"/>
      <c r="T452" s="12"/>
      <c r="U452" s="10"/>
      <c r="V452" s="10"/>
      <c r="W452" s="10"/>
      <c r="X452" s="10"/>
      <c r="Y452" s="10"/>
    </row>
    <row r="453" hidden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6"/>
      <c r="O453" s="10"/>
      <c r="P453" s="10"/>
      <c r="Q453" s="10"/>
      <c r="R453" s="10"/>
      <c r="S453" s="17"/>
      <c r="T453" s="12"/>
      <c r="U453" s="10"/>
      <c r="V453" s="10"/>
      <c r="W453" s="10"/>
      <c r="X453" s="10"/>
      <c r="Y453" s="10"/>
    </row>
    <row r="454" hidden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6"/>
      <c r="O454" s="10"/>
      <c r="P454" s="10"/>
      <c r="Q454" s="10"/>
      <c r="R454" s="10"/>
      <c r="S454" s="17"/>
      <c r="T454" s="12"/>
      <c r="U454" s="10"/>
      <c r="V454" s="10"/>
      <c r="W454" s="10"/>
      <c r="X454" s="10"/>
      <c r="Y454" s="10"/>
    </row>
    <row r="455" hidden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6"/>
      <c r="O455" s="10"/>
      <c r="P455" s="10"/>
      <c r="Q455" s="10"/>
      <c r="R455" s="10"/>
      <c r="S455" s="17"/>
      <c r="T455" s="12"/>
      <c r="U455" s="10"/>
      <c r="V455" s="10"/>
      <c r="W455" s="10"/>
      <c r="X455" s="10"/>
      <c r="Y455" s="10"/>
    </row>
    <row r="456" hidden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6"/>
      <c r="O456" s="10"/>
      <c r="P456" s="10"/>
      <c r="Q456" s="10"/>
      <c r="R456" s="10"/>
      <c r="S456" s="17"/>
      <c r="T456" s="12"/>
      <c r="U456" s="10"/>
      <c r="V456" s="10"/>
      <c r="W456" s="10"/>
      <c r="X456" s="10"/>
      <c r="Y456" s="10"/>
    </row>
    <row r="457" hidden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6"/>
      <c r="O457" s="10"/>
      <c r="P457" s="10"/>
      <c r="Q457" s="10"/>
      <c r="R457" s="10"/>
      <c r="S457" s="17"/>
      <c r="T457" s="12"/>
      <c r="U457" s="10"/>
      <c r="V457" s="10"/>
      <c r="W457" s="10"/>
      <c r="X457" s="10"/>
      <c r="Y457" s="10"/>
    </row>
    <row r="458" hidden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6"/>
      <c r="O458" s="10"/>
      <c r="P458" s="10"/>
      <c r="Q458" s="10"/>
      <c r="R458" s="10"/>
      <c r="S458" s="17"/>
      <c r="T458" s="12"/>
      <c r="U458" s="10"/>
      <c r="V458" s="10"/>
      <c r="W458" s="10"/>
      <c r="X458" s="10"/>
      <c r="Y458" s="10"/>
    </row>
    <row r="459" hidden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6"/>
      <c r="O459" s="10"/>
      <c r="P459" s="10"/>
      <c r="Q459" s="10"/>
      <c r="R459" s="10"/>
      <c r="S459" s="17"/>
      <c r="T459" s="12"/>
      <c r="U459" s="10"/>
      <c r="V459" s="10"/>
      <c r="W459" s="10"/>
      <c r="X459" s="10"/>
      <c r="Y459" s="10"/>
    </row>
    <row r="460" hidden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6"/>
      <c r="O460" s="10"/>
      <c r="P460" s="10"/>
      <c r="Q460" s="10"/>
      <c r="R460" s="10"/>
      <c r="S460" s="17"/>
      <c r="T460" s="12"/>
      <c r="U460" s="10"/>
      <c r="V460" s="10"/>
      <c r="W460" s="10"/>
      <c r="X460" s="10"/>
      <c r="Y460" s="10"/>
    </row>
    <row r="461" hidden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6"/>
      <c r="O461" s="10"/>
      <c r="P461" s="10"/>
      <c r="Q461" s="10"/>
      <c r="R461" s="10"/>
      <c r="S461" s="17"/>
      <c r="T461" s="12"/>
      <c r="U461" s="10"/>
      <c r="V461" s="10"/>
      <c r="W461" s="10"/>
      <c r="X461" s="10"/>
      <c r="Y461" s="10"/>
    </row>
    <row r="462" hidden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6"/>
      <c r="O462" s="10"/>
      <c r="P462" s="10"/>
      <c r="Q462" s="10"/>
      <c r="R462" s="10"/>
      <c r="S462" s="17"/>
      <c r="T462" s="12"/>
      <c r="U462" s="10"/>
      <c r="V462" s="10"/>
      <c r="W462" s="10"/>
      <c r="X462" s="10"/>
      <c r="Y462" s="10"/>
    </row>
    <row r="463" hidden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6"/>
      <c r="O463" s="10"/>
      <c r="P463" s="10"/>
      <c r="Q463" s="10"/>
      <c r="R463" s="10"/>
      <c r="S463" s="17"/>
      <c r="T463" s="12"/>
      <c r="U463" s="10"/>
      <c r="V463" s="10"/>
      <c r="W463" s="10"/>
      <c r="X463" s="10"/>
      <c r="Y463" s="10"/>
    </row>
    <row r="464" hidden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6"/>
      <c r="O464" s="10"/>
      <c r="P464" s="10"/>
      <c r="Q464" s="10"/>
      <c r="R464" s="10"/>
      <c r="S464" s="17"/>
      <c r="T464" s="12"/>
      <c r="U464" s="10"/>
      <c r="V464" s="10"/>
      <c r="W464" s="10"/>
      <c r="X464" s="10"/>
      <c r="Y464" s="10"/>
    </row>
    <row r="465" hidden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6"/>
      <c r="O465" s="10"/>
      <c r="P465" s="10"/>
      <c r="Q465" s="10"/>
      <c r="R465" s="10"/>
      <c r="S465" s="17"/>
      <c r="T465" s="12"/>
      <c r="U465" s="10"/>
      <c r="V465" s="10"/>
      <c r="W465" s="10"/>
      <c r="X465" s="10"/>
      <c r="Y465" s="10"/>
    </row>
    <row r="466" hidden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6"/>
      <c r="O466" s="10"/>
      <c r="P466" s="10"/>
      <c r="Q466" s="10"/>
      <c r="R466" s="10"/>
      <c r="S466" s="17"/>
      <c r="T466" s="12"/>
      <c r="U466" s="10"/>
      <c r="V466" s="10"/>
      <c r="W466" s="10"/>
      <c r="X466" s="10"/>
      <c r="Y466" s="10"/>
    </row>
    <row r="467" hidden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6"/>
      <c r="O467" s="10"/>
      <c r="P467" s="10"/>
      <c r="Q467" s="10"/>
      <c r="R467" s="10"/>
      <c r="S467" s="17"/>
      <c r="T467" s="12"/>
      <c r="U467" s="10"/>
      <c r="V467" s="10"/>
      <c r="W467" s="10"/>
      <c r="X467" s="10"/>
      <c r="Y467" s="10"/>
    </row>
    <row r="468" hidden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6"/>
      <c r="O468" s="10"/>
      <c r="P468" s="10"/>
      <c r="Q468" s="10"/>
      <c r="R468" s="10"/>
      <c r="S468" s="17"/>
      <c r="T468" s="12"/>
      <c r="U468" s="10"/>
      <c r="V468" s="10"/>
      <c r="W468" s="10"/>
      <c r="X468" s="10"/>
      <c r="Y468" s="10"/>
    </row>
    <row r="469" hidden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6"/>
      <c r="O469" s="10"/>
      <c r="P469" s="10"/>
      <c r="Q469" s="10"/>
      <c r="R469" s="10"/>
      <c r="S469" s="17"/>
      <c r="T469" s="12"/>
      <c r="U469" s="10"/>
      <c r="V469" s="10"/>
      <c r="W469" s="10"/>
      <c r="X469" s="10"/>
      <c r="Y469" s="10"/>
    </row>
    <row r="470" hidden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6"/>
      <c r="O470" s="10"/>
      <c r="P470" s="10"/>
      <c r="Q470" s="10"/>
      <c r="R470" s="10"/>
      <c r="S470" s="17"/>
      <c r="T470" s="12"/>
      <c r="U470" s="10"/>
      <c r="V470" s="10"/>
      <c r="W470" s="10"/>
      <c r="X470" s="10"/>
      <c r="Y470" s="10"/>
    </row>
    <row r="471" hidden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6"/>
      <c r="O471" s="10"/>
      <c r="P471" s="10"/>
      <c r="Q471" s="10"/>
      <c r="R471" s="10"/>
      <c r="S471" s="17"/>
      <c r="T471" s="12"/>
      <c r="U471" s="10"/>
      <c r="V471" s="10"/>
      <c r="W471" s="10"/>
      <c r="X471" s="10"/>
      <c r="Y471" s="10"/>
    </row>
    <row r="472" hidden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6"/>
      <c r="O472" s="10"/>
      <c r="P472" s="10"/>
      <c r="Q472" s="10"/>
      <c r="R472" s="10"/>
      <c r="S472" s="17"/>
      <c r="T472" s="12"/>
      <c r="U472" s="10"/>
      <c r="V472" s="10"/>
      <c r="W472" s="10"/>
      <c r="X472" s="10"/>
      <c r="Y472" s="10"/>
    </row>
    <row r="473" hidden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6"/>
      <c r="O473" s="10"/>
      <c r="P473" s="10"/>
      <c r="Q473" s="10"/>
      <c r="R473" s="10"/>
      <c r="S473" s="17"/>
      <c r="T473" s="12"/>
      <c r="U473" s="10"/>
      <c r="V473" s="10"/>
      <c r="W473" s="10"/>
      <c r="X473" s="10"/>
      <c r="Y473" s="10"/>
    </row>
    <row r="474" hidden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6"/>
      <c r="O474" s="10"/>
      <c r="P474" s="10"/>
      <c r="Q474" s="10"/>
      <c r="R474" s="10"/>
      <c r="S474" s="17"/>
      <c r="T474" s="12"/>
      <c r="U474" s="10"/>
      <c r="V474" s="10"/>
      <c r="W474" s="10"/>
      <c r="X474" s="10"/>
      <c r="Y474" s="10"/>
    </row>
    <row r="475" hidden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6"/>
      <c r="O475" s="10"/>
      <c r="P475" s="10"/>
      <c r="Q475" s="10"/>
      <c r="R475" s="10"/>
      <c r="S475" s="17"/>
      <c r="T475" s="12"/>
      <c r="U475" s="10"/>
      <c r="V475" s="10"/>
      <c r="W475" s="10"/>
      <c r="X475" s="10"/>
      <c r="Y475" s="10"/>
    </row>
    <row r="476" hidden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6"/>
      <c r="O476" s="10"/>
      <c r="P476" s="10"/>
      <c r="Q476" s="10"/>
      <c r="R476" s="10"/>
      <c r="S476" s="17"/>
      <c r="T476" s="12"/>
      <c r="U476" s="10"/>
      <c r="V476" s="10"/>
      <c r="W476" s="10"/>
      <c r="X476" s="10"/>
      <c r="Y476" s="10"/>
    </row>
    <row r="477" hidden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6"/>
      <c r="O477" s="10"/>
      <c r="P477" s="10"/>
      <c r="Q477" s="10"/>
      <c r="R477" s="10"/>
      <c r="S477" s="17"/>
      <c r="T477" s="12"/>
      <c r="U477" s="10"/>
      <c r="V477" s="10"/>
      <c r="W477" s="10"/>
      <c r="X477" s="10"/>
      <c r="Y477" s="10"/>
    </row>
    <row r="478" hidden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6"/>
      <c r="O478" s="10"/>
      <c r="P478" s="10"/>
      <c r="Q478" s="10"/>
      <c r="R478" s="10"/>
      <c r="S478" s="17"/>
      <c r="T478" s="12"/>
      <c r="U478" s="10"/>
      <c r="V478" s="10"/>
      <c r="W478" s="10"/>
      <c r="X478" s="10"/>
      <c r="Y478" s="10"/>
    </row>
    <row r="479" hidden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6"/>
      <c r="O479" s="10"/>
      <c r="P479" s="10"/>
      <c r="Q479" s="10"/>
      <c r="R479" s="10"/>
      <c r="S479" s="17"/>
      <c r="T479" s="12"/>
      <c r="U479" s="10"/>
      <c r="V479" s="10"/>
      <c r="W479" s="10"/>
      <c r="X479" s="10"/>
      <c r="Y479" s="10"/>
    </row>
    <row r="480" hidden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6"/>
      <c r="O480" s="10"/>
      <c r="P480" s="10"/>
      <c r="Q480" s="10"/>
      <c r="R480" s="10"/>
      <c r="S480" s="17"/>
      <c r="T480" s="12"/>
      <c r="U480" s="10"/>
      <c r="V480" s="10"/>
      <c r="W480" s="10"/>
      <c r="X480" s="10"/>
      <c r="Y480" s="10"/>
    </row>
    <row r="481" hidden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6"/>
      <c r="O481" s="10"/>
      <c r="P481" s="10"/>
      <c r="Q481" s="10"/>
      <c r="R481" s="10"/>
      <c r="S481" s="17"/>
      <c r="T481" s="12"/>
      <c r="U481" s="10"/>
      <c r="V481" s="10"/>
      <c r="W481" s="10"/>
      <c r="X481" s="10"/>
      <c r="Y481" s="10"/>
    </row>
    <row r="482" hidden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6"/>
      <c r="O482" s="10"/>
      <c r="P482" s="10"/>
      <c r="Q482" s="10"/>
      <c r="R482" s="10"/>
      <c r="S482" s="17"/>
      <c r="T482" s="12"/>
      <c r="U482" s="10"/>
      <c r="V482" s="10"/>
      <c r="W482" s="10"/>
      <c r="X482" s="10"/>
      <c r="Y482" s="10"/>
    </row>
    <row r="483" hidden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6"/>
      <c r="O483" s="10"/>
      <c r="P483" s="10"/>
      <c r="Q483" s="10"/>
      <c r="R483" s="10"/>
      <c r="S483" s="17"/>
      <c r="T483" s="12"/>
      <c r="U483" s="10"/>
      <c r="V483" s="10"/>
      <c r="W483" s="10"/>
      <c r="X483" s="10"/>
      <c r="Y483" s="10"/>
    </row>
    <row r="484" hidden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6"/>
      <c r="O484" s="10"/>
      <c r="P484" s="10"/>
      <c r="Q484" s="10"/>
      <c r="R484" s="10"/>
      <c r="S484" s="17"/>
      <c r="T484" s="12"/>
      <c r="U484" s="10"/>
      <c r="V484" s="10"/>
      <c r="W484" s="10"/>
      <c r="X484" s="10"/>
      <c r="Y484" s="10"/>
    </row>
    <row r="485" hidden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6"/>
      <c r="O485" s="10"/>
      <c r="P485" s="10"/>
      <c r="Q485" s="10"/>
      <c r="R485" s="10"/>
      <c r="S485" s="17"/>
      <c r="T485" s="12"/>
      <c r="U485" s="10"/>
      <c r="V485" s="10"/>
      <c r="W485" s="10"/>
      <c r="X485" s="10"/>
      <c r="Y485" s="10"/>
    </row>
    <row r="486" hidden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6"/>
      <c r="O486" s="10"/>
      <c r="P486" s="10"/>
      <c r="Q486" s="10"/>
      <c r="R486" s="10"/>
      <c r="S486" s="17"/>
      <c r="T486" s="12"/>
      <c r="U486" s="10"/>
      <c r="V486" s="10"/>
      <c r="W486" s="10"/>
      <c r="X486" s="10"/>
      <c r="Y486" s="10"/>
    </row>
    <row r="487" hidden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6"/>
      <c r="O487" s="10"/>
      <c r="P487" s="10"/>
      <c r="Q487" s="10"/>
      <c r="R487" s="10"/>
      <c r="S487" s="17"/>
      <c r="T487" s="12"/>
      <c r="U487" s="10"/>
      <c r="V487" s="10"/>
      <c r="W487" s="10"/>
      <c r="X487" s="10"/>
      <c r="Y487" s="10"/>
    </row>
    <row r="488" hidden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6"/>
      <c r="O488" s="10"/>
      <c r="P488" s="10"/>
      <c r="Q488" s="10"/>
      <c r="R488" s="10"/>
      <c r="S488" s="17"/>
      <c r="T488" s="12"/>
      <c r="U488" s="10"/>
      <c r="V488" s="10"/>
      <c r="W488" s="10"/>
      <c r="X488" s="10"/>
      <c r="Y488" s="10"/>
    </row>
    <row r="489" hidden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6"/>
      <c r="O489" s="10"/>
      <c r="P489" s="10"/>
      <c r="Q489" s="10"/>
      <c r="R489" s="10"/>
      <c r="S489" s="17"/>
      <c r="T489" s="12"/>
      <c r="U489" s="10"/>
      <c r="V489" s="10"/>
      <c r="W489" s="10"/>
      <c r="X489" s="10"/>
      <c r="Y489" s="10"/>
    </row>
    <row r="490" hidden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6"/>
      <c r="O490" s="10"/>
      <c r="P490" s="10"/>
      <c r="Q490" s="10"/>
      <c r="R490" s="10"/>
      <c r="S490" s="17"/>
      <c r="T490" s="12"/>
      <c r="U490" s="10"/>
      <c r="V490" s="10"/>
      <c r="W490" s="10"/>
      <c r="X490" s="10"/>
      <c r="Y490" s="10"/>
    </row>
    <row r="491" hidden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6"/>
      <c r="O491" s="10"/>
      <c r="P491" s="10"/>
      <c r="Q491" s="10"/>
      <c r="R491" s="10"/>
      <c r="S491" s="17"/>
      <c r="T491" s="12"/>
      <c r="U491" s="10"/>
      <c r="V491" s="10"/>
      <c r="W491" s="10"/>
      <c r="X491" s="10"/>
      <c r="Y491" s="10"/>
    </row>
    <row r="492" hidden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6"/>
      <c r="O492" s="10"/>
      <c r="P492" s="10"/>
      <c r="Q492" s="10"/>
      <c r="R492" s="10"/>
      <c r="S492" s="17"/>
      <c r="T492" s="12"/>
      <c r="U492" s="10"/>
      <c r="V492" s="10"/>
      <c r="W492" s="10"/>
      <c r="X492" s="10"/>
      <c r="Y492" s="10"/>
    </row>
    <row r="493" hidden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6"/>
      <c r="O493" s="10"/>
      <c r="P493" s="10"/>
      <c r="Q493" s="10"/>
      <c r="R493" s="10"/>
      <c r="S493" s="17"/>
      <c r="T493" s="12"/>
      <c r="U493" s="10"/>
      <c r="V493" s="10"/>
      <c r="W493" s="10"/>
      <c r="X493" s="10"/>
      <c r="Y493" s="10"/>
    </row>
    <row r="494" hidden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6"/>
      <c r="O494" s="10"/>
      <c r="P494" s="10"/>
      <c r="Q494" s="10"/>
      <c r="R494" s="10"/>
      <c r="S494" s="17"/>
      <c r="T494" s="12"/>
      <c r="U494" s="10"/>
      <c r="V494" s="10"/>
      <c r="W494" s="10"/>
      <c r="X494" s="10"/>
      <c r="Y494" s="10"/>
    </row>
    <row r="495" hidden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6"/>
      <c r="O495" s="10"/>
      <c r="P495" s="10"/>
      <c r="Q495" s="10"/>
      <c r="R495" s="10"/>
      <c r="S495" s="17"/>
      <c r="T495" s="12"/>
      <c r="U495" s="10"/>
      <c r="V495" s="10"/>
      <c r="W495" s="10"/>
      <c r="X495" s="10"/>
      <c r="Y495" s="10"/>
    </row>
    <row r="496" hidden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6"/>
      <c r="O496" s="10"/>
      <c r="P496" s="10"/>
      <c r="Q496" s="10"/>
      <c r="R496" s="10"/>
      <c r="S496" s="17"/>
      <c r="T496" s="12"/>
      <c r="U496" s="10"/>
      <c r="V496" s="10"/>
      <c r="W496" s="10"/>
      <c r="X496" s="10"/>
      <c r="Y496" s="10"/>
    </row>
    <row r="497" hidden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6"/>
      <c r="O497" s="10"/>
      <c r="P497" s="10"/>
      <c r="Q497" s="10"/>
      <c r="R497" s="10"/>
      <c r="S497" s="17"/>
      <c r="T497" s="12"/>
      <c r="U497" s="10"/>
      <c r="V497" s="10"/>
      <c r="W497" s="10"/>
      <c r="X497" s="10"/>
      <c r="Y497" s="10"/>
    </row>
    <row r="498" hidden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6"/>
      <c r="O498" s="10"/>
      <c r="P498" s="10"/>
      <c r="Q498" s="10"/>
      <c r="R498" s="10"/>
      <c r="S498" s="17"/>
      <c r="T498" s="12"/>
      <c r="U498" s="10"/>
      <c r="V498" s="10"/>
      <c r="W498" s="10"/>
      <c r="X498" s="10"/>
      <c r="Y498" s="10"/>
    </row>
    <row r="499" hidden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6"/>
      <c r="O499" s="10"/>
      <c r="P499" s="10"/>
      <c r="Q499" s="10"/>
      <c r="R499" s="10"/>
      <c r="S499" s="17"/>
      <c r="T499" s="12"/>
      <c r="U499" s="10"/>
      <c r="V499" s="10"/>
      <c r="W499" s="10"/>
      <c r="X499" s="10"/>
      <c r="Y499" s="10"/>
    </row>
    <row r="500" hidden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6"/>
      <c r="O500" s="10"/>
      <c r="P500" s="10"/>
      <c r="Q500" s="10"/>
      <c r="R500" s="10"/>
      <c r="S500" s="17"/>
      <c r="T500" s="12"/>
      <c r="U500" s="10"/>
      <c r="V500" s="10"/>
      <c r="W500" s="10"/>
      <c r="X500" s="10"/>
      <c r="Y500" s="10"/>
    </row>
    <row r="501" hidden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6"/>
      <c r="O501" s="10"/>
      <c r="P501" s="10"/>
      <c r="Q501" s="10"/>
      <c r="R501" s="10"/>
      <c r="S501" s="17"/>
      <c r="T501" s="12"/>
      <c r="U501" s="10"/>
      <c r="V501" s="10"/>
      <c r="W501" s="10"/>
      <c r="X501" s="10"/>
      <c r="Y501" s="10"/>
    </row>
    <row r="502" hidden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6"/>
      <c r="O502" s="10"/>
      <c r="P502" s="10"/>
      <c r="Q502" s="10"/>
      <c r="R502" s="10"/>
      <c r="S502" s="17"/>
      <c r="T502" s="12"/>
      <c r="U502" s="10"/>
      <c r="V502" s="10"/>
      <c r="W502" s="10"/>
      <c r="X502" s="10"/>
      <c r="Y502" s="10"/>
    </row>
    <row r="503" hidden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6"/>
      <c r="O503" s="10"/>
      <c r="P503" s="10"/>
      <c r="Q503" s="10"/>
      <c r="R503" s="10"/>
      <c r="S503" s="17"/>
      <c r="T503" s="12"/>
      <c r="U503" s="10"/>
      <c r="V503" s="10"/>
      <c r="W503" s="10"/>
      <c r="X503" s="10"/>
      <c r="Y503" s="10"/>
    </row>
    <row r="504" hidden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6"/>
      <c r="O504" s="10"/>
      <c r="P504" s="10"/>
      <c r="Q504" s="10"/>
      <c r="R504" s="10"/>
      <c r="S504" s="17"/>
      <c r="T504" s="12"/>
      <c r="U504" s="10"/>
      <c r="V504" s="10"/>
      <c r="W504" s="10"/>
      <c r="X504" s="10"/>
      <c r="Y504" s="10"/>
    </row>
    <row r="505" hidden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6"/>
      <c r="O505" s="10"/>
      <c r="P505" s="10"/>
      <c r="Q505" s="10"/>
      <c r="R505" s="10"/>
      <c r="S505" s="17"/>
      <c r="T505" s="12"/>
      <c r="U505" s="10"/>
      <c r="V505" s="10"/>
      <c r="W505" s="10"/>
      <c r="X505" s="10"/>
      <c r="Y505" s="10"/>
    </row>
    <row r="506" hidden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6"/>
      <c r="O506" s="10"/>
      <c r="P506" s="10"/>
      <c r="Q506" s="10"/>
      <c r="R506" s="10"/>
      <c r="S506" s="17"/>
      <c r="T506" s="12"/>
      <c r="U506" s="10"/>
      <c r="V506" s="10"/>
      <c r="W506" s="10"/>
      <c r="X506" s="10"/>
      <c r="Y506" s="10"/>
    </row>
    <row r="507" hidden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6"/>
      <c r="O507" s="10"/>
      <c r="P507" s="10"/>
      <c r="Q507" s="10"/>
      <c r="R507" s="10"/>
      <c r="S507" s="17"/>
      <c r="T507" s="12"/>
      <c r="U507" s="10"/>
      <c r="V507" s="10"/>
      <c r="W507" s="10"/>
      <c r="X507" s="10"/>
      <c r="Y507" s="10"/>
    </row>
    <row r="508" hidden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6"/>
      <c r="O508" s="10"/>
      <c r="P508" s="10"/>
      <c r="Q508" s="10"/>
      <c r="R508" s="10"/>
      <c r="S508" s="17"/>
      <c r="T508" s="12"/>
      <c r="U508" s="10"/>
      <c r="V508" s="10"/>
      <c r="W508" s="10"/>
      <c r="X508" s="10"/>
      <c r="Y508" s="10"/>
    </row>
    <row r="509" hidden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6"/>
      <c r="O509" s="10"/>
      <c r="P509" s="10"/>
      <c r="Q509" s="10"/>
      <c r="R509" s="10"/>
      <c r="S509" s="17"/>
      <c r="T509" s="12"/>
      <c r="U509" s="10"/>
      <c r="V509" s="10"/>
      <c r="W509" s="10"/>
      <c r="X509" s="10"/>
      <c r="Y509" s="10"/>
    </row>
    <row r="510" hidden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6"/>
      <c r="O510" s="10"/>
      <c r="P510" s="10"/>
      <c r="Q510" s="10"/>
      <c r="R510" s="10"/>
      <c r="S510" s="17"/>
      <c r="T510" s="12"/>
      <c r="U510" s="10"/>
      <c r="V510" s="10"/>
      <c r="W510" s="10"/>
      <c r="X510" s="10"/>
      <c r="Y510" s="10"/>
    </row>
    <row r="511" hidden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6"/>
      <c r="O511" s="10"/>
      <c r="P511" s="10"/>
      <c r="Q511" s="10"/>
      <c r="R511" s="10"/>
      <c r="S511" s="17"/>
      <c r="T511" s="12"/>
      <c r="U511" s="10"/>
      <c r="V511" s="10"/>
      <c r="W511" s="10"/>
      <c r="X511" s="10"/>
      <c r="Y511" s="10"/>
    </row>
    <row r="512" hidden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6"/>
      <c r="O512" s="10"/>
      <c r="P512" s="10"/>
      <c r="Q512" s="10"/>
      <c r="R512" s="10"/>
      <c r="S512" s="17"/>
      <c r="T512" s="12"/>
      <c r="U512" s="10"/>
      <c r="V512" s="10"/>
      <c r="W512" s="10"/>
      <c r="X512" s="10"/>
      <c r="Y512" s="10"/>
    </row>
    <row r="513" hidden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6"/>
      <c r="O513" s="10"/>
      <c r="P513" s="10"/>
      <c r="Q513" s="10"/>
      <c r="R513" s="10"/>
      <c r="S513" s="17"/>
      <c r="T513" s="12"/>
      <c r="U513" s="10"/>
      <c r="V513" s="10"/>
      <c r="W513" s="10"/>
      <c r="X513" s="10"/>
      <c r="Y513" s="10"/>
    </row>
    <row r="514" hidden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6"/>
      <c r="O514" s="10"/>
      <c r="P514" s="10"/>
      <c r="Q514" s="10"/>
      <c r="R514" s="10"/>
      <c r="S514" s="17"/>
      <c r="T514" s="12"/>
      <c r="U514" s="10"/>
      <c r="V514" s="10"/>
      <c r="W514" s="10"/>
      <c r="X514" s="10"/>
      <c r="Y514" s="10"/>
    </row>
    <row r="515" hidden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6"/>
      <c r="O515" s="10"/>
      <c r="P515" s="10"/>
      <c r="Q515" s="10"/>
      <c r="R515" s="10"/>
      <c r="S515" s="17"/>
      <c r="T515" s="12"/>
      <c r="U515" s="10"/>
      <c r="V515" s="10"/>
      <c r="W515" s="10"/>
      <c r="X515" s="10"/>
      <c r="Y515" s="10"/>
    </row>
    <row r="516" hidden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6"/>
      <c r="O516" s="10"/>
      <c r="P516" s="10"/>
      <c r="Q516" s="10"/>
      <c r="R516" s="10"/>
      <c r="S516" s="17"/>
      <c r="T516" s="12"/>
      <c r="U516" s="10"/>
      <c r="V516" s="10"/>
      <c r="W516" s="10"/>
      <c r="X516" s="10"/>
      <c r="Y516" s="10"/>
    </row>
    <row r="517" hidden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6"/>
      <c r="O517" s="10"/>
      <c r="P517" s="10"/>
      <c r="Q517" s="10"/>
      <c r="R517" s="10"/>
      <c r="S517" s="17"/>
      <c r="T517" s="12"/>
      <c r="U517" s="10"/>
      <c r="V517" s="10"/>
      <c r="W517" s="10"/>
      <c r="X517" s="10"/>
      <c r="Y517" s="10"/>
    </row>
    <row r="518" hidden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6"/>
      <c r="O518" s="10"/>
      <c r="P518" s="10"/>
      <c r="Q518" s="10"/>
      <c r="R518" s="10"/>
      <c r="S518" s="17"/>
      <c r="T518" s="12"/>
      <c r="U518" s="10"/>
      <c r="V518" s="10"/>
      <c r="W518" s="10"/>
      <c r="X518" s="10"/>
      <c r="Y518" s="10"/>
    </row>
    <row r="519" hidden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6"/>
      <c r="O519" s="10"/>
      <c r="P519" s="10"/>
      <c r="Q519" s="10"/>
      <c r="R519" s="10"/>
      <c r="S519" s="17"/>
      <c r="T519" s="12"/>
      <c r="U519" s="10"/>
      <c r="V519" s="10"/>
      <c r="W519" s="10"/>
      <c r="X519" s="10"/>
      <c r="Y519" s="10"/>
    </row>
    <row r="520" hidden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6"/>
      <c r="O520" s="10"/>
      <c r="P520" s="10"/>
      <c r="Q520" s="10"/>
      <c r="R520" s="10"/>
      <c r="S520" s="17"/>
      <c r="T520" s="12"/>
      <c r="U520" s="10"/>
      <c r="V520" s="10"/>
      <c r="W520" s="10"/>
      <c r="X520" s="10"/>
      <c r="Y520" s="10"/>
    </row>
    <row r="521" hidden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6"/>
      <c r="O521" s="10"/>
      <c r="P521" s="10"/>
      <c r="Q521" s="10"/>
      <c r="R521" s="10"/>
      <c r="S521" s="17"/>
      <c r="T521" s="12"/>
      <c r="U521" s="10"/>
      <c r="V521" s="10"/>
      <c r="W521" s="10"/>
      <c r="X521" s="10"/>
      <c r="Y521" s="10"/>
    </row>
    <row r="522" hidden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6"/>
      <c r="O522" s="10"/>
      <c r="P522" s="10"/>
      <c r="Q522" s="10"/>
      <c r="R522" s="10"/>
      <c r="S522" s="17"/>
      <c r="T522" s="12"/>
      <c r="U522" s="10"/>
      <c r="V522" s="10"/>
      <c r="W522" s="10"/>
      <c r="X522" s="10"/>
      <c r="Y522" s="10"/>
    </row>
    <row r="523" hidden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6"/>
      <c r="O523" s="10"/>
      <c r="P523" s="10"/>
      <c r="Q523" s="10"/>
      <c r="R523" s="10"/>
      <c r="S523" s="17"/>
      <c r="T523" s="12"/>
      <c r="U523" s="10"/>
      <c r="V523" s="10"/>
      <c r="W523" s="10"/>
      <c r="X523" s="10"/>
      <c r="Y523" s="10"/>
    </row>
    <row r="524" hidden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6"/>
      <c r="O524" s="10"/>
      <c r="P524" s="10"/>
      <c r="Q524" s="10"/>
      <c r="R524" s="10"/>
      <c r="S524" s="17"/>
      <c r="T524" s="12"/>
      <c r="U524" s="10"/>
      <c r="V524" s="10"/>
      <c r="W524" s="10"/>
      <c r="X524" s="10"/>
      <c r="Y524" s="10"/>
    </row>
    <row r="525" hidden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6"/>
      <c r="O525" s="10"/>
      <c r="P525" s="10"/>
      <c r="Q525" s="10"/>
      <c r="R525" s="10"/>
      <c r="S525" s="17"/>
      <c r="T525" s="12"/>
      <c r="U525" s="10"/>
      <c r="V525" s="10"/>
      <c r="W525" s="10"/>
      <c r="X525" s="10"/>
      <c r="Y525" s="10"/>
    </row>
    <row r="526" hidden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6"/>
      <c r="O526" s="10"/>
      <c r="P526" s="10"/>
      <c r="Q526" s="10"/>
      <c r="R526" s="10"/>
      <c r="S526" s="17"/>
      <c r="T526" s="12"/>
      <c r="U526" s="10"/>
      <c r="V526" s="10"/>
      <c r="W526" s="10"/>
      <c r="X526" s="10"/>
      <c r="Y526" s="10"/>
    </row>
    <row r="527" hidden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6"/>
      <c r="O527" s="10"/>
      <c r="P527" s="10"/>
      <c r="Q527" s="10"/>
      <c r="R527" s="10"/>
      <c r="S527" s="17"/>
      <c r="T527" s="12"/>
      <c r="U527" s="10"/>
      <c r="V527" s="10"/>
      <c r="W527" s="10"/>
      <c r="X527" s="10"/>
      <c r="Y527" s="10"/>
    </row>
    <row r="528" hidden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6"/>
      <c r="O528" s="10"/>
      <c r="P528" s="10"/>
      <c r="Q528" s="10"/>
      <c r="R528" s="10"/>
      <c r="S528" s="17"/>
      <c r="T528" s="12"/>
      <c r="U528" s="10"/>
      <c r="V528" s="10"/>
      <c r="W528" s="10"/>
      <c r="X528" s="10"/>
      <c r="Y528" s="10"/>
    </row>
    <row r="529" hidden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6"/>
      <c r="O529" s="10"/>
      <c r="P529" s="10"/>
      <c r="Q529" s="10"/>
      <c r="R529" s="10"/>
      <c r="S529" s="17"/>
      <c r="T529" s="12"/>
      <c r="U529" s="10"/>
      <c r="V529" s="10"/>
      <c r="W529" s="10"/>
      <c r="X529" s="10"/>
      <c r="Y529" s="10"/>
    </row>
    <row r="530" hidden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6"/>
      <c r="O530" s="10"/>
      <c r="P530" s="10"/>
      <c r="Q530" s="10"/>
      <c r="R530" s="10"/>
      <c r="S530" s="17"/>
      <c r="T530" s="12"/>
      <c r="U530" s="10"/>
      <c r="V530" s="10"/>
      <c r="W530" s="10"/>
      <c r="X530" s="10"/>
      <c r="Y530" s="10"/>
    </row>
    <row r="531" hidden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6"/>
      <c r="O531" s="10"/>
      <c r="P531" s="10"/>
      <c r="Q531" s="10"/>
      <c r="R531" s="10"/>
      <c r="S531" s="17"/>
      <c r="T531" s="12"/>
      <c r="U531" s="10"/>
      <c r="V531" s="10"/>
      <c r="W531" s="10"/>
      <c r="X531" s="10"/>
      <c r="Y531" s="10"/>
    </row>
    <row r="532" hidden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6"/>
      <c r="O532" s="10"/>
      <c r="P532" s="10"/>
      <c r="Q532" s="10"/>
      <c r="R532" s="10"/>
      <c r="S532" s="17"/>
      <c r="T532" s="12"/>
      <c r="U532" s="10"/>
      <c r="V532" s="10"/>
      <c r="W532" s="10"/>
      <c r="X532" s="10"/>
      <c r="Y532" s="10"/>
    </row>
    <row r="533" hidden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6"/>
      <c r="O533" s="10"/>
      <c r="P533" s="10"/>
      <c r="Q533" s="10"/>
      <c r="R533" s="10"/>
      <c r="S533" s="17"/>
      <c r="T533" s="12"/>
      <c r="U533" s="10"/>
      <c r="V533" s="10"/>
      <c r="W533" s="10"/>
      <c r="X533" s="10"/>
      <c r="Y533" s="10"/>
    </row>
    <row r="534" hidden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6"/>
      <c r="O534" s="10"/>
      <c r="P534" s="10"/>
      <c r="Q534" s="10"/>
      <c r="R534" s="10"/>
      <c r="S534" s="17"/>
      <c r="T534" s="12"/>
      <c r="U534" s="10"/>
      <c r="V534" s="10"/>
      <c r="W534" s="10"/>
      <c r="X534" s="10"/>
      <c r="Y534" s="10"/>
    </row>
    <row r="535" hidden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6"/>
      <c r="O535" s="10"/>
      <c r="P535" s="10"/>
      <c r="Q535" s="10"/>
      <c r="R535" s="10"/>
      <c r="S535" s="17"/>
      <c r="T535" s="12"/>
      <c r="U535" s="10"/>
      <c r="V535" s="10"/>
      <c r="W535" s="10"/>
      <c r="X535" s="10"/>
      <c r="Y535" s="10"/>
    </row>
    <row r="536" hidden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6"/>
      <c r="O536" s="10"/>
      <c r="P536" s="10"/>
      <c r="Q536" s="10"/>
      <c r="R536" s="10"/>
      <c r="S536" s="17"/>
      <c r="T536" s="12"/>
      <c r="U536" s="10"/>
      <c r="V536" s="10"/>
      <c r="W536" s="10"/>
      <c r="X536" s="10"/>
      <c r="Y536" s="10"/>
    </row>
    <row r="537" hidden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6"/>
      <c r="O537" s="10"/>
      <c r="P537" s="10"/>
      <c r="Q537" s="10"/>
      <c r="R537" s="10"/>
      <c r="S537" s="17"/>
      <c r="T537" s="12"/>
      <c r="U537" s="10"/>
      <c r="V537" s="10"/>
      <c r="W537" s="10"/>
      <c r="X537" s="10"/>
      <c r="Y537" s="10"/>
    </row>
    <row r="538" hidden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6"/>
      <c r="O538" s="10"/>
      <c r="P538" s="10"/>
      <c r="Q538" s="10"/>
      <c r="R538" s="10"/>
      <c r="S538" s="17"/>
      <c r="T538" s="12"/>
      <c r="U538" s="10"/>
      <c r="V538" s="10"/>
      <c r="W538" s="10"/>
      <c r="X538" s="10"/>
      <c r="Y538" s="10"/>
    </row>
    <row r="539" hidden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6"/>
      <c r="O539" s="10"/>
      <c r="P539" s="10"/>
      <c r="Q539" s="10"/>
      <c r="R539" s="10"/>
      <c r="S539" s="17"/>
      <c r="T539" s="12"/>
      <c r="U539" s="10"/>
      <c r="V539" s="10"/>
      <c r="W539" s="10"/>
      <c r="X539" s="10"/>
      <c r="Y539" s="10"/>
    </row>
    <row r="540" hidden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6"/>
      <c r="O540" s="10"/>
      <c r="P540" s="10"/>
      <c r="Q540" s="10"/>
      <c r="R540" s="10"/>
      <c r="S540" s="17"/>
      <c r="T540" s="12"/>
      <c r="U540" s="10"/>
      <c r="V540" s="10"/>
      <c r="W540" s="10"/>
      <c r="X540" s="10"/>
      <c r="Y540" s="10"/>
    </row>
    <row r="541" hidden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6"/>
      <c r="O541" s="10"/>
      <c r="P541" s="10"/>
      <c r="Q541" s="10"/>
      <c r="R541" s="10"/>
      <c r="S541" s="17"/>
      <c r="T541" s="12"/>
      <c r="U541" s="10"/>
      <c r="V541" s="10"/>
      <c r="W541" s="10"/>
      <c r="X541" s="10"/>
      <c r="Y541" s="10"/>
    </row>
    <row r="542" hidden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6"/>
      <c r="O542" s="10"/>
      <c r="P542" s="10"/>
      <c r="Q542" s="10"/>
      <c r="R542" s="10"/>
      <c r="S542" s="17"/>
      <c r="T542" s="12"/>
      <c r="U542" s="10"/>
      <c r="V542" s="10"/>
      <c r="W542" s="10"/>
      <c r="X542" s="10"/>
      <c r="Y542" s="10"/>
    </row>
    <row r="543" hidden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6"/>
      <c r="O543" s="10"/>
      <c r="P543" s="10"/>
      <c r="Q543" s="10"/>
      <c r="R543" s="10"/>
      <c r="S543" s="17"/>
      <c r="T543" s="12"/>
      <c r="U543" s="10"/>
      <c r="V543" s="10"/>
      <c r="W543" s="10"/>
      <c r="X543" s="10"/>
      <c r="Y543" s="10"/>
    </row>
    <row r="544" hidden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6"/>
      <c r="O544" s="10"/>
      <c r="P544" s="10"/>
      <c r="Q544" s="10"/>
      <c r="R544" s="10"/>
      <c r="S544" s="17"/>
      <c r="T544" s="12"/>
      <c r="U544" s="10"/>
      <c r="V544" s="10"/>
      <c r="W544" s="10"/>
      <c r="X544" s="10"/>
      <c r="Y544" s="10"/>
    </row>
    <row r="545" hidden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6"/>
      <c r="O545" s="10"/>
      <c r="P545" s="10"/>
      <c r="Q545" s="10"/>
      <c r="R545" s="10"/>
      <c r="S545" s="17"/>
      <c r="T545" s="12"/>
      <c r="U545" s="10"/>
      <c r="V545" s="10"/>
      <c r="W545" s="10"/>
      <c r="X545" s="10"/>
      <c r="Y545" s="10"/>
    </row>
    <row r="546" hidden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6"/>
      <c r="O546" s="10"/>
      <c r="P546" s="10"/>
      <c r="Q546" s="10"/>
      <c r="R546" s="10"/>
      <c r="S546" s="17"/>
      <c r="T546" s="12"/>
      <c r="U546" s="10"/>
      <c r="V546" s="10"/>
      <c r="W546" s="10"/>
      <c r="X546" s="10"/>
      <c r="Y546" s="10"/>
    </row>
    <row r="547" hidden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6"/>
      <c r="O547" s="10"/>
      <c r="P547" s="10"/>
      <c r="Q547" s="10"/>
      <c r="R547" s="10"/>
      <c r="S547" s="17"/>
      <c r="T547" s="12"/>
      <c r="U547" s="10"/>
      <c r="V547" s="10"/>
      <c r="W547" s="10"/>
      <c r="X547" s="10"/>
      <c r="Y547" s="10"/>
    </row>
    <row r="548" hidden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6"/>
      <c r="O548" s="10"/>
      <c r="P548" s="10"/>
      <c r="Q548" s="10"/>
      <c r="R548" s="10"/>
      <c r="S548" s="17"/>
      <c r="T548" s="12"/>
      <c r="U548" s="10"/>
      <c r="V548" s="10"/>
      <c r="W548" s="10"/>
      <c r="X548" s="10"/>
      <c r="Y548" s="10"/>
    </row>
    <row r="549" hidden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6"/>
      <c r="O549" s="10"/>
      <c r="P549" s="10"/>
      <c r="Q549" s="10"/>
      <c r="R549" s="10"/>
      <c r="S549" s="17"/>
      <c r="T549" s="12"/>
      <c r="U549" s="10"/>
      <c r="V549" s="10"/>
      <c r="W549" s="10"/>
      <c r="X549" s="10"/>
      <c r="Y549" s="10"/>
    </row>
    <row r="550" hidden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6"/>
      <c r="O550" s="10"/>
      <c r="P550" s="10"/>
      <c r="Q550" s="10"/>
      <c r="R550" s="10"/>
      <c r="S550" s="17"/>
      <c r="T550" s="12"/>
      <c r="U550" s="10"/>
      <c r="V550" s="10"/>
      <c r="W550" s="10"/>
      <c r="X550" s="10"/>
      <c r="Y550" s="10"/>
    </row>
    <row r="551" hidden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6"/>
      <c r="O551" s="10"/>
      <c r="P551" s="10"/>
      <c r="Q551" s="10"/>
      <c r="R551" s="10"/>
      <c r="S551" s="17"/>
      <c r="T551" s="12"/>
      <c r="U551" s="10"/>
      <c r="V551" s="10"/>
      <c r="W551" s="10"/>
      <c r="X551" s="10"/>
      <c r="Y551" s="10"/>
    </row>
    <row r="552" hidden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6"/>
      <c r="O552" s="10"/>
      <c r="P552" s="10"/>
      <c r="Q552" s="10"/>
      <c r="R552" s="10"/>
      <c r="S552" s="17"/>
      <c r="T552" s="12"/>
      <c r="U552" s="10"/>
      <c r="V552" s="10"/>
      <c r="W552" s="10"/>
      <c r="X552" s="10"/>
      <c r="Y552" s="10"/>
    </row>
    <row r="553" hidden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6"/>
      <c r="O553" s="10"/>
      <c r="P553" s="10"/>
      <c r="Q553" s="10"/>
      <c r="R553" s="10"/>
      <c r="S553" s="17"/>
      <c r="T553" s="12"/>
      <c r="U553" s="10"/>
      <c r="V553" s="10"/>
      <c r="W553" s="10"/>
      <c r="X553" s="10"/>
      <c r="Y553" s="10"/>
    </row>
    <row r="554" hidden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6"/>
      <c r="O554" s="10"/>
      <c r="P554" s="10"/>
      <c r="Q554" s="10"/>
      <c r="R554" s="10"/>
      <c r="S554" s="17"/>
      <c r="T554" s="12"/>
      <c r="U554" s="10"/>
      <c r="V554" s="10"/>
      <c r="W554" s="10"/>
      <c r="X554" s="10"/>
      <c r="Y554" s="10"/>
    </row>
    <row r="555" hidden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6"/>
      <c r="O555" s="10"/>
      <c r="P555" s="10"/>
      <c r="Q555" s="10"/>
      <c r="R555" s="10"/>
      <c r="S555" s="17"/>
      <c r="T555" s="12"/>
      <c r="U555" s="10"/>
      <c r="V555" s="10"/>
      <c r="W555" s="10"/>
      <c r="X555" s="10"/>
      <c r="Y555" s="10"/>
    </row>
    <row r="556" hidden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6"/>
      <c r="O556" s="10"/>
      <c r="P556" s="10"/>
      <c r="Q556" s="10"/>
      <c r="R556" s="10"/>
      <c r="S556" s="17"/>
      <c r="T556" s="12"/>
      <c r="U556" s="10"/>
      <c r="V556" s="10"/>
      <c r="W556" s="10"/>
      <c r="X556" s="10"/>
      <c r="Y556" s="10"/>
    </row>
    <row r="557" hidden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6"/>
      <c r="O557" s="10"/>
      <c r="P557" s="10"/>
      <c r="Q557" s="10"/>
      <c r="R557" s="10"/>
      <c r="S557" s="17"/>
      <c r="T557" s="12"/>
      <c r="U557" s="10"/>
      <c r="V557" s="10"/>
      <c r="W557" s="10"/>
      <c r="X557" s="10"/>
      <c r="Y557" s="10"/>
    </row>
    <row r="558" hidden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6"/>
      <c r="O558" s="10"/>
      <c r="P558" s="10"/>
      <c r="Q558" s="10"/>
      <c r="R558" s="10"/>
      <c r="S558" s="17"/>
      <c r="T558" s="12"/>
      <c r="U558" s="10"/>
      <c r="V558" s="10"/>
      <c r="W558" s="10"/>
      <c r="X558" s="10"/>
      <c r="Y558" s="10"/>
    </row>
    <row r="559" hidden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6"/>
      <c r="O559" s="10"/>
      <c r="P559" s="10"/>
      <c r="Q559" s="10"/>
      <c r="R559" s="10"/>
      <c r="S559" s="17"/>
      <c r="T559" s="12"/>
      <c r="U559" s="10"/>
      <c r="V559" s="10"/>
      <c r="W559" s="10"/>
      <c r="X559" s="10"/>
      <c r="Y559" s="10"/>
    </row>
    <row r="560" hidden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6"/>
      <c r="O560" s="10"/>
      <c r="P560" s="10"/>
      <c r="Q560" s="10"/>
      <c r="R560" s="10"/>
      <c r="S560" s="17"/>
      <c r="T560" s="12"/>
      <c r="U560" s="10"/>
      <c r="V560" s="10"/>
      <c r="W560" s="10"/>
      <c r="X560" s="10"/>
      <c r="Y560" s="10"/>
    </row>
    <row r="561" hidden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6"/>
      <c r="O561" s="10"/>
      <c r="P561" s="10"/>
      <c r="Q561" s="10"/>
      <c r="R561" s="10"/>
      <c r="S561" s="17"/>
      <c r="T561" s="12"/>
      <c r="U561" s="10"/>
      <c r="V561" s="10"/>
      <c r="W561" s="10"/>
      <c r="X561" s="10"/>
      <c r="Y561" s="10"/>
    </row>
    <row r="562" hidden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6"/>
      <c r="O562" s="10"/>
      <c r="P562" s="10"/>
      <c r="Q562" s="10"/>
      <c r="R562" s="10"/>
      <c r="S562" s="17"/>
      <c r="T562" s="12"/>
      <c r="U562" s="10"/>
      <c r="V562" s="10"/>
      <c r="W562" s="10"/>
      <c r="X562" s="10"/>
      <c r="Y562" s="10"/>
    </row>
    <row r="563" hidden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6"/>
      <c r="O563" s="10"/>
      <c r="P563" s="10"/>
      <c r="Q563" s="10"/>
      <c r="R563" s="10"/>
      <c r="S563" s="17"/>
      <c r="T563" s="12"/>
      <c r="U563" s="10"/>
      <c r="V563" s="10"/>
      <c r="W563" s="10"/>
      <c r="X563" s="10"/>
      <c r="Y563" s="10"/>
    </row>
    <row r="564" hidden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6"/>
      <c r="O564" s="10"/>
      <c r="P564" s="10"/>
      <c r="Q564" s="10"/>
      <c r="R564" s="10"/>
      <c r="S564" s="17"/>
      <c r="T564" s="12"/>
      <c r="U564" s="10"/>
      <c r="V564" s="10"/>
      <c r="W564" s="10"/>
      <c r="X564" s="10"/>
      <c r="Y564" s="10"/>
    </row>
    <row r="565" hidden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6"/>
      <c r="O565" s="10"/>
      <c r="P565" s="10"/>
      <c r="Q565" s="10"/>
      <c r="R565" s="10"/>
      <c r="S565" s="17"/>
      <c r="T565" s="12"/>
      <c r="U565" s="10"/>
      <c r="V565" s="10"/>
      <c r="W565" s="10"/>
      <c r="X565" s="10"/>
      <c r="Y565" s="10"/>
    </row>
    <row r="566" hidden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6"/>
      <c r="O566" s="10"/>
      <c r="P566" s="10"/>
      <c r="Q566" s="10"/>
      <c r="R566" s="10"/>
      <c r="S566" s="17"/>
      <c r="T566" s="12"/>
      <c r="U566" s="10"/>
      <c r="V566" s="10"/>
      <c r="W566" s="10"/>
      <c r="X566" s="10"/>
      <c r="Y566" s="10"/>
    </row>
    <row r="567" hidden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6"/>
      <c r="O567" s="10"/>
      <c r="P567" s="10"/>
      <c r="Q567" s="10"/>
      <c r="R567" s="10"/>
      <c r="S567" s="17"/>
      <c r="T567" s="12"/>
      <c r="U567" s="10"/>
      <c r="V567" s="10"/>
      <c r="W567" s="10"/>
      <c r="X567" s="10"/>
      <c r="Y567" s="10"/>
    </row>
    <row r="568" hidden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6"/>
      <c r="O568" s="10"/>
      <c r="P568" s="10"/>
      <c r="Q568" s="10"/>
      <c r="R568" s="10"/>
      <c r="S568" s="17"/>
      <c r="T568" s="12"/>
      <c r="U568" s="10"/>
      <c r="V568" s="10"/>
      <c r="W568" s="10"/>
      <c r="X568" s="10"/>
      <c r="Y568" s="10"/>
    </row>
    <row r="569" hidden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6"/>
      <c r="O569" s="10"/>
      <c r="P569" s="10"/>
      <c r="Q569" s="10"/>
      <c r="R569" s="10"/>
      <c r="S569" s="17"/>
      <c r="T569" s="12"/>
      <c r="U569" s="10"/>
      <c r="V569" s="10"/>
      <c r="W569" s="10"/>
      <c r="X569" s="10"/>
      <c r="Y569" s="10"/>
    </row>
    <row r="570" hidden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6"/>
      <c r="O570" s="10"/>
      <c r="P570" s="10"/>
      <c r="Q570" s="10"/>
      <c r="R570" s="10"/>
      <c r="S570" s="17"/>
      <c r="T570" s="12"/>
      <c r="U570" s="10"/>
      <c r="V570" s="10"/>
      <c r="W570" s="10"/>
      <c r="X570" s="10"/>
      <c r="Y570" s="10"/>
    </row>
    <row r="571" hidden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6"/>
      <c r="O571" s="10"/>
      <c r="P571" s="10"/>
      <c r="Q571" s="10"/>
      <c r="R571" s="10"/>
      <c r="S571" s="17"/>
      <c r="T571" s="12"/>
      <c r="U571" s="10"/>
      <c r="V571" s="10"/>
      <c r="W571" s="10"/>
      <c r="X571" s="10"/>
      <c r="Y571" s="10"/>
    </row>
    <row r="572" hidden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6"/>
      <c r="O572" s="10"/>
      <c r="P572" s="10"/>
      <c r="Q572" s="10"/>
      <c r="R572" s="10"/>
      <c r="S572" s="17"/>
      <c r="T572" s="12"/>
      <c r="U572" s="10"/>
      <c r="V572" s="10"/>
      <c r="W572" s="10"/>
      <c r="X572" s="10"/>
      <c r="Y572" s="10"/>
    </row>
    <row r="573" hidden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6"/>
      <c r="O573" s="10"/>
      <c r="P573" s="10"/>
      <c r="Q573" s="10"/>
      <c r="R573" s="10"/>
      <c r="S573" s="17"/>
      <c r="T573" s="12"/>
      <c r="U573" s="10"/>
      <c r="V573" s="10"/>
      <c r="W573" s="10"/>
      <c r="X573" s="10"/>
      <c r="Y573" s="10"/>
    </row>
    <row r="574" hidden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6"/>
      <c r="O574" s="10"/>
      <c r="P574" s="10"/>
      <c r="Q574" s="10"/>
      <c r="R574" s="10"/>
      <c r="S574" s="17"/>
      <c r="T574" s="12"/>
      <c r="U574" s="10"/>
      <c r="V574" s="10"/>
      <c r="W574" s="10"/>
      <c r="X574" s="10"/>
      <c r="Y574" s="10"/>
    </row>
    <row r="575" hidden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6"/>
      <c r="O575" s="10"/>
      <c r="P575" s="10"/>
      <c r="Q575" s="10"/>
      <c r="R575" s="10"/>
      <c r="S575" s="17"/>
      <c r="T575" s="12"/>
      <c r="U575" s="10"/>
      <c r="V575" s="10"/>
      <c r="W575" s="10"/>
      <c r="X575" s="10"/>
      <c r="Y575" s="10"/>
    </row>
    <row r="576" hidden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6"/>
      <c r="O576" s="10"/>
      <c r="P576" s="10"/>
      <c r="Q576" s="10"/>
      <c r="R576" s="10"/>
      <c r="S576" s="17"/>
      <c r="T576" s="12"/>
      <c r="U576" s="10"/>
      <c r="V576" s="10"/>
      <c r="W576" s="10"/>
      <c r="X576" s="10"/>
      <c r="Y576" s="10"/>
    </row>
    <row r="577" hidden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6"/>
      <c r="O577" s="10"/>
      <c r="P577" s="10"/>
      <c r="Q577" s="10"/>
      <c r="R577" s="10"/>
      <c r="S577" s="17"/>
      <c r="T577" s="12"/>
      <c r="U577" s="10"/>
      <c r="V577" s="10"/>
      <c r="W577" s="10"/>
      <c r="X577" s="10"/>
      <c r="Y577" s="10"/>
    </row>
    <row r="578" hidden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6"/>
      <c r="O578" s="10"/>
      <c r="P578" s="10"/>
      <c r="Q578" s="10"/>
      <c r="R578" s="10"/>
      <c r="S578" s="17"/>
      <c r="T578" s="12"/>
      <c r="U578" s="10"/>
      <c r="V578" s="10"/>
      <c r="W578" s="10"/>
      <c r="X578" s="10"/>
      <c r="Y578" s="10"/>
    </row>
    <row r="579" hidden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6"/>
      <c r="O579" s="10"/>
      <c r="P579" s="10"/>
      <c r="Q579" s="10"/>
      <c r="R579" s="10"/>
      <c r="S579" s="17"/>
      <c r="T579" s="12"/>
      <c r="U579" s="10"/>
      <c r="V579" s="10"/>
      <c r="W579" s="10"/>
      <c r="X579" s="10"/>
      <c r="Y579" s="10"/>
    </row>
    <row r="580" hidden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6"/>
      <c r="O580" s="10"/>
      <c r="P580" s="10"/>
      <c r="Q580" s="10"/>
      <c r="R580" s="10"/>
      <c r="S580" s="17"/>
      <c r="T580" s="12"/>
      <c r="U580" s="10"/>
      <c r="V580" s="10"/>
      <c r="W580" s="10"/>
      <c r="X580" s="10"/>
      <c r="Y580" s="10"/>
    </row>
    <row r="581" hidden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6"/>
      <c r="O581" s="10"/>
      <c r="P581" s="10"/>
      <c r="Q581" s="10"/>
      <c r="R581" s="10"/>
      <c r="S581" s="17"/>
      <c r="T581" s="12"/>
      <c r="U581" s="10"/>
      <c r="V581" s="10"/>
      <c r="W581" s="10"/>
      <c r="X581" s="10"/>
      <c r="Y581" s="10"/>
    </row>
    <row r="582" hidden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6"/>
      <c r="O582" s="10"/>
      <c r="P582" s="10"/>
      <c r="Q582" s="10"/>
      <c r="R582" s="10"/>
      <c r="S582" s="17"/>
      <c r="T582" s="12"/>
      <c r="U582" s="10"/>
      <c r="V582" s="10"/>
      <c r="W582" s="10"/>
      <c r="X582" s="10"/>
      <c r="Y582" s="10"/>
    </row>
    <row r="583" hidden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6"/>
      <c r="O583" s="10"/>
      <c r="P583" s="10"/>
      <c r="Q583" s="10"/>
      <c r="R583" s="10"/>
      <c r="S583" s="17"/>
      <c r="T583" s="12"/>
      <c r="U583" s="10"/>
      <c r="V583" s="10"/>
      <c r="W583" s="10"/>
      <c r="X583" s="10"/>
      <c r="Y583" s="10"/>
    </row>
    <row r="584" hidden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6"/>
      <c r="O584" s="10"/>
      <c r="P584" s="10"/>
      <c r="Q584" s="10"/>
      <c r="R584" s="10"/>
      <c r="S584" s="17"/>
      <c r="T584" s="12"/>
      <c r="U584" s="10"/>
      <c r="V584" s="10"/>
      <c r="W584" s="10"/>
      <c r="X584" s="10"/>
      <c r="Y584" s="10"/>
    </row>
    <row r="585" hidden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6"/>
      <c r="O585" s="10"/>
      <c r="P585" s="10"/>
      <c r="Q585" s="10"/>
      <c r="R585" s="10"/>
      <c r="S585" s="17"/>
      <c r="T585" s="12"/>
      <c r="U585" s="10"/>
      <c r="V585" s="10"/>
      <c r="W585" s="10"/>
      <c r="X585" s="10"/>
      <c r="Y585" s="10"/>
    </row>
    <row r="586" hidden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6"/>
      <c r="O586" s="10"/>
      <c r="P586" s="10"/>
      <c r="Q586" s="10"/>
      <c r="R586" s="10"/>
      <c r="S586" s="17"/>
      <c r="T586" s="12"/>
      <c r="U586" s="10"/>
      <c r="V586" s="10"/>
      <c r="W586" s="10"/>
      <c r="X586" s="10"/>
      <c r="Y586" s="10"/>
    </row>
    <row r="587" hidden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6"/>
      <c r="O587" s="10"/>
      <c r="P587" s="10"/>
      <c r="Q587" s="10"/>
      <c r="R587" s="10"/>
      <c r="S587" s="17"/>
      <c r="T587" s="12"/>
      <c r="U587" s="10"/>
      <c r="V587" s="10"/>
      <c r="W587" s="10"/>
      <c r="X587" s="10"/>
      <c r="Y587" s="10"/>
    </row>
    <row r="588" hidden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6"/>
      <c r="O588" s="10"/>
      <c r="P588" s="10"/>
      <c r="Q588" s="10"/>
      <c r="R588" s="10"/>
      <c r="S588" s="17"/>
      <c r="T588" s="12"/>
      <c r="U588" s="10"/>
      <c r="V588" s="10"/>
      <c r="W588" s="10"/>
      <c r="X588" s="10"/>
      <c r="Y588" s="10"/>
    </row>
    <row r="589" hidden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6"/>
      <c r="O589" s="10"/>
      <c r="P589" s="10"/>
      <c r="Q589" s="10"/>
      <c r="R589" s="10"/>
      <c r="S589" s="17"/>
      <c r="T589" s="12"/>
      <c r="U589" s="10"/>
      <c r="V589" s="10"/>
      <c r="W589" s="10"/>
      <c r="X589" s="10"/>
      <c r="Y589" s="10"/>
    </row>
    <row r="590" hidden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6"/>
      <c r="O590" s="10"/>
      <c r="P590" s="10"/>
      <c r="Q590" s="10"/>
      <c r="R590" s="10"/>
      <c r="S590" s="17"/>
      <c r="T590" s="12"/>
      <c r="U590" s="10"/>
      <c r="V590" s="10"/>
      <c r="W590" s="10"/>
      <c r="X590" s="10"/>
      <c r="Y590" s="10"/>
    </row>
    <row r="591" hidden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6"/>
      <c r="O591" s="10"/>
      <c r="P591" s="10"/>
      <c r="Q591" s="10"/>
      <c r="R591" s="10"/>
      <c r="S591" s="17"/>
      <c r="T591" s="12"/>
      <c r="U591" s="10"/>
      <c r="V591" s="10"/>
      <c r="W591" s="10"/>
      <c r="X591" s="10"/>
      <c r="Y591" s="10"/>
    </row>
    <row r="592" hidden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6"/>
      <c r="O592" s="10"/>
      <c r="P592" s="10"/>
      <c r="Q592" s="10"/>
      <c r="R592" s="10"/>
      <c r="S592" s="17"/>
      <c r="T592" s="12"/>
      <c r="U592" s="10"/>
      <c r="V592" s="10"/>
      <c r="W592" s="10"/>
      <c r="X592" s="10"/>
      <c r="Y592" s="10"/>
    </row>
    <row r="593" hidden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6"/>
      <c r="O593" s="10"/>
      <c r="P593" s="10"/>
      <c r="Q593" s="10"/>
      <c r="R593" s="10"/>
      <c r="S593" s="17"/>
      <c r="T593" s="12"/>
      <c r="U593" s="10"/>
      <c r="V593" s="10"/>
      <c r="W593" s="10"/>
      <c r="X593" s="10"/>
      <c r="Y593" s="10"/>
    </row>
    <row r="594" hidden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6"/>
      <c r="O594" s="10"/>
      <c r="P594" s="10"/>
      <c r="Q594" s="10"/>
      <c r="R594" s="10"/>
      <c r="S594" s="17"/>
      <c r="T594" s="12"/>
      <c r="U594" s="10"/>
      <c r="V594" s="10"/>
      <c r="W594" s="10"/>
      <c r="X594" s="10"/>
      <c r="Y594" s="10"/>
    </row>
    <row r="595" hidden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6"/>
      <c r="O595" s="10"/>
      <c r="P595" s="10"/>
      <c r="Q595" s="10"/>
      <c r="R595" s="10"/>
      <c r="S595" s="17"/>
      <c r="T595" s="12"/>
      <c r="U595" s="10"/>
      <c r="V595" s="10"/>
      <c r="W595" s="10"/>
      <c r="X595" s="10"/>
      <c r="Y595" s="10"/>
    </row>
    <row r="596" hidden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6"/>
      <c r="O596" s="10"/>
      <c r="P596" s="10"/>
      <c r="Q596" s="10"/>
      <c r="R596" s="10"/>
      <c r="S596" s="17"/>
      <c r="T596" s="12"/>
      <c r="U596" s="10"/>
      <c r="V596" s="10"/>
      <c r="W596" s="10"/>
      <c r="X596" s="10"/>
      <c r="Y596" s="10"/>
    </row>
    <row r="597" hidden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6"/>
      <c r="O597" s="10"/>
      <c r="P597" s="10"/>
      <c r="Q597" s="10"/>
      <c r="R597" s="10"/>
      <c r="S597" s="17"/>
      <c r="T597" s="12"/>
      <c r="U597" s="10"/>
      <c r="V597" s="10"/>
      <c r="W597" s="10"/>
      <c r="X597" s="10"/>
      <c r="Y597" s="10"/>
    </row>
    <row r="598" hidden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6"/>
      <c r="O598" s="10"/>
      <c r="P598" s="10"/>
      <c r="Q598" s="10"/>
      <c r="R598" s="10"/>
      <c r="S598" s="17"/>
      <c r="T598" s="12"/>
      <c r="U598" s="10"/>
      <c r="V598" s="10"/>
      <c r="W598" s="10"/>
      <c r="X598" s="10"/>
      <c r="Y598" s="10"/>
    </row>
    <row r="599" hidden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6"/>
      <c r="O599" s="10"/>
      <c r="P599" s="10"/>
      <c r="Q599" s="10"/>
      <c r="R599" s="10"/>
      <c r="S599" s="17"/>
      <c r="T599" s="12"/>
      <c r="U599" s="10"/>
      <c r="V599" s="10"/>
      <c r="W599" s="10"/>
      <c r="X599" s="10"/>
      <c r="Y599" s="10"/>
    </row>
    <row r="600" hidden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6"/>
      <c r="O600" s="10"/>
      <c r="P600" s="10"/>
      <c r="Q600" s="10"/>
      <c r="R600" s="10"/>
      <c r="S600" s="17"/>
      <c r="T600" s="12"/>
      <c r="U600" s="10"/>
      <c r="V600" s="10"/>
      <c r="W600" s="10"/>
      <c r="X600" s="10"/>
      <c r="Y600" s="10"/>
    </row>
    <row r="601" hidden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6"/>
      <c r="O601" s="10"/>
      <c r="P601" s="10"/>
      <c r="Q601" s="10"/>
      <c r="R601" s="10"/>
      <c r="S601" s="17"/>
      <c r="T601" s="12"/>
      <c r="U601" s="10"/>
      <c r="V601" s="10"/>
      <c r="W601" s="10"/>
      <c r="X601" s="10"/>
      <c r="Y601" s="10"/>
    </row>
    <row r="602" hidden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6"/>
      <c r="O602" s="10"/>
      <c r="P602" s="10"/>
      <c r="Q602" s="10"/>
      <c r="R602" s="10"/>
      <c r="S602" s="17"/>
      <c r="T602" s="12"/>
      <c r="U602" s="10"/>
      <c r="V602" s="10"/>
      <c r="W602" s="10"/>
      <c r="X602" s="10"/>
      <c r="Y602" s="10"/>
    </row>
    <row r="603" hidden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6"/>
      <c r="O603" s="10"/>
      <c r="P603" s="10"/>
      <c r="Q603" s="10"/>
      <c r="R603" s="10"/>
      <c r="S603" s="17"/>
      <c r="T603" s="12"/>
      <c r="U603" s="10"/>
      <c r="V603" s="10"/>
      <c r="W603" s="10"/>
      <c r="X603" s="10"/>
      <c r="Y603" s="10"/>
    </row>
    <row r="604" hidden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6"/>
      <c r="O604" s="10"/>
      <c r="P604" s="10"/>
      <c r="Q604" s="10"/>
      <c r="R604" s="10"/>
      <c r="S604" s="17"/>
      <c r="T604" s="12"/>
      <c r="U604" s="10"/>
      <c r="V604" s="10"/>
      <c r="W604" s="10"/>
      <c r="X604" s="10"/>
      <c r="Y604" s="10"/>
    </row>
    <row r="605" hidden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6"/>
      <c r="O605" s="10"/>
      <c r="P605" s="10"/>
      <c r="Q605" s="10"/>
      <c r="R605" s="10"/>
      <c r="S605" s="17"/>
      <c r="T605" s="12"/>
      <c r="U605" s="10"/>
      <c r="V605" s="10"/>
      <c r="W605" s="10"/>
      <c r="X605" s="10"/>
      <c r="Y605" s="10"/>
    </row>
    <row r="606" hidden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6"/>
      <c r="O606" s="10"/>
      <c r="P606" s="10"/>
      <c r="Q606" s="10"/>
      <c r="R606" s="10"/>
      <c r="S606" s="17"/>
      <c r="T606" s="12"/>
      <c r="U606" s="10"/>
      <c r="V606" s="10"/>
      <c r="W606" s="10"/>
      <c r="X606" s="10"/>
      <c r="Y606" s="10"/>
    </row>
    <row r="607" hidden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6"/>
      <c r="O607" s="10"/>
      <c r="P607" s="10"/>
      <c r="Q607" s="10"/>
      <c r="R607" s="10"/>
      <c r="S607" s="17"/>
      <c r="T607" s="12"/>
      <c r="U607" s="10"/>
      <c r="V607" s="10"/>
      <c r="W607" s="10"/>
      <c r="X607" s="10"/>
      <c r="Y607" s="10"/>
    </row>
    <row r="608" hidden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6"/>
      <c r="O608" s="10"/>
      <c r="P608" s="10"/>
      <c r="Q608" s="10"/>
      <c r="R608" s="10"/>
      <c r="S608" s="17"/>
      <c r="T608" s="12"/>
      <c r="U608" s="10"/>
      <c r="V608" s="10"/>
      <c r="W608" s="10"/>
      <c r="X608" s="10"/>
      <c r="Y608" s="10"/>
    </row>
    <row r="609" hidden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6"/>
      <c r="O609" s="10"/>
      <c r="P609" s="10"/>
      <c r="Q609" s="10"/>
      <c r="R609" s="10"/>
      <c r="S609" s="17"/>
      <c r="T609" s="12"/>
      <c r="U609" s="10"/>
      <c r="V609" s="10"/>
      <c r="W609" s="10"/>
      <c r="X609" s="10"/>
      <c r="Y609" s="10"/>
    </row>
    <row r="610" hidden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6"/>
      <c r="O610" s="10"/>
      <c r="P610" s="10"/>
      <c r="Q610" s="10"/>
      <c r="R610" s="10"/>
      <c r="S610" s="17"/>
      <c r="T610" s="12"/>
      <c r="U610" s="10"/>
      <c r="V610" s="10"/>
      <c r="W610" s="10"/>
      <c r="X610" s="10"/>
      <c r="Y610" s="10"/>
    </row>
    <row r="611" hidden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6"/>
      <c r="O611" s="10"/>
      <c r="P611" s="10"/>
      <c r="Q611" s="10"/>
      <c r="R611" s="10"/>
      <c r="S611" s="17"/>
      <c r="T611" s="12"/>
      <c r="U611" s="10"/>
      <c r="V611" s="10"/>
      <c r="W611" s="10"/>
      <c r="X611" s="10"/>
      <c r="Y611" s="10"/>
    </row>
    <row r="612" hidden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6"/>
      <c r="O612" s="10"/>
      <c r="P612" s="10"/>
      <c r="Q612" s="10"/>
      <c r="R612" s="10"/>
      <c r="S612" s="17"/>
      <c r="T612" s="12"/>
      <c r="U612" s="10"/>
      <c r="V612" s="10"/>
      <c r="W612" s="10"/>
      <c r="X612" s="10"/>
      <c r="Y612" s="10"/>
    </row>
    <row r="613" hidden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6"/>
      <c r="O613" s="10"/>
      <c r="P613" s="10"/>
      <c r="Q613" s="10"/>
      <c r="R613" s="10"/>
      <c r="S613" s="17"/>
      <c r="T613" s="12"/>
      <c r="U613" s="10"/>
      <c r="V613" s="10"/>
      <c r="W613" s="10"/>
      <c r="X613" s="10"/>
      <c r="Y613" s="10"/>
    </row>
    <row r="614" hidden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6"/>
      <c r="O614" s="10"/>
      <c r="P614" s="10"/>
      <c r="Q614" s="10"/>
      <c r="R614" s="10"/>
      <c r="S614" s="17"/>
      <c r="T614" s="12"/>
      <c r="U614" s="10"/>
      <c r="V614" s="10"/>
      <c r="W614" s="10"/>
      <c r="X614" s="10"/>
      <c r="Y614" s="10"/>
    </row>
    <row r="615" hidden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6"/>
      <c r="O615" s="10"/>
      <c r="P615" s="10"/>
      <c r="Q615" s="10"/>
      <c r="R615" s="10"/>
      <c r="S615" s="17"/>
      <c r="T615" s="12"/>
      <c r="U615" s="10"/>
      <c r="V615" s="10"/>
      <c r="W615" s="10"/>
      <c r="X615" s="10"/>
      <c r="Y615" s="10"/>
    </row>
    <row r="616" hidden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6"/>
      <c r="O616" s="10"/>
      <c r="P616" s="10"/>
      <c r="Q616" s="10"/>
      <c r="R616" s="10"/>
      <c r="S616" s="17"/>
      <c r="T616" s="12"/>
      <c r="U616" s="10"/>
      <c r="V616" s="10"/>
      <c r="W616" s="10"/>
      <c r="X616" s="10"/>
      <c r="Y616" s="10"/>
    </row>
    <row r="617" hidden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6"/>
      <c r="O617" s="10"/>
      <c r="P617" s="10"/>
      <c r="Q617" s="10"/>
      <c r="R617" s="10"/>
      <c r="S617" s="17"/>
      <c r="T617" s="12"/>
      <c r="U617" s="10"/>
      <c r="V617" s="10"/>
      <c r="W617" s="10"/>
      <c r="X617" s="10"/>
      <c r="Y617" s="10"/>
    </row>
    <row r="618" hidden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6"/>
      <c r="O618" s="10"/>
      <c r="P618" s="10"/>
      <c r="Q618" s="10"/>
      <c r="R618" s="10"/>
      <c r="S618" s="17"/>
      <c r="T618" s="12"/>
      <c r="U618" s="10"/>
      <c r="V618" s="10"/>
      <c r="W618" s="10"/>
      <c r="X618" s="10"/>
      <c r="Y618" s="10"/>
    </row>
    <row r="619" hidden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6"/>
      <c r="O619" s="10"/>
      <c r="P619" s="10"/>
      <c r="Q619" s="10"/>
      <c r="R619" s="10"/>
      <c r="S619" s="17"/>
      <c r="T619" s="12"/>
      <c r="U619" s="10"/>
      <c r="V619" s="10"/>
      <c r="W619" s="10"/>
      <c r="X619" s="10"/>
      <c r="Y619" s="10"/>
    </row>
    <row r="620" hidden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6"/>
      <c r="O620" s="10"/>
      <c r="P620" s="10"/>
      <c r="Q620" s="10"/>
      <c r="R620" s="10"/>
      <c r="S620" s="17"/>
      <c r="T620" s="12"/>
      <c r="U620" s="10"/>
      <c r="V620" s="10"/>
      <c r="W620" s="10"/>
      <c r="X620" s="10"/>
      <c r="Y620" s="10"/>
    </row>
    <row r="621" hidden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6"/>
      <c r="O621" s="10"/>
      <c r="P621" s="10"/>
      <c r="Q621" s="10"/>
      <c r="R621" s="10"/>
      <c r="S621" s="17"/>
      <c r="T621" s="12"/>
      <c r="U621" s="10"/>
      <c r="V621" s="10"/>
      <c r="W621" s="10"/>
      <c r="X621" s="10"/>
      <c r="Y621" s="10"/>
    </row>
    <row r="622" hidden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6"/>
      <c r="O622" s="10"/>
      <c r="P622" s="10"/>
      <c r="Q622" s="10"/>
      <c r="R622" s="10"/>
      <c r="S622" s="17"/>
      <c r="T622" s="12"/>
      <c r="U622" s="10"/>
      <c r="V622" s="10"/>
      <c r="W622" s="10"/>
      <c r="X622" s="10"/>
      <c r="Y622" s="10"/>
    </row>
    <row r="623" hidden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6"/>
      <c r="O623" s="10"/>
      <c r="P623" s="10"/>
      <c r="Q623" s="10"/>
      <c r="R623" s="10"/>
      <c r="S623" s="17"/>
      <c r="T623" s="12"/>
      <c r="U623" s="10"/>
      <c r="V623" s="10"/>
      <c r="W623" s="10"/>
      <c r="X623" s="10"/>
      <c r="Y623" s="10"/>
    </row>
    <row r="624" hidden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6"/>
      <c r="O624" s="10"/>
      <c r="P624" s="10"/>
      <c r="Q624" s="10"/>
      <c r="R624" s="10"/>
      <c r="S624" s="17"/>
      <c r="T624" s="12"/>
      <c r="U624" s="10"/>
      <c r="V624" s="10"/>
      <c r="W624" s="10"/>
      <c r="X624" s="10"/>
      <c r="Y624" s="10"/>
    </row>
    <row r="625" hidden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6"/>
      <c r="O625" s="10"/>
      <c r="P625" s="10"/>
      <c r="Q625" s="10"/>
      <c r="R625" s="10"/>
      <c r="S625" s="17"/>
      <c r="T625" s="12"/>
      <c r="U625" s="10"/>
      <c r="V625" s="10"/>
      <c r="W625" s="10"/>
      <c r="X625" s="10"/>
      <c r="Y625" s="10"/>
    </row>
    <row r="626" hidden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6"/>
      <c r="O626" s="10"/>
      <c r="P626" s="10"/>
      <c r="Q626" s="10"/>
      <c r="R626" s="10"/>
      <c r="S626" s="17"/>
      <c r="T626" s="12"/>
      <c r="U626" s="10"/>
      <c r="V626" s="10"/>
      <c r="W626" s="10"/>
      <c r="X626" s="10"/>
      <c r="Y626" s="10"/>
    </row>
    <row r="627" hidden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6"/>
      <c r="O627" s="10"/>
      <c r="P627" s="10"/>
      <c r="Q627" s="10"/>
      <c r="R627" s="10"/>
      <c r="S627" s="17"/>
      <c r="T627" s="12"/>
      <c r="U627" s="10"/>
      <c r="V627" s="10"/>
      <c r="W627" s="10"/>
      <c r="X627" s="10"/>
      <c r="Y627" s="10"/>
    </row>
    <row r="628" hidden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6"/>
      <c r="O628" s="10"/>
      <c r="P628" s="10"/>
      <c r="Q628" s="10"/>
      <c r="R628" s="10"/>
      <c r="S628" s="17"/>
      <c r="T628" s="12"/>
      <c r="U628" s="10"/>
      <c r="V628" s="10"/>
      <c r="W628" s="10"/>
      <c r="X628" s="10"/>
      <c r="Y628" s="10"/>
    </row>
    <row r="629" hidden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6"/>
      <c r="O629" s="10"/>
      <c r="P629" s="10"/>
      <c r="Q629" s="10"/>
      <c r="R629" s="10"/>
      <c r="S629" s="17"/>
      <c r="T629" s="12"/>
      <c r="U629" s="10"/>
      <c r="V629" s="10"/>
      <c r="W629" s="10"/>
      <c r="X629" s="10"/>
      <c r="Y629" s="10"/>
    </row>
    <row r="630" hidden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6"/>
      <c r="O630" s="10"/>
      <c r="P630" s="10"/>
      <c r="Q630" s="10"/>
      <c r="R630" s="10"/>
      <c r="S630" s="17"/>
      <c r="T630" s="12"/>
      <c r="U630" s="10"/>
      <c r="V630" s="10"/>
      <c r="W630" s="10"/>
      <c r="X630" s="10"/>
      <c r="Y630" s="10"/>
    </row>
    <row r="631" hidden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6"/>
      <c r="O631" s="10"/>
      <c r="P631" s="10"/>
      <c r="Q631" s="10"/>
      <c r="R631" s="10"/>
      <c r="S631" s="17"/>
      <c r="T631" s="12"/>
      <c r="U631" s="10"/>
      <c r="V631" s="10"/>
      <c r="W631" s="10"/>
      <c r="X631" s="10"/>
      <c r="Y631" s="10"/>
    </row>
    <row r="632" hidden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6"/>
      <c r="O632" s="10"/>
      <c r="P632" s="10"/>
      <c r="Q632" s="10"/>
      <c r="R632" s="10"/>
      <c r="S632" s="17"/>
      <c r="T632" s="12"/>
      <c r="U632" s="10"/>
      <c r="V632" s="10"/>
      <c r="W632" s="10"/>
      <c r="X632" s="10"/>
      <c r="Y632" s="10"/>
    </row>
    <row r="633" hidden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6"/>
      <c r="O633" s="10"/>
      <c r="P633" s="10"/>
      <c r="Q633" s="10"/>
      <c r="R633" s="10"/>
      <c r="S633" s="17"/>
      <c r="T633" s="12"/>
      <c r="U633" s="10"/>
      <c r="V633" s="10"/>
      <c r="W633" s="10"/>
      <c r="X633" s="10"/>
      <c r="Y633" s="10"/>
    </row>
    <row r="634" hidden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6"/>
      <c r="O634" s="10"/>
      <c r="P634" s="10"/>
      <c r="Q634" s="10"/>
      <c r="R634" s="10"/>
      <c r="S634" s="17"/>
      <c r="T634" s="12"/>
      <c r="U634" s="10"/>
      <c r="V634" s="10"/>
      <c r="W634" s="10"/>
      <c r="X634" s="10"/>
      <c r="Y634" s="10"/>
    </row>
    <row r="635" hidden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6"/>
      <c r="O635" s="10"/>
      <c r="P635" s="10"/>
      <c r="Q635" s="10"/>
      <c r="R635" s="10"/>
      <c r="S635" s="17"/>
      <c r="T635" s="12"/>
      <c r="U635" s="10"/>
      <c r="V635" s="10"/>
      <c r="W635" s="10"/>
      <c r="X635" s="10"/>
      <c r="Y635" s="10"/>
    </row>
    <row r="636" hidden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6"/>
      <c r="O636" s="10"/>
      <c r="P636" s="10"/>
      <c r="Q636" s="10"/>
      <c r="R636" s="10"/>
      <c r="S636" s="17"/>
      <c r="T636" s="12"/>
      <c r="U636" s="10"/>
      <c r="V636" s="10"/>
      <c r="W636" s="10"/>
      <c r="X636" s="10"/>
      <c r="Y636" s="10"/>
    </row>
    <row r="637" hidden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6"/>
      <c r="O637" s="10"/>
      <c r="P637" s="10"/>
      <c r="Q637" s="10"/>
      <c r="R637" s="10"/>
      <c r="S637" s="17"/>
      <c r="T637" s="12"/>
      <c r="U637" s="10"/>
      <c r="V637" s="10"/>
      <c r="W637" s="10"/>
      <c r="X637" s="10"/>
      <c r="Y637" s="10"/>
    </row>
    <row r="638" hidden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6"/>
      <c r="O638" s="10"/>
      <c r="P638" s="10"/>
      <c r="Q638" s="10"/>
      <c r="R638" s="10"/>
      <c r="S638" s="17"/>
      <c r="T638" s="12"/>
      <c r="U638" s="10"/>
      <c r="V638" s="10"/>
      <c r="W638" s="10"/>
      <c r="X638" s="10"/>
      <c r="Y638" s="10"/>
    </row>
    <row r="639" hidden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6"/>
      <c r="O639" s="10"/>
      <c r="P639" s="10"/>
      <c r="Q639" s="10"/>
      <c r="R639" s="10"/>
      <c r="S639" s="17"/>
      <c r="T639" s="12"/>
      <c r="U639" s="10"/>
      <c r="V639" s="10"/>
      <c r="W639" s="10"/>
      <c r="X639" s="10"/>
      <c r="Y639" s="10"/>
    </row>
    <row r="640" hidden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6"/>
      <c r="O640" s="10"/>
      <c r="P640" s="10"/>
      <c r="Q640" s="10"/>
      <c r="R640" s="10"/>
      <c r="S640" s="17"/>
      <c r="T640" s="12"/>
      <c r="U640" s="10"/>
      <c r="V640" s="10"/>
      <c r="W640" s="10"/>
      <c r="X640" s="10"/>
      <c r="Y640" s="10"/>
    </row>
    <row r="641" hidden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6"/>
      <c r="O641" s="10"/>
      <c r="P641" s="10"/>
      <c r="Q641" s="10"/>
      <c r="R641" s="10"/>
      <c r="S641" s="17"/>
      <c r="T641" s="12"/>
      <c r="U641" s="10"/>
      <c r="V641" s="10"/>
      <c r="W641" s="10"/>
      <c r="X641" s="10"/>
      <c r="Y641" s="10"/>
    </row>
    <row r="642" hidden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6"/>
      <c r="O642" s="10"/>
      <c r="P642" s="10"/>
      <c r="Q642" s="10"/>
      <c r="R642" s="10"/>
      <c r="S642" s="17"/>
      <c r="T642" s="12"/>
      <c r="U642" s="10"/>
      <c r="V642" s="10"/>
      <c r="W642" s="10"/>
      <c r="X642" s="10"/>
      <c r="Y642" s="10"/>
    </row>
    <row r="643" hidden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6"/>
      <c r="O643" s="10"/>
      <c r="P643" s="10"/>
      <c r="Q643" s="10"/>
      <c r="R643" s="10"/>
      <c r="S643" s="17"/>
      <c r="T643" s="12"/>
      <c r="U643" s="10"/>
      <c r="V643" s="10"/>
      <c r="W643" s="10"/>
      <c r="X643" s="10"/>
      <c r="Y643" s="10"/>
    </row>
    <row r="644" hidden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6"/>
      <c r="O644" s="10"/>
      <c r="P644" s="10"/>
      <c r="Q644" s="10"/>
      <c r="R644" s="10"/>
      <c r="S644" s="17"/>
      <c r="T644" s="12"/>
      <c r="U644" s="10"/>
      <c r="V644" s="10"/>
      <c r="W644" s="10"/>
      <c r="X644" s="10"/>
      <c r="Y644" s="10"/>
    </row>
    <row r="645" hidden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6"/>
      <c r="O645" s="10"/>
      <c r="P645" s="10"/>
      <c r="Q645" s="10"/>
      <c r="R645" s="10"/>
      <c r="S645" s="17"/>
      <c r="T645" s="12"/>
      <c r="U645" s="10"/>
      <c r="V645" s="10"/>
      <c r="W645" s="10"/>
      <c r="X645" s="10"/>
      <c r="Y645" s="10"/>
    </row>
    <row r="646" hidden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6"/>
      <c r="O646" s="10"/>
      <c r="P646" s="10"/>
      <c r="Q646" s="10"/>
      <c r="R646" s="10"/>
      <c r="S646" s="17"/>
      <c r="T646" s="12"/>
      <c r="U646" s="10"/>
      <c r="V646" s="10"/>
      <c r="W646" s="10"/>
      <c r="X646" s="10"/>
      <c r="Y646" s="10"/>
    </row>
    <row r="647" hidden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6"/>
      <c r="O647" s="10"/>
      <c r="P647" s="10"/>
      <c r="Q647" s="10"/>
      <c r="R647" s="10"/>
      <c r="S647" s="17"/>
      <c r="T647" s="12"/>
      <c r="U647" s="10"/>
      <c r="V647" s="10"/>
      <c r="W647" s="10"/>
      <c r="X647" s="10"/>
      <c r="Y647" s="10"/>
    </row>
    <row r="648" hidden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6"/>
      <c r="O648" s="10"/>
      <c r="P648" s="10"/>
      <c r="Q648" s="10"/>
      <c r="R648" s="10"/>
      <c r="S648" s="17"/>
      <c r="T648" s="12"/>
      <c r="U648" s="10"/>
      <c r="V648" s="10"/>
      <c r="W648" s="10"/>
      <c r="X648" s="10"/>
      <c r="Y648" s="10"/>
    </row>
    <row r="649" hidden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6"/>
      <c r="O649" s="10"/>
      <c r="P649" s="10"/>
      <c r="Q649" s="10"/>
      <c r="R649" s="10"/>
      <c r="S649" s="17"/>
      <c r="T649" s="12"/>
      <c r="U649" s="10"/>
      <c r="V649" s="10"/>
      <c r="W649" s="10"/>
      <c r="X649" s="10"/>
      <c r="Y649" s="10"/>
    </row>
    <row r="650" hidden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6"/>
      <c r="O650" s="10"/>
      <c r="P650" s="10"/>
      <c r="Q650" s="10"/>
      <c r="R650" s="10"/>
      <c r="S650" s="17"/>
      <c r="T650" s="12"/>
      <c r="U650" s="10"/>
      <c r="V650" s="10"/>
      <c r="W650" s="10"/>
      <c r="X650" s="10"/>
      <c r="Y650" s="10"/>
    </row>
    <row r="651" hidden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6"/>
      <c r="O651" s="10"/>
      <c r="P651" s="10"/>
      <c r="Q651" s="10"/>
      <c r="R651" s="10"/>
      <c r="S651" s="17"/>
      <c r="T651" s="12"/>
      <c r="U651" s="10"/>
      <c r="V651" s="10"/>
      <c r="W651" s="10"/>
      <c r="X651" s="10"/>
      <c r="Y651" s="10"/>
    </row>
    <row r="652" hidden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6"/>
      <c r="O652" s="10"/>
      <c r="P652" s="10"/>
      <c r="Q652" s="10"/>
      <c r="R652" s="10"/>
      <c r="S652" s="17"/>
      <c r="T652" s="12"/>
      <c r="U652" s="10"/>
      <c r="V652" s="10"/>
      <c r="W652" s="10"/>
      <c r="X652" s="10"/>
      <c r="Y652" s="10"/>
    </row>
    <row r="653" hidden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6"/>
      <c r="O653" s="10"/>
      <c r="P653" s="10"/>
      <c r="Q653" s="10"/>
      <c r="R653" s="10"/>
      <c r="S653" s="17"/>
      <c r="T653" s="12"/>
      <c r="U653" s="10"/>
      <c r="V653" s="10"/>
      <c r="W653" s="10"/>
      <c r="X653" s="10"/>
      <c r="Y653" s="10"/>
    </row>
    <row r="654" hidden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6"/>
      <c r="O654" s="10"/>
      <c r="P654" s="10"/>
      <c r="Q654" s="10"/>
      <c r="R654" s="10"/>
      <c r="S654" s="17"/>
      <c r="T654" s="12"/>
      <c r="U654" s="10"/>
      <c r="V654" s="10"/>
      <c r="W654" s="10"/>
      <c r="X654" s="10"/>
      <c r="Y654" s="10"/>
    </row>
    <row r="655" hidden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6"/>
      <c r="O655" s="10"/>
      <c r="P655" s="10"/>
      <c r="Q655" s="10"/>
      <c r="R655" s="10"/>
      <c r="S655" s="17"/>
      <c r="T655" s="12"/>
      <c r="U655" s="10"/>
      <c r="V655" s="10"/>
      <c r="W655" s="10"/>
      <c r="X655" s="10"/>
      <c r="Y655" s="10"/>
    </row>
    <row r="656" hidden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6"/>
      <c r="O656" s="10"/>
      <c r="P656" s="10"/>
      <c r="Q656" s="10"/>
      <c r="R656" s="10"/>
      <c r="S656" s="17"/>
      <c r="T656" s="12"/>
      <c r="U656" s="10"/>
      <c r="V656" s="10"/>
      <c r="W656" s="10"/>
      <c r="X656" s="10"/>
      <c r="Y656" s="10"/>
    </row>
    <row r="657" hidden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6"/>
      <c r="O657" s="10"/>
      <c r="P657" s="10"/>
      <c r="Q657" s="10"/>
      <c r="R657" s="10"/>
      <c r="S657" s="17"/>
      <c r="T657" s="12"/>
      <c r="U657" s="10"/>
      <c r="V657" s="10"/>
      <c r="W657" s="10"/>
      <c r="X657" s="10"/>
      <c r="Y657" s="10"/>
    </row>
    <row r="658" hidden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6"/>
      <c r="O658" s="10"/>
      <c r="P658" s="10"/>
      <c r="Q658" s="10"/>
      <c r="R658" s="10"/>
      <c r="S658" s="17"/>
      <c r="T658" s="12"/>
      <c r="U658" s="10"/>
      <c r="V658" s="10"/>
      <c r="W658" s="10"/>
      <c r="X658" s="10"/>
      <c r="Y658" s="10"/>
    </row>
    <row r="659" hidden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6"/>
      <c r="O659" s="10"/>
      <c r="P659" s="10"/>
      <c r="Q659" s="10"/>
      <c r="R659" s="10"/>
      <c r="S659" s="17"/>
      <c r="T659" s="12"/>
      <c r="U659" s="10"/>
      <c r="V659" s="10"/>
      <c r="W659" s="10"/>
      <c r="X659" s="10"/>
      <c r="Y659" s="10"/>
    </row>
    <row r="660" hidden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6"/>
      <c r="O660" s="10"/>
      <c r="P660" s="10"/>
      <c r="Q660" s="10"/>
      <c r="R660" s="10"/>
      <c r="S660" s="17"/>
      <c r="T660" s="12"/>
      <c r="U660" s="10"/>
      <c r="V660" s="10"/>
      <c r="W660" s="10"/>
      <c r="X660" s="10"/>
      <c r="Y660" s="10"/>
    </row>
    <row r="661" hidden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6"/>
      <c r="O661" s="10"/>
      <c r="P661" s="10"/>
      <c r="Q661" s="10"/>
      <c r="R661" s="10"/>
      <c r="S661" s="17"/>
      <c r="T661" s="12"/>
      <c r="U661" s="10"/>
      <c r="V661" s="10"/>
      <c r="W661" s="10"/>
      <c r="X661" s="10"/>
      <c r="Y661" s="10"/>
    </row>
    <row r="662" hidden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6"/>
      <c r="O662" s="10"/>
      <c r="P662" s="10"/>
      <c r="Q662" s="10"/>
      <c r="R662" s="10"/>
      <c r="S662" s="17"/>
      <c r="T662" s="12"/>
      <c r="U662" s="10"/>
      <c r="V662" s="10"/>
      <c r="W662" s="10"/>
      <c r="X662" s="10"/>
      <c r="Y662" s="10"/>
    </row>
    <row r="663" hidden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6"/>
      <c r="O663" s="10"/>
      <c r="P663" s="10"/>
      <c r="Q663" s="10"/>
      <c r="R663" s="10"/>
      <c r="S663" s="17"/>
      <c r="T663" s="12"/>
      <c r="U663" s="10"/>
      <c r="V663" s="10"/>
      <c r="W663" s="10"/>
      <c r="X663" s="10"/>
      <c r="Y663" s="10"/>
    </row>
    <row r="664" hidden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6"/>
      <c r="O664" s="10"/>
      <c r="P664" s="10"/>
      <c r="Q664" s="10"/>
      <c r="R664" s="10"/>
      <c r="S664" s="17"/>
      <c r="T664" s="12"/>
      <c r="U664" s="10"/>
      <c r="V664" s="10"/>
      <c r="W664" s="10"/>
      <c r="X664" s="10"/>
      <c r="Y664" s="10"/>
    </row>
    <row r="665" hidden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6"/>
      <c r="O665" s="10"/>
      <c r="P665" s="10"/>
      <c r="Q665" s="10"/>
      <c r="R665" s="10"/>
      <c r="S665" s="17"/>
      <c r="T665" s="12"/>
      <c r="U665" s="10"/>
      <c r="V665" s="10"/>
      <c r="W665" s="10"/>
      <c r="X665" s="10"/>
      <c r="Y665" s="10"/>
    </row>
    <row r="666" hidden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6"/>
      <c r="O666" s="10"/>
      <c r="P666" s="10"/>
      <c r="Q666" s="10"/>
      <c r="R666" s="10"/>
      <c r="S666" s="17"/>
      <c r="T666" s="12"/>
      <c r="U666" s="10"/>
      <c r="V666" s="10"/>
      <c r="W666" s="10"/>
      <c r="X666" s="10"/>
      <c r="Y666" s="10"/>
    </row>
    <row r="667" hidden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6"/>
      <c r="O667" s="10"/>
      <c r="P667" s="10"/>
      <c r="Q667" s="10"/>
      <c r="R667" s="10"/>
      <c r="S667" s="17"/>
      <c r="T667" s="12"/>
      <c r="U667" s="10"/>
      <c r="V667" s="10"/>
      <c r="W667" s="10"/>
      <c r="X667" s="10"/>
      <c r="Y667" s="10"/>
    </row>
    <row r="668" hidden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6"/>
      <c r="O668" s="10"/>
      <c r="P668" s="10"/>
      <c r="Q668" s="10"/>
      <c r="R668" s="10"/>
      <c r="S668" s="17"/>
      <c r="T668" s="12"/>
      <c r="U668" s="10"/>
      <c r="V668" s="10"/>
      <c r="W668" s="10"/>
      <c r="X668" s="10"/>
      <c r="Y668" s="10"/>
    </row>
    <row r="669" hidden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6"/>
      <c r="O669" s="10"/>
      <c r="P669" s="10"/>
      <c r="Q669" s="10"/>
      <c r="R669" s="10"/>
      <c r="S669" s="17"/>
      <c r="T669" s="12"/>
      <c r="U669" s="10"/>
      <c r="V669" s="10"/>
      <c r="W669" s="10"/>
      <c r="X669" s="10"/>
      <c r="Y669" s="10"/>
    </row>
    <row r="670" hidden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6"/>
      <c r="O670" s="10"/>
      <c r="P670" s="10"/>
      <c r="Q670" s="10"/>
      <c r="R670" s="10"/>
      <c r="S670" s="17"/>
      <c r="T670" s="12"/>
      <c r="U670" s="10"/>
      <c r="V670" s="10"/>
      <c r="W670" s="10"/>
      <c r="X670" s="10"/>
      <c r="Y670" s="10"/>
    </row>
    <row r="671" hidden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6"/>
      <c r="O671" s="10"/>
      <c r="P671" s="10"/>
      <c r="Q671" s="10"/>
      <c r="R671" s="10"/>
      <c r="S671" s="17"/>
      <c r="T671" s="12"/>
      <c r="U671" s="10"/>
      <c r="V671" s="10"/>
      <c r="W671" s="10"/>
      <c r="X671" s="10"/>
      <c r="Y671" s="10"/>
    </row>
    <row r="672" hidden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6"/>
      <c r="O672" s="10"/>
      <c r="P672" s="10"/>
      <c r="Q672" s="10"/>
      <c r="R672" s="10"/>
      <c r="S672" s="17"/>
      <c r="T672" s="12"/>
      <c r="U672" s="10"/>
      <c r="V672" s="10"/>
      <c r="W672" s="10"/>
      <c r="X672" s="10"/>
      <c r="Y672" s="10"/>
    </row>
    <row r="673" hidden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6"/>
      <c r="O673" s="10"/>
      <c r="P673" s="10"/>
      <c r="Q673" s="10"/>
      <c r="R673" s="10"/>
      <c r="S673" s="17"/>
      <c r="T673" s="12"/>
      <c r="U673" s="10"/>
      <c r="V673" s="10"/>
      <c r="W673" s="10"/>
      <c r="X673" s="10"/>
      <c r="Y673" s="10"/>
    </row>
    <row r="674" hidden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6"/>
      <c r="O674" s="10"/>
      <c r="P674" s="10"/>
      <c r="Q674" s="10"/>
      <c r="R674" s="10"/>
      <c r="S674" s="17"/>
      <c r="T674" s="12"/>
      <c r="U674" s="10"/>
      <c r="V674" s="10"/>
      <c r="W674" s="10"/>
      <c r="X674" s="10"/>
      <c r="Y674" s="10"/>
    </row>
    <row r="675" hidden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6"/>
      <c r="O675" s="10"/>
      <c r="P675" s="10"/>
      <c r="Q675" s="10"/>
      <c r="R675" s="10"/>
      <c r="S675" s="17"/>
      <c r="T675" s="12"/>
      <c r="U675" s="10"/>
      <c r="V675" s="10"/>
      <c r="W675" s="10"/>
      <c r="X675" s="10"/>
      <c r="Y675" s="10"/>
    </row>
    <row r="676" hidden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6"/>
      <c r="O676" s="10"/>
      <c r="P676" s="10"/>
      <c r="Q676" s="10"/>
      <c r="R676" s="10"/>
      <c r="S676" s="17"/>
      <c r="T676" s="12"/>
      <c r="U676" s="10"/>
      <c r="V676" s="10"/>
      <c r="W676" s="10"/>
      <c r="X676" s="10"/>
      <c r="Y676" s="10"/>
    </row>
    <row r="677" hidden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6"/>
      <c r="O677" s="10"/>
      <c r="P677" s="10"/>
      <c r="Q677" s="10"/>
      <c r="R677" s="10"/>
      <c r="S677" s="17"/>
      <c r="T677" s="12"/>
      <c r="U677" s="10"/>
      <c r="V677" s="10"/>
      <c r="W677" s="10"/>
      <c r="X677" s="10"/>
      <c r="Y677" s="10"/>
    </row>
    <row r="678" hidden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6"/>
      <c r="O678" s="10"/>
      <c r="P678" s="10"/>
      <c r="Q678" s="10"/>
      <c r="R678" s="10"/>
      <c r="S678" s="17"/>
      <c r="T678" s="12"/>
      <c r="U678" s="10"/>
      <c r="V678" s="10"/>
      <c r="W678" s="10"/>
      <c r="X678" s="10"/>
      <c r="Y678" s="10"/>
    </row>
    <row r="679" hidden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6"/>
      <c r="O679" s="10"/>
      <c r="P679" s="10"/>
      <c r="Q679" s="10"/>
      <c r="R679" s="10"/>
      <c r="S679" s="17"/>
      <c r="T679" s="12"/>
      <c r="U679" s="10"/>
      <c r="V679" s="10"/>
      <c r="W679" s="10"/>
      <c r="X679" s="10"/>
      <c r="Y679" s="10"/>
    </row>
    <row r="680" hidden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6"/>
      <c r="O680" s="10"/>
      <c r="P680" s="10"/>
      <c r="Q680" s="10"/>
      <c r="R680" s="10"/>
      <c r="S680" s="17"/>
      <c r="T680" s="12"/>
      <c r="U680" s="10"/>
      <c r="V680" s="10"/>
      <c r="W680" s="10"/>
      <c r="X680" s="10"/>
      <c r="Y680" s="10"/>
    </row>
    <row r="681" hidden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6"/>
      <c r="O681" s="10"/>
      <c r="P681" s="10"/>
      <c r="Q681" s="10"/>
      <c r="R681" s="10"/>
      <c r="S681" s="17"/>
      <c r="T681" s="12"/>
      <c r="U681" s="10"/>
      <c r="V681" s="10"/>
      <c r="W681" s="10"/>
      <c r="X681" s="10"/>
      <c r="Y681" s="10"/>
    </row>
    <row r="682" hidden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6"/>
      <c r="O682" s="10"/>
      <c r="P682" s="10"/>
      <c r="Q682" s="10"/>
      <c r="R682" s="10"/>
      <c r="S682" s="17"/>
      <c r="T682" s="12"/>
      <c r="U682" s="10"/>
      <c r="V682" s="10"/>
      <c r="W682" s="10"/>
      <c r="X682" s="10"/>
      <c r="Y682" s="10"/>
    </row>
    <row r="683" hidden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6"/>
      <c r="O683" s="10"/>
      <c r="P683" s="10"/>
      <c r="Q683" s="10"/>
      <c r="R683" s="10"/>
      <c r="S683" s="17"/>
      <c r="T683" s="12"/>
      <c r="U683" s="10"/>
      <c r="V683" s="10"/>
      <c r="W683" s="10"/>
      <c r="X683" s="10"/>
      <c r="Y683" s="10"/>
    </row>
    <row r="684" hidden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6"/>
      <c r="O684" s="10"/>
      <c r="P684" s="10"/>
      <c r="Q684" s="10"/>
      <c r="R684" s="10"/>
      <c r="S684" s="17"/>
      <c r="T684" s="12"/>
      <c r="U684" s="10"/>
      <c r="V684" s="10"/>
      <c r="W684" s="10"/>
      <c r="X684" s="10"/>
      <c r="Y684" s="10"/>
    </row>
    <row r="685" hidden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6"/>
      <c r="O685" s="10"/>
      <c r="P685" s="10"/>
      <c r="Q685" s="10"/>
      <c r="R685" s="10"/>
      <c r="S685" s="17"/>
      <c r="T685" s="12"/>
      <c r="U685" s="10"/>
      <c r="V685" s="10"/>
      <c r="W685" s="10"/>
      <c r="X685" s="10"/>
      <c r="Y685" s="10"/>
    </row>
    <row r="686" hidden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6"/>
      <c r="O686" s="10"/>
      <c r="P686" s="10"/>
      <c r="Q686" s="10"/>
      <c r="R686" s="10"/>
      <c r="S686" s="17"/>
      <c r="T686" s="12"/>
      <c r="U686" s="10"/>
      <c r="V686" s="10"/>
      <c r="W686" s="10"/>
      <c r="X686" s="10"/>
      <c r="Y686" s="10"/>
    </row>
    <row r="687" hidden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6"/>
      <c r="O687" s="10"/>
      <c r="P687" s="10"/>
      <c r="Q687" s="10"/>
      <c r="R687" s="10"/>
      <c r="S687" s="17"/>
      <c r="T687" s="12"/>
      <c r="U687" s="10"/>
      <c r="V687" s="10"/>
      <c r="W687" s="10"/>
      <c r="X687" s="10"/>
      <c r="Y687" s="10"/>
    </row>
    <row r="688" hidden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6"/>
      <c r="O688" s="10"/>
      <c r="P688" s="10"/>
      <c r="Q688" s="10"/>
      <c r="R688" s="10"/>
      <c r="S688" s="17"/>
      <c r="T688" s="12"/>
      <c r="U688" s="10"/>
      <c r="V688" s="10"/>
      <c r="W688" s="10"/>
      <c r="X688" s="10"/>
      <c r="Y688" s="10"/>
    </row>
    <row r="689" hidden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6"/>
      <c r="O689" s="10"/>
      <c r="P689" s="10"/>
      <c r="Q689" s="10"/>
      <c r="R689" s="10"/>
      <c r="S689" s="17"/>
      <c r="T689" s="12"/>
      <c r="U689" s="10"/>
      <c r="V689" s="10"/>
      <c r="W689" s="10"/>
      <c r="X689" s="10"/>
      <c r="Y689" s="10"/>
    </row>
    <row r="690" hidden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6"/>
      <c r="O690" s="10"/>
      <c r="P690" s="10"/>
      <c r="Q690" s="10"/>
      <c r="R690" s="10"/>
      <c r="S690" s="17"/>
      <c r="T690" s="12"/>
      <c r="U690" s="10"/>
      <c r="V690" s="10"/>
      <c r="W690" s="10"/>
      <c r="X690" s="10"/>
      <c r="Y690" s="10"/>
    </row>
    <row r="691" hidden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6"/>
      <c r="O691" s="10"/>
      <c r="P691" s="10"/>
      <c r="Q691" s="10"/>
      <c r="R691" s="10"/>
      <c r="S691" s="17"/>
      <c r="T691" s="12"/>
      <c r="U691" s="10"/>
      <c r="V691" s="10"/>
      <c r="W691" s="10"/>
      <c r="X691" s="10"/>
      <c r="Y691" s="10"/>
    </row>
    <row r="692" hidden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6"/>
      <c r="O692" s="10"/>
      <c r="P692" s="10"/>
      <c r="Q692" s="10"/>
      <c r="R692" s="10"/>
      <c r="S692" s="17"/>
      <c r="T692" s="12"/>
      <c r="U692" s="10"/>
      <c r="V692" s="10"/>
      <c r="W692" s="10"/>
      <c r="X692" s="10"/>
      <c r="Y692" s="10"/>
    </row>
    <row r="693" hidden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6"/>
      <c r="O693" s="10"/>
      <c r="P693" s="10"/>
      <c r="Q693" s="10"/>
      <c r="R693" s="10"/>
      <c r="S693" s="17"/>
      <c r="T693" s="12"/>
      <c r="U693" s="10"/>
      <c r="V693" s="10"/>
      <c r="W693" s="10"/>
      <c r="X693" s="10"/>
      <c r="Y693" s="10"/>
    </row>
    <row r="694" hidden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6"/>
      <c r="O694" s="10"/>
      <c r="P694" s="10"/>
      <c r="Q694" s="10"/>
      <c r="R694" s="10"/>
      <c r="S694" s="17"/>
      <c r="T694" s="12"/>
      <c r="U694" s="10"/>
      <c r="V694" s="10"/>
      <c r="W694" s="10"/>
      <c r="X694" s="10"/>
      <c r="Y694" s="10"/>
    </row>
    <row r="695" hidden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6"/>
      <c r="O695" s="10"/>
      <c r="P695" s="10"/>
      <c r="Q695" s="10"/>
      <c r="R695" s="10"/>
      <c r="S695" s="17"/>
      <c r="T695" s="12"/>
      <c r="U695" s="10"/>
      <c r="V695" s="10"/>
      <c r="W695" s="10"/>
      <c r="X695" s="10"/>
      <c r="Y695" s="10"/>
    </row>
    <row r="696" hidden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6"/>
      <c r="O696" s="10"/>
      <c r="P696" s="10"/>
      <c r="Q696" s="10"/>
      <c r="R696" s="10"/>
      <c r="S696" s="17"/>
      <c r="T696" s="12"/>
      <c r="U696" s="10"/>
      <c r="V696" s="10"/>
      <c r="W696" s="10"/>
      <c r="X696" s="10"/>
      <c r="Y696" s="10"/>
    </row>
    <row r="697" hidden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6"/>
      <c r="O697" s="10"/>
      <c r="P697" s="10"/>
      <c r="Q697" s="10"/>
      <c r="R697" s="10"/>
      <c r="S697" s="17"/>
      <c r="T697" s="12"/>
      <c r="U697" s="10"/>
      <c r="V697" s="10"/>
      <c r="W697" s="10"/>
      <c r="X697" s="10"/>
      <c r="Y697" s="10"/>
    </row>
    <row r="698" hidden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6"/>
      <c r="O698" s="10"/>
      <c r="P698" s="10"/>
      <c r="Q698" s="10"/>
      <c r="R698" s="10"/>
      <c r="S698" s="17"/>
      <c r="T698" s="12"/>
      <c r="U698" s="10"/>
      <c r="V698" s="10"/>
      <c r="W698" s="10"/>
      <c r="X698" s="10"/>
      <c r="Y698" s="10"/>
    </row>
    <row r="699" hidden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6"/>
      <c r="O699" s="10"/>
      <c r="P699" s="10"/>
      <c r="Q699" s="10"/>
      <c r="R699" s="10"/>
      <c r="S699" s="17"/>
      <c r="T699" s="12"/>
      <c r="U699" s="10"/>
      <c r="V699" s="10"/>
      <c r="W699" s="10"/>
      <c r="X699" s="10"/>
      <c r="Y699" s="10"/>
    </row>
    <row r="700" hidden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6"/>
      <c r="O700" s="10"/>
      <c r="P700" s="10"/>
      <c r="Q700" s="10"/>
      <c r="R700" s="10"/>
      <c r="S700" s="17"/>
      <c r="T700" s="12"/>
      <c r="U700" s="10"/>
      <c r="V700" s="10"/>
      <c r="W700" s="10"/>
      <c r="X700" s="10"/>
      <c r="Y700" s="10"/>
    </row>
    <row r="701" hidden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6"/>
      <c r="O701" s="10"/>
      <c r="P701" s="10"/>
      <c r="Q701" s="10"/>
      <c r="R701" s="10"/>
      <c r="S701" s="17"/>
      <c r="T701" s="12"/>
      <c r="U701" s="10"/>
      <c r="V701" s="10"/>
      <c r="W701" s="10"/>
      <c r="X701" s="10"/>
      <c r="Y701" s="10"/>
    </row>
    <row r="702" hidden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6"/>
      <c r="O702" s="10"/>
      <c r="P702" s="10"/>
      <c r="Q702" s="10"/>
      <c r="R702" s="10"/>
      <c r="S702" s="17"/>
      <c r="T702" s="12"/>
      <c r="U702" s="10"/>
      <c r="V702" s="10"/>
      <c r="W702" s="10"/>
      <c r="X702" s="10"/>
      <c r="Y702" s="10"/>
    </row>
    <row r="703" hidden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6"/>
      <c r="O703" s="10"/>
      <c r="P703" s="10"/>
      <c r="Q703" s="10"/>
      <c r="R703" s="10"/>
      <c r="S703" s="17"/>
      <c r="T703" s="12"/>
      <c r="U703" s="10"/>
      <c r="V703" s="10"/>
      <c r="W703" s="10"/>
      <c r="X703" s="10"/>
      <c r="Y703" s="10"/>
    </row>
    <row r="704" hidden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6"/>
      <c r="O704" s="10"/>
      <c r="P704" s="10"/>
      <c r="Q704" s="10"/>
      <c r="R704" s="10"/>
      <c r="S704" s="17"/>
      <c r="T704" s="12"/>
      <c r="U704" s="10"/>
      <c r="V704" s="10"/>
      <c r="W704" s="10"/>
      <c r="X704" s="10"/>
      <c r="Y704" s="10"/>
    </row>
    <row r="705" hidden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6"/>
      <c r="O705" s="10"/>
      <c r="P705" s="10"/>
      <c r="Q705" s="10"/>
      <c r="R705" s="10"/>
      <c r="S705" s="17"/>
      <c r="T705" s="12"/>
      <c r="U705" s="10"/>
      <c r="V705" s="10"/>
      <c r="W705" s="10"/>
      <c r="X705" s="10"/>
      <c r="Y705" s="10"/>
    </row>
    <row r="706" hidden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6"/>
      <c r="O706" s="10"/>
      <c r="P706" s="10"/>
      <c r="Q706" s="10"/>
      <c r="R706" s="10"/>
      <c r="S706" s="17"/>
      <c r="T706" s="12"/>
      <c r="U706" s="10"/>
      <c r="V706" s="10"/>
      <c r="W706" s="10"/>
      <c r="X706" s="10"/>
      <c r="Y706" s="10"/>
    </row>
    <row r="707" hidden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6"/>
      <c r="O707" s="10"/>
      <c r="P707" s="10"/>
      <c r="Q707" s="10"/>
      <c r="R707" s="10"/>
      <c r="S707" s="17"/>
      <c r="T707" s="12"/>
      <c r="U707" s="10"/>
      <c r="V707" s="10"/>
      <c r="W707" s="10"/>
      <c r="X707" s="10"/>
      <c r="Y707" s="10"/>
    </row>
    <row r="708" hidden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6"/>
      <c r="O708" s="10"/>
      <c r="P708" s="10"/>
      <c r="Q708" s="10"/>
      <c r="R708" s="10"/>
      <c r="S708" s="17"/>
      <c r="T708" s="12"/>
      <c r="U708" s="10"/>
      <c r="V708" s="10"/>
      <c r="W708" s="10"/>
      <c r="X708" s="10"/>
      <c r="Y708" s="10"/>
    </row>
    <row r="709" hidden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6"/>
      <c r="O709" s="10"/>
      <c r="P709" s="10"/>
      <c r="Q709" s="10"/>
      <c r="R709" s="10"/>
      <c r="S709" s="17"/>
      <c r="T709" s="12"/>
      <c r="U709" s="10"/>
      <c r="V709" s="10"/>
      <c r="W709" s="10"/>
      <c r="X709" s="10"/>
      <c r="Y709" s="10"/>
    </row>
    <row r="710" hidden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6"/>
      <c r="O710" s="10"/>
      <c r="P710" s="10"/>
      <c r="Q710" s="10"/>
      <c r="R710" s="10"/>
      <c r="S710" s="17"/>
      <c r="T710" s="12"/>
      <c r="U710" s="10"/>
      <c r="V710" s="10"/>
      <c r="W710" s="10"/>
      <c r="X710" s="10"/>
      <c r="Y710" s="10"/>
    </row>
    <row r="711" hidden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6"/>
      <c r="O711" s="10"/>
      <c r="P711" s="10"/>
      <c r="Q711" s="10"/>
      <c r="R711" s="10"/>
      <c r="S711" s="17"/>
      <c r="T711" s="12"/>
      <c r="U711" s="10"/>
      <c r="V711" s="10"/>
      <c r="W711" s="10"/>
      <c r="X711" s="10"/>
      <c r="Y711" s="10"/>
    </row>
    <row r="712" hidden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6"/>
      <c r="O712" s="10"/>
      <c r="P712" s="10"/>
      <c r="Q712" s="10"/>
      <c r="R712" s="10"/>
      <c r="S712" s="17"/>
      <c r="T712" s="12"/>
      <c r="U712" s="10"/>
      <c r="V712" s="10"/>
      <c r="W712" s="10"/>
      <c r="X712" s="10"/>
      <c r="Y712" s="10"/>
    </row>
    <row r="713" hidden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6"/>
      <c r="O713" s="10"/>
      <c r="P713" s="10"/>
      <c r="Q713" s="10"/>
      <c r="R713" s="10"/>
      <c r="S713" s="17"/>
      <c r="T713" s="12"/>
      <c r="U713" s="10"/>
      <c r="V713" s="10"/>
      <c r="W713" s="10"/>
      <c r="X713" s="10"/>
      <c r="Y713" s="10"/>
    </row>
    <row r="714" hidden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6"/>
      <c r="O714" s="10"/>
      <c r="P714" s="10"/>
      <c r="Q714" s="10"/>
      <c r="R714" s="10"/>
      <c r="S714" s="17"/>
      <c r="T714" s="12"/>
      <c r="U714" s="10"/>
      <c r="V714" s="10"/>
      <c r="W714" s="10"/>
      <c r="X714" s="10"/>
      <c r="Y714" s="10"/>
    </row>
    <row r="715" hidden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6"/>
      <c r="O715" s="10"/>
      <c r="P715" s="10"/>
      <c r="Q715" s="10"/>
      <c r="R715" s="10"/>
      <c r="S715" s="17"/>
      <c r="T715" s="12"/>
      <c r="U715" s="10"/>
      <c r="V715" s="10"/>
      <c r="W715" s="10"/>
      <c r="X715" s="10"/>
      <c r="Y715" s="10"/>
    </row>
    <row r="716" hidden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6"/>
      <c r="O716" s="10"/>
      <c r="P716" s="10"/>
      <c r="Q716" s="10"/>
      <c r="R716" s="10"/>
      <c r="S716" s="17"/>
      <c r="T716" s="12"/>
      <c r="U716" s="10"/>
      <c r="V716" s="10"/>
      <c r="W716" s="10"/>
      <c r="X716" s="10"/>
      <c r="Y716" s="10"/>
    </row>
    <row r="717" hidden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6"/>
      <c r="O717" s="10"/>
      <c r="P717" s="10"/>
      <c r="Q717" s="10"/>
      <c r="R717" s="10"/>
      <c r="S717" s="17"/>
      <c r="T717" s="12"/>
      <c r="U717" s="10"/>
      <c r="V717" s="10"/>
      <c r="W717" s="10"/>
      <c r="X717" s="10"/>
      <c r="Y717" s="10"/>
    </row>
    <row r="718" hidden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6"/>
      <c r="O718" s="10"/>
      <c r="P718" s="10"/>
      <c r="Q718" s="10"/>
      <c r="R718" s="10"/>
      <c r="S718" s="17"/>
      <c r="T718" s="12"/>
      <c r="U718" s="10"/>
      <c r="V718" s="10"/>
      <c r="W718" s="10"/>
      <c r="X718" s="10"/>
      <c r="Y718" s="10"/>
    </row>
    <row r="719" hidden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6"/>
      <c r="O719" s="10"/>
      <c r="P719" s="10"/>
      <c r="Q719" s="10"/>
      <c r="R719" s="10"/>
      <c r="S719" s="17"/>
      <c r="T719" s="12"/>
      <c r="U719" s="10"/>
      <c r="V719" s="10"/>
      <c r="W719" s="10"/>
      <c r="X719" s="10"/>
      <c r="Y719" s="10"/>
    </row>
    <row r="720" hidden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6"/>
      <c r="O720" s="10"/>
      <c r="P720" s="10"/>
      <c r="Q720" s="10"/>
      <c r="R720" s="10"/>
      <c r="S720" s="17"/>
      <c r="T720" s="12"/>
      <c r="U720" s="10"/>
      <c r="V720" s="10"/>
      <c r="W720" s="10"/>
      <c r="X720" s="10"/>
      <c r="Y720" s="10"/>
    </row>
    <row r="721" hidden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6"/>
      <c r="O721" s="10"/>
      <c r="P721" s="10"/>
      <c r="Q721" s="10"/>
      <c r="R721" s="10"/>
      <c r="S721" s="17"/>
      <c r="T721" s="12"/>
      <c r="U721" s="10"/>
      <c r="V721" s="10"/>
      <c r="W721" s="10"/>
      <c r="X721" s="10"/>
      <c r="Y721" s="10"/>
    </row>
    <row r="722" hidden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6"/>
      <c r="O722" s="10"/>
      <c r="P722" s="10"/>
      <c r="Q722" s="10"/>
      <c r="R722" s="10"/>
      <c r="S722" s="17"/>
      <c r="T722" s="12"/>
      <c r="U722" s="10"/>
      <c r="V722" s="10"/>
      <c r="W722" s="10"/>
      <c r="X722" s="10"/>
      <c r="Y722" s="10"/>
    </row>
    <row r="723" hidden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6"/>
      <c r="O723" s="10"/>
      <c r="P723" s="10"/>
      <c r="Q723" s="10"/>
      <c r="R723" s="10"/>
      <c r="S723" s="17"/>
      <c r="T723" s="12"/>
      <c r="U723" s="10"/>
      <c r="V723" s="10"/>
      <c r="W723" s="10"/>
      <c r="X723" s="10"/>
      <c r="Y723" s="10"/>
    </row>
    <row r="724" hidden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6"/>
      <c r="O724" s="10"/>
      <c r="P724" s="10"/>
      <c r="Q724" s="10"/>
      <c r="R724" s="10"/>
      <c r="S724" s="17"/>
      <c r="T724" s="12"/>
      <c r="U724" s="10"/>
      <c r="V724" s="10"/>
      <c r="W724" s="10"/>
      <c r="X724" s="10"/>
      <c r="Y724" s="10"/>
    </row>
    <row r="725" hidden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6"/>
      <c r="O725" s="10"/>
      <c r="P725" s="10"/>
      <c r="Q725" s="10"/>
      <c r="R725" s="10"/>
      <c r="S725" s="17"/>
      <c r="T725" s="12"/>
      <c r="U725" s="10"/>
      <c r="V725" s="10"/>
      <c r="W725" s="10"/>
      <c r="X725" s="10"/>
      <c r="Y725" s="10"/>
    </row>
    <row r="726" hidden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6"/>
      <c r="O726" s="10"/>
      <c r="P726" s="10"/>
      <c r="Q726" s="10"/>
      <c r="R726" s="10"/>
      <c r="S726" s="17"/>
      <c r="T726" s="12"/>
      <c r="U726" s="10"/>
      <c r="V726" s="10"/>
      <c r="W726" s="10"/>
      <c r="X726" s="10"/>
      <c r="Y726" s="10"/>
    </row>
    <row r="727" hidden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6"/>
      <c r="O727" s="10"/>
      <c r="P727" s="10"/>
      <c r="Q727" s="10"/>
      <c r="R727" s="10"/>
      <c r="S727" s="17"/>
      <c r="T727" s="12"/>
      <c r="U727" s="10"/>
      <c r="V727" s="10"/>
      <c r="W727" s="10"/>
      <c r="X727" s="10"/>
      <c r="Y727" s="10"/>
    </row>
    <row r="728" hidden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6"/>
      <c r="O728" s="10"/>
      <c r="P728" s="10"/>
      <c r="Q728" s="10"/>
      <c r="R728" s="10"/>
      <c r="S728" s="17"/>
      <c r="T728" s="12"/>
      <c r="U728" s="10"/>
      <c r="V728" s="10"/>
      <c r="W728" s="10"/>
      <c r="X728" s="10"/>
      <c r="Y728" s="10"/>
    </row>
    <row r="729" hidden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6"/>
      <c r="O729" s="10"/>
      <c r="P729" s="10"/>
      <c r="Q729" s="10"/>
      <c r="R729" s="10"/>
      <c r="S729" s="17"/>
      <c r="T729" s="12"/>
      <c r="U729" s="10"/>
      <c r="V729" s="10"/>
      <c r="W729" s="10"/>
      <c r="X729" s="10"/>
      <c r="Y729" s="10"/>
    </row>
    <row r="730" hidden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6"/>
      <c r="O730" s="10"/>
      <c r="P730" s="10"/>
      <c r="Q730" s="10"/>
      <c r="R730" s="10"/>
      <c r="S730" s="17"/>
      <c r="T730" s="12"/>
      <c r="U730" s="10"/>
      <c r="V730" s="10"/>
      <c r="W730" s="10"/>
      <c r="X730" s="10"/>
      <c r="Y730" s="10"/>
    </row>
    <row r="731" hidden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6"/>
      <c r="O731" s="10"/>
      <c r="P731" s="10"/>
      <c r="Q731" s="10"/>
      <c r="R731" s="10"/>
      <c r="S731" s="17"/>
      <c r="T731" s="12"/>
      <c r="U731" s="10"/>
      <c r="V731" s="10"/>
      <c r="W731" s="10"/>
      <c r="X731" s="10"/>
      <c r="Y731" s="10"/>
    </row>
    <row r="732" hidden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6"/>
      <c r="O732" s="10"/>
      <c r="P732" s="10"/>
      <c r="Q732" s="10"/>
      <c r="R732" s="10"/>
      <c r="S732" s="17"/>
      <c r="T732" s="12"/>
      <c r="U732" s="10"/>
      <c r="V732" s="10"/>
      <c r="W732" s="10"/>
      <c r="X732" s="10"/>
      <c r="Y732" s="10"/>
    </row>
    <row r="733" hidden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6"/>
      <c r="O733" s="10"/>
      <c r="P733" s="10"/>
      <c r="Q733" s="10"/>
      <c r="R733" s="10"/>
      <c r="S733" s="17"/>
      <c r="T733" s="12"/>
      <c r="U733" s="10"/>
      <c r="V733" s="10"/>
      <c r="W733" s="10"/>
      <c r="X733" s="10"/>
      <c r="Y733" s="10"/>
    </row>
    <row r="734" hidden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6"/>
      <c r="O734" s="10"/>
      <c r="P734" s="10"/>
      <c r="Q734" s="10"/>
      <c r="R734" s="10"/>
      <c r="S734" s="17"/>
      <c r="T734" s="12"/>
      <c r="U734" s="10"/>
      <c r="V734" s="10"/>
      <c r="W734" s="10"/>
      <c r="X734" s="10"/>
      <c r="Y734" s="10"/>
    </row>
    <row r="735" hidden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6"/>
      <c r="O735" s="10"/>
      <c r="P735" s="10"/>
      <c r="Q735" s="10"/>
      <c r="R735" s="10"/>
      <c r="S735" s="17"/>
      <c r="T735" s="12"/>
      <c r="U735" s="10"/>
      <c r="V735" s="10"/>
      <c r="W735" s="10"/>
      <c r="X735" s="10"/>
      <c r="Y735" s="10"/>
    </row>
    <row r="736" hidden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6"/>
      <c r="O736" s="10"/>
      <c r="P736" s="10"/>
      <c r="Q736" s="10"/>
      <c r="R736" s="10"/>
      <c r="S736" s="17"/>
      <c r="T736" s="12"/>
      <c r="U736" s="10"/>
      <c r="V736" s="10"/>
      <c r="W736" s="10"/>
      <c r="X736" s="10"/>
      <c r="Y736" s="10"/>
    </row>
    <row r="737" hidden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6"/>
      <c r="O737" s="10"/>
      <c r="P737" s="10"/>
      <c r="Q737" s="10"/>
      <c r="R737" s="10"/>
      <c r="S737" s="17"/>
      <c r="T737" s="12"/>
      <c r="U737" s="10"/>
      <c r="V737" s="10"/>
      <c r="W737" s="10"/>
      <c r="X737" s="10"/>
      <c r="Y737" s="10"/>
    </row>
    <row r="738" hidden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6"/>
      <c r="O738" s="10"/>
      <c r="P738" s="10"/>
      <c r="Q738" s="10"/>
      <c r="R738" s="10"/>
      <c r="S738" s="17"/>
      <c r="T738" s="12"/>
      <c r="U738" s="10"/>
      <c r="V738" s="10"/>
      <c r="W738" s="10"/>
      <c r="X738" s="10"/>
      <c r="Y738" s="10"/>
    </row>
    <row r="739" hidden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6"/>
      <c r="O739" s="10"/>
      <c r="P739" s="10"/>
      <c r="Q739" s="10"/>
      <c r="R739" s="10"/>
      <c r="S739" s="17"/>
      <c r="T739" s="12"/>
      <c r="U739" s="10"/>
      <c r="V739" s="10"/>
      <c r="W739" s="10"/>
      <c r="X739" s="10"/>
      <c r="Y739" s="10"/>
    </row>
    <row r="740" hidden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6"/>
      <c r="O740" s="10"/>
      <c r="P740" s="10"/>
      <c r="Q740" s="10"/>
      <c r="R740" s="10"/>
      <c r="S740" s="17"/>
      <c r="T740" s="12"/>
      <c r="U740" s="10"/>
      <c r="V740" s="10"/>
      <c r="W740" s="10"/>
      <c r="X740" s="10"/>
      <c r="Y740" s="10"/>
    </row>
    <row r="741" hidden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6"/>
      <c r="O741" s="10"/>
      <c r="P741" s="10"/>
      <c r="Q741" s="10"/>
      <c r="R741" s="10"/>
      <c r="S741" s="17"/>
      <c r="T741" s="12"/>
      <c r="U741" s="10"/>
      <c r="V741" s="10"/>
      <c r="W741" s="10"/>
      <c r="X741" s="10"/>
      <c r="Y741" s="10"/>
    </row>
    <row r="742" hidden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6"/>
      <c r="O742" s="10"/>
      <c r="P742" s="10"/>
      <c r="Q742" s="10"/>
      <c r="R742" s="10"/>
      <c r="S742" s="17"/>
      <c r="T742" s="12"/>
      <c r="U742" s="10"/>
      <c r="V742" s="10"/>
      <c r="W742" s="10"/>
      <c r="X742" s="10"/>
      <c r="Y742" s="10"/>
    </row>
    <row r="743" hidden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6"/>
      <c r="O743" s="10"/>
      <c r="P743" s="10"/>
      <c r="Q743" s="10"/>
      <c r="R743" s="10"/>
      <c r="S743" s="17"/>
      <c r="T743" s="12"/>
      <c r="U743" s="10"/>
      <c r="V743" s="10"/>
      <c r="W743" s="10"/>
      <c r="X743" s="10"/>
      <c r="Y743" s="10"/>
    </row>
    <row r="744" hidden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6"/>
      <c r="O744" s="10"/>
      <c r="P744" s="10"/>
      <c r="Q744" s="10"/>
      <c r="R744" s="10"/>
      <c r="S744" s="17"/>
      <c r="T744" s="12"/>
      <c r="U744" s="10"/>
      <c r="V744" s="10"/>
      <c r="W744" s="10"/>
      <c r="X744" s="10"/>
      <c r="Y744" s="10"/>
    </row>
    <row r="745" hidden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6"/>
      <c r="O745" s="10"/>
      <c r="P745" s="10"/>
      <c r="Q745" s="10"/>
      <c r="R745" s="10"/>
      <c r="S745" s="17"/>
      <c r="T745" s="12"/>
      <c r="U745" s="10"/>
      <c r="V745" s="10"/>
      <c r="W745" s="10"/>
      <c r="X745" s="10"/>
      <c r="Y745" s="10"/>
    </row>
    <row r="746" hidden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6"/>
      <c r="O746" s="10"/>
      <c r="P746" s="10"/>
      <c r="Q746" s="10"/>
      <c r="R746" s="10"/>
      <c r="S746" s="17"/>
      <c r="T746" s="12"/>
      <c r="U746" s="10"/>
      <c r="V746" s="10"/>
      <c r="W746" s="10"/>
      <c r="X746" s="10"/>
      <c r="Y746" s="10"/>
    </row>
    <row r="747" hidden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6"/>
      <c r="O747" s="10"/>
      <c r="P747" s="10"/>
      <c r="Q747" s="10"/>
      <c r="R747" s="10"/>
      <c r="S747" s="17"/>
      <c r="T747" s="12"/>
      <c r="U747" s="10"/>
      <c r="V747" s="10"/>
      <c r="W747" s="10"/>
      <c r="X747" s="10"/>
      <c r="Y747" s="10"/>
    </row>
    <row r="748" hidden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6"/>
      <c r="O748" s="10"/>
      <c r="P748" s="10"/>
      <c r="Q748" s="10"/>
      <c r="R748" s="10"/>
      <c r="S748" s="17"/>
      <c r="T748" s="12"/>
      <c r="U748" s="10"/>
      <c r="V748" s="10"/>
      <c r="W748" s="10"/>
      <c r="X748" s="10"/>
      <c r="Y748" s="10"/>
    </row>
    <row r="749" hidden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6"/>
      <c r="O749" s="10"/>
      <c r="P749" s="10"/>
      <c r="Q749" s="10"/>
      <c r="R749" s="10"/>
      <c r="S749" s="17"/>
      <c r="T749" s="12"/>
      <c r="U749" s="10"/>
      <c r="V749" s="10"/>
      <c r="W749" s="10"/>
      <c r="X749" s="10"/>
      <c r="Y749" s="10"/>
    </row>
    <row r="750" hidden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6"/>
      <c r="O750" s="10"/>
      <c r="P750" s="10"/>
      <c r="Q750" s="10"/>
      <c r="R750" s="10"/>
      <c r="S750" s="17"/>
      <c r="T750" s="12"/>
      <c r="U750" s="10"/>
      <c r="V750" s="10"/>
      <c r="W750" s="10"/>
      <c r="X750" s="10"/>
      <c r="Y750" s="10"/>
    </row>
    <row r="751" hidden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6"/>
      <c r="O751" s="10"/>
      <c r="P751" s="10"/>
      <c r="Q751" s="10"/>
      <c r="R751" s="10"/>
      <c r="S751" s="17"/>
      <c r="T751" s="12"/>
      <c r="U751" s="10"/>
      <c r="V751" s="10"/>
      <c r="W751" s="10"/>
      <c r="X751" s="10"/>
      <c r="Y751" s="10"/>
    </row>
    <row r="752" hidden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6"/>
      <c r="O752" s="10"/>
      <c r="P752" s="10"/>
      <c r="Q752" s="10"/>
      <c r="R752" s="10"/>
      <c r="S752" s="17"/>
      <c r="T752" s="12"/>
      <c r="U752" s="10"/>
      <c r="V752" s="10"/>
      <c r="W752" s="10"/>
      <c r="X752" s="10"/>
      <c r="Y752" s="10"/>
    </row>
    <row r="753" hidden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6"/>
      <c r="O753" s="10"/>
      <c r="P753" s="10"/>
      <c r="Q753" s="10"/>
      <c r="R753" s="10"/>
      <c r="S753" s="17"/>
      <c r="T753" s="12"/>
      <c r="U753" s="10"/>
      <c r="V753" s="10"/>
      <c r="W753" s="10"/>
      <c r="X753" s="10"/>
      <c r="Y753" s="10"/>
    </row>
    <row r="754" hidden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6"/>
      <c r="O754" s="10"/>
      <c r="P754" s="10"/>
      <c r="Q754" s="10"/>
      <c r="R754" s="10"/>
      <c r="S754" s="17"/>
      <c r="T754" s="12"/>
      <c r="U754" s="10"/>
      <c r="V754" s="10"/>
      <c r="W754" s="10"/>
      <c r="X754" s="10"/>
      <c r="Y754" s="10"/>
    </row>
    <row r="755" hidden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6"/>
      <c r="O755" s="10"/>
      <c r="P755" s="10"/>
      <c r="Q755" s="10"/>
      <c r="R755" s="10"/>
      <c r="S755" s="17"/>
      <c r="T755" s="12"/>
      <c r="U755" s="10"/>
      <c r="V755" s="10"/>
      <c r="W755" s="10"/>
      <c r="X755" s="10"/>
      <c r="Y755" s="10"/>
    </row>
    <row r="756" hidden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6"/>
      <c r="O756" s="10"/>
      <c r="P756" s="10"/>
      <c r="Q756" s="10"/>
      <c r="R756" s="10"/>
      <c r="S756" s="17"/>
      <c r="T756" s="12"/>
      <c r="U756" s="10"/>
      <c r="V756" s="10"/>
      <c r="W756" s="10"/>
      <c r="X756" s="10"/>
      <c r="Y756" s="10"/>
    </row>
    <row r="757" hidden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6"/>
      <c r="O757" s="10"/>
      <c r="P757" s="10"/>
      <c r="Q757" s="10"/>
      <c r="R757" s="10"/>
      <c r="S757" s="17"/>
      <c r="T757" s="12"/>
      <c r="U757" s="10"/>
      <c r="V757" s="10"/>
      <c r="W757" s="10"/>
      <c r="X757" s="10"/>
      <c r="Y757" s="10"/>
    </row>
    <row r="758" hidden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6"/>
      <c r="O758" s="10"/>
      <c r="P758" s="10"/>
      <c r="Q758" s="10"/>
      <c r="R758" s="10"/>
      <c r="S758" s="17"/>
      <c r="T758" s="12"/>
      <c r="U758" s="10"/>
      <c r="V758" s="10"/>
      <c r="W758" s="10"/>
      <c r="X758" s="10"/>
      <c r="Y758" s="10"/>
    </row>
    <row r="759" hidden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6"/>
      <c r="O759" s="10"/>
      <c r="P759" s="10"/>
      <c r="Q759" s="10"/>
      <c r="R759" s="10"/>
      <c r="S759" s="17"/>
      <c r="T759" s="12"/>
      <c r="U759" s="10"/>
      <c r="V759" s="10"/>
      <c r="W759" s="10"/>
      <c r="X759" s="10"/>
      <c r="Y759" s="10"/>
    </row>
    <row r="760" hidden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6"/>
      <c r="O760" s="10"/>
      <c r="P760" s="10"/>
      <c r="Q760" s="10"/>
      <c r="R760" s="10"/>
      <c r="S760" s="17"/>
      <c r="T760" s="12"/>
      <c r="U760" s="10"/>
      <c r="V760" s="10"/>
      <c r="W760" s="10"/>
      <c r="X760" s="10"/>
      <c r="Y760" s="10"/>
    </row>
    <row r="761" hidden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6"/>
      <c r="O761" s="10"/>
      <c r="P761" s="10"/>
      <c r="Q761" s="10"/>
      <c r="R761" s="10"/>
      <c r="S761" s="17"/>
      <c r="T761" s="12"/>
      <c r="U761" s="10"/>
      <c r="V761" s="10"/>
      <c r="W761" s="10"/>
      <c r="X761" s="10"/>
      <c r="Y761" s="10"/>
    </row>
    <row r="762" hidden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6"/>
      <c r="O762" s="10"/>
      <c r="P762" s="10"/>
      <c r="Q762" s="10"/>
      <c r="R762" s="10"/>
      <c r="S762" s="17"/>
      <c r="T762" s="12"/>
      <c r="U762" s="10"/>
      <c r="V762" s="10"/>
      <c r="W762" s="10"/>
      <c r="X762" s="10"/>
      <c r="Y762" s="10"/>
    </row>
    <row r="763" hidden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6"/>
      <c r="O763" s="10"/>
      <c r="P763" s="10"/>
      <c r="Q763" s="10"/>
      <c r="R763" s="10"/>
      <c r="S763" s="17"/>
      <c r="T763" s="12"/>
      <c r="U763" s="10"/>
      <c r="V763" s="10"/>
      <c r="W763" s="10"/>
      <c r="X763" s="10"/>
      <c r="Y763" s="10"/>
    </row>
    <row r="764" hidden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6"/>
      <c r="O764" s="10"/>
      <c r="P764" s="10"/>
      <c r="Q764" s="10"/>
      <c r="R764" s="10"/>
      <c r="S764" s="17"/>
      <c r="T764" s="12"/>
      <c r="U764" s="10"/>
      <c r="V764" s="10"/>
      <c r="W764" s="10"/>
      <c r="X764" s="10"/>
      <c r="Y764" s="10"/>
    </row>
    <row r="765" hidden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6"/>
      <c r="O765" s="10"/>
      <c r="P765" s="10"/>
      <c r="Q765" s="10"/>
      <c r="R765" s="10"/>
      <c r="S765" s="17"/>
      <c r="T765" s="12"/>
      <c r="U765" s="10"/>
      <c r="V765" s="10"/>
      <c r="W765" s="10"/>
      <c r="X765" s="10"/>
      <c r="Y765" s="10"/>
    </row>
    <row r="766" hidden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6"/>
      <c r="O766" s="10"/>
      <c r="P766" s="10"/>
      <c r="Q766" s="10"/>
      <c r="R766" s="10"/>
      <c r="S766" s="17"/>
      <c r="T766" s="12"/>
      <c r="U766" s="10"/>
      <c r="V766" s="10"/>
      <c r="W766" s="10"/>
      <c r="X766" s="10"/>
      <c r="Y766" s="10"/>
    </row>
    <row r="767" hidden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6"/>
      <c r="O767" s="10"/>
      <c r="P767" s="10"/>
      <c r="Q767" s="10"/>
      <c r="R767" s="10"/>
      <c r="S767" s="17"/>
      <c r="T767" s="12"/>
      <c r="U767" s="10"/>
      <c r="V767" s="10"/>
      <c r="W767" s="10"/>
      <c r="X767" s="10"/>
      <c r="Y767" s="10"/>
    </row>
    <row r="768" hidden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6"/>
      <c r="O768" s="10"/>
      <c r="P768" s="10"/>
      <c r="Q768" s="10"/>
      <c r="R768" s="10"/>
      <c r="S768" s="17"/>
      <c r="T768" s="12"/>
      <c r="U768" s="10"/>
      <c r="V768" s="10"/>
      <c r="W768" s="10"/>
      <c r="X768" s="10"/>
      <c r="Y768" s="10"/>
    </row>
    <row r="769" hidden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6"/>
      <c r="O769" s="10"/>
      <c r="P769" s="10"/>
      <c r="Q769" s="10"/>
      <c r="R769" s="10"/>
      <c r="S769" s="17"/>
      <c r="T769" s="12"/>
      <c r="U769" s="10"/>
      <c r="V769" s="10"/>
      <c r="W769" s="10"/>
      <c r="X769" s="10"/>
      <c r="Y769" s="10"/>
    </row>
    <row r="770" hidden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6"/>
      <c r="O770" s="10"/>
      <c r="P770" s="10"/>
      <c r="Q770" s="10"/>
      <c r="R770" s="10"/>
      <c r="S770" s="17"/>
      <c r="T770" s="12"/>
      <c r="U770" s="10"/>
      <c r="V770" s="10"/>
      <c r="W770" s="10"/>
      <c r="X770" s="10"/>
      <c r="Y770" s="10"/>
    </row>
    <row r="771" hidden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6"/>
      <c r="O771" s="10"/>
      <c r="P771" s="10"/>
      <c r="Q771" s="10"/>
      <c r="R771" s="10"/>
      <c r="S771" s="17"/>
      <c r="T771" s="12"/>
      <c r="U771" s="10"/>
      <c r="V771" s="10"/>
      <c r="W771" s="10"/>
      <c r="X771" s="10"/>
      <c r="Y771" s="10"/>
    </row>
    <row r="772" hidden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6"/>
      <c r="O772" s="10"/>
      <c r="P772" s="10"/>
      <c r="Q772" s="10"/>
      <c r="R772" s="10"/>
      <c r="S772" s="17"/>
      <c r="T772" s="12"/>
      <c r="U772" s="10"/>
      <c r="V772" s="10"/>
      <c r="W772" s="10"/>
      <c r="X772" s="10"/>
      <c r="Y772" s="10"/>
    </row>
    <row r="773" hidden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6"/>
      <c r="O773" s="10"/>
      <c r="P773" s="10"/>
      <c r="Q773" s="10"/>
      <c r="R773" s="10"/>
      <c r="S773" s="17"/>
      <c r="T773" s="12"/>
      <c r="U773" s="10"/>
      <c r="V773" s="10"/>
      <c r="W773" s="10"/>
      <c r="X773" s="10"/>
      <c r="Y773" s="10"/>
    </row>
    <row r="774" hidden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6"/>
      <c r="O774" s="10"/>
      <c r="P774" s="10"/>
      <c r="Q774" s="10"/>
      <c r="R774" s="10"/>
      <c r="S774" s="17"/>
      <c r="T774" s="12"/>
      <c r="U774" s="10"/>
      <c r="V774" s="10"/>
      <c r="W774" s="10"/>
      <c r="X774" s="10"/>
      <c r="Y774" s="10"/>
    </row>
    <row r="775" hidden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6"/>
      <c r="O775" s="10"/>
      <c r="P775" s="10"/>
      <c r="Q775" s="10"/>
      <c r="R775" s="10"/>
      <c r="S775" s="17"/>
      <c r="T775" s="12"/>
      <c r="U775" s="10"/>
      <c r="V775" s="10"/>
      <c r="W775" s="10"/>
      <c r="X775" s="10"/>
      <c r="Y775" s="10"/>
    </row>
    <row r="776" hidden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6"/>
      <c r="O776" s="10"/>
      <c r="P776" s="10"/>
      <c r="Q776" s="10"/>
      <c r="R776" s="10"/>
      <c r="S776" s="17"/>
      <c r="T776" s="12"/>
      <c r="U776" s="10"/>
      <c r="V776" s="10"/>
      <c r="W776" s="10"/>
      <c r="X776" s="10"/>
      <c r="Y776" s="10"/>
    </row>
    <row r="777" hidden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6"/>
      <c r="O777" s="10"/>
      <c r="P777" s="10"/>
      <c r="Q777" s="10"/>
      <c r="R777" s="10"/>
      <c r="S777" s="17"/>
      <c r="T777" s="12"/>
      <c r="U777" s="10"/>
      <c r="V777" s="10"/>
      <c r="W777" s="10"/>
      <c r="X777" s="10"/>
      <c r="Y777" s="10"/>
    </row>
    <row r="778" hidden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6"/>
      <c r="O778" s="10"/>
      <c r="P778" s="10"/>
      <c r="Q778" s="10"/>
      <c r="R778" s="10"/>
      <c r="S778" s="17"/>
      <c r="T778" s="12"/>
      <c r="U778" s="10"/>
      <c r="V778" s="10"/>
      <c r="W778" s="10"/>
      <c r="X778" s="10"/>
      <c r="Y778" s="10"/>
    </row>
    <row r="779" hidden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6"/>
      <c r="O779" s="10"/>
      <c r="P779" s="10"/>
      <c r="Q779" s="10"/>
      <c r="R779" s="10"/>
      <c r="S779" s="17"/>
      <c r="T779" s="12"/>
      <c r="U779" s="10"/>
      <c r="V779" s="10"/>
      <c r="W779" s="10"/>
      <c r="X779" s="10"/>
      <c r="Y779" s="10"/>
    </row>
    <row r="780" hidden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6"/>
      <c r="O780" s="10"/>
      <c r="P780" s="10"/>
      <c r="Q780" s="10"/>
      <c r="R780" s="10"/>
      <c r="S780" s="17"/>
      <c r="T780" s="12"/>
      <c r="U780" s="10"/>
      <c r="V780" s="10"/>
      <c r="W780" s="10"/>
      <c r="X780" s="10"/>
      <c r="Y780" s="10"/>
    </row>
    <row r="781" hidden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6"/>
      <c r="O781" s="10"/>
      <c r="P781" s="10"/>
      <c r="Q781" s="10"/>
      <c r="R781" s="10"/>
      <c r="S781" s="17"/>
      <c r="T781" s="12"/>
      <c r="U781" s="10"/>
      <c r="V781" s="10"/>
      <c r="W781" s="10"/>
      <c r="X781" s="10"/>
      <c r="Y781" s="10"/>
    </row>
  </sheetData>
  <autoFilter ref="$A$1:$Y$781">
    <filterColumn colId="14">
      <filters>
        <filter val="750"/>
      </filters>
    </filterColumn>
  </autoFilter>
  <customSheetViews>
    <customSheetView guid="{797CB2D3-6B25-4DB6-AA54-B821F984E079}" filter="1" showAutoFilter="1">
      <autoFilter ref="$B$1:$R$7">
        <sortState ref="B1:R7">
          <sortCondition ref="C1:C7"/>
        </sortState>
      </autoFilter>
    </customSheetView>
    <customSheetView guid="{A637F95A-B861-47C6-8751-AAE115E3ED0A}" filter="1" showAutoFilter="1">
      <autoFilter ref="$K$6:$K$9"/>
    </customSheetView>
  </customSheetView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8.63"/>
  </cols>
  <sheetData>
    <row r="1">
      <c r="A1" s="1"/>
      <c r="B1" s="34" t="s">
        <v>681</v>
      </c>
      <c r="C1" s="34" t="s">
        <v>682</v>
      </c>
      <c r="D1" s="1" t="s">
        <v>683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684</v>
      </c>
      <c r="B2" s="35">
        <v>52.5</v>
      </c>
      <c r="C2" s="35">
        <v>75.0</v>
      </c>
      <c r="D2" s="36">
        <f>1-(B2/C2)</f>
        <v>0.3</v>
      </c>
    </row>
    <row r="3">
      <c r="A3" s="3" t="s">
        <v>685</v>
      </c>
      <c r="B3" s="37"/>
      <c r="C3" s="37"/>
      <c r="D3" s="36"/>
    </row>
    <row r="4">
      <c r="A4" s="3"/>
      <c r="B4" s="35"/>
      <c r="C4" s="37"/>
      <c r="D4" s="36"/>
    </row>
    <row r="5">
      <c r="A5" s="3" t="s">
        <v>686</v>
      </c>
      <c r="B5" s="35">
        <v>19.95</v>
      </c>
      <c r="C5" s="35">
        <v>52.0</v>
      </c>
      <c r="D5" s="36">
        <f>1-(B5/C5)</f>
        <v>0.6163461538</v>
      </c>
    </row>
    <row r="6">
      <c r="A6" s="3" t="s">
        <v>687</v>
      </c>
      <c r="B6" s="37"/>
      <c r="C6" s="37"/>
      <c r="D6" s="36"/>
    </row>
    <row r="7">
      <c r="A7" s="38"/>
      <c r="B7" s="37"/>
      <c r="C7" s="37"/>
      <c r="D7" s="36"/>
    </row>
    <row r="8">
      <c r="A8" s="3" t="s">
        <v>688</v>
      </c>
      <c r="B8" s="35">
        <v>34.99</v>
      </c>
      <c r="C8" s="35">
        <v>48.0</v>
      </c>
      <c r="D8" s="36">
        <f>1-(B8/C8)</f>
        <v>0.2710416667</v>
      </c>
    </row>
    <row r="9">
      <c r="A9" s="3" t="s">
        <v>545</v>
      </c>
      <c r="B9" s="37"/>
      <c r="C9" s="37"/>
      <c r="D9" s="36"/>
    </row>
    <row r="10">
      <c r="A10" s="38"/>
      <c r="B10" s="37"/>
      <c r="C10" s="37"/>
      <c r="D10" s="36"/>
    </row>
    <row r="11">
      <c r="A11" s="3" t="s">
        <v>689</v>
      </c>
      <c r="B11" s="35">
        <v>34.95</v>
      </c>
      <c r="C11" s="35">
        <v>50.0</v>
      </c>
      <c r="D11" s="36">
        <f>1-(B11/C11)</f>
        <v>0.301</v>
      </c>
    </row>
    <row r="12">
      <c r="A12" s="3" t="s">
        <v>690</v>
      </c>
      <c r="B12" s="37"/>
      <c r="C12" s="37"/>
      <c r="D12" s="36"/>
    </row>
    <row r="13">
      <c r="A13" s="38"/>
      <c r="C13" s="37"/>
      <c r="D13" s="36"/>
    </row>
    <row r="14">
      <c r="A14" s="3" t="s">
        <v>691</v>
      </c>
      <c r="B14" s="35">
        <v>31.99</v>
      </c>
      <c r="C14" s="35">
        <v>45.0</v>
      </c>
      <c r="D14" s="36">
        <f>1-(B14/C14)</f>
        <v>0.2891111111</v>
      </c>
    </row>
    <row r="15">
      <c r="A15" s="39" t="s">
        <v>692</v>
      </c>
      <c r="B15" s="37"/>
      <c r="C15" s="37"/>
      <c r="D15" s="36"/>
    </row>
    <row r="16">
      <c r="A16" s="3"/>
      <c r="B16" s="35"/>
      <c r="C16" s="37"/>
      <c r="D16" s="36"/>
    </row>
    <row r="17">
      <c r="A17" s="3" t="s">
        <v>693</v>
      </c>
      <c r="B17" s="35">
        <v>24.0</v>
      </c>
      <c r="C17" s="35">
        <v>50.0</v>
      </c>
      <c r="D17" s="36">
        <f>1-(B17/C17)</f>
        <v>0.52</v>
      </c>
    </row>
    <row r="18">
      <c r="A18" s="3"/>
      <c r="B18" s="35"/>
      <c r="C18" s="35"/>
      <c r="D18" s="36"/>
    </row>
    <row r="19">
      <c r="A19" s="3"/>
      <c r="B19" s="35"/>
      <c r="C19" s="35"/>
      <c r="D19" s="36"/>
    </row>
    <row r="20">
      <c r="A20" s="3" t="s">
        <v>694</v>
      </c>
      <c r="B20" s="35">
        <v>49.95</v>
      </c>
      <c r="C20" s="35">
        <v>60.0</v>
      </c>
      <c r="D20" s="36">
        <f>1-(B20/C20)</f>
        <v>0.1675</v>
      </c>
    </row>
    <row r="21">
      <c r="A21" s="3" t="s">
        <v>695</v>
      </c>
      <c r="B21" s="37"/>
      <c r="C21" s="37"/>
      <c r="D21" s="36"/>
    </row>
    <row r="22">
      <c r="A22" s="38"/>
      <c r="B22" s="37"/>
      <c r="C22" s="37"/>
      <c r="D22" s="36"/>
    </row>
    <row r="23">
      <c r="A23" s="3" t="s">
        <v>696</v>
      </c>
      <c r="B23" s="35">
        <v>22.95</v>
      </c>
      <c r="C23" s="35">
        <v>60.0</v>
      </c>
      <c r="D23" s="36">
        <f>1-(B23/C23)</f>
        <v>0.6175</v>
      </c>
    </row>
    <row r="24">
      <c r="A24" s="3" t="s">
        <v>697</v>
      </c>
      <c r="B24" s="37"/>
      <c r="C24" s="37"/>
    </row>
    <row r="25">
      <c r="A25" s="38"/>
      <c r="B25" s="37"/>
      <c r="C25" s="37"/>
      <c r="D25" s="36"/>
    </row>
    <row r="26">
      <c r="A26" s="3" t="s">
        <v>698</v>
      </c>
      <c r="B26" s="35">
        <v>29.95</v>
      </c>
      <c r="C26" s="35">
        <v>40.0</v>
      </c>
      <c r="D26" s="36">
        <f>1-(B26/C26)</f>
        <v>0.25125</v>
      </c>
    </row>
    <row r="27">
      <c r="A27" s="3" t="s">
        <v>699</v>
      </c>
      <c r="B27" s="37"/>
      <c r="C27" s="37"/>
      <c r="D27" s="36"/>
    </row>
    <row r="28">
      <c r="B28" s="37"/>
      <c r="C28" s="37"/>
      <c r="D28" s="36"/>
    </row>
    <row r="29">
      <c r="C29" s="37"/>
      <c r="D29" s="36"/>
    </row>
    <row r="30">
      <c r="C30" s="37"/>
      <c r="D30" s="36"/>
    </row>
    <row r="31">
      <c r="B31" s="37"/>
      <c r="C31" s="37"/>
      <c r="D31" s="36"/>
    </row>
    <row r="32">
      <c r="B32" s="37"/>
      <c r="C32" s="37"/>
      <c r="D32" s="36"/>
    </row>
    <row r="33">
      <c r="B33" s="37"/>
      <c r="C33" s="37"/>
      <c r="D33" s="36"/>
    </row>
    <row r="34">
      <c r="B34" s="37"/>
      <c r="C34" s="37"/>
      <c r="D34" s="36"/>
    </row>
    <row r="35">
      <c r="B35" s="37"/>
      <c r="C35" s="37"/>
      <c r="D35" s="36"/>
    </row>
    <row r="36">
      <c r="B36" s="37"/>
      <c r="C36" s="37"/>
      <c r="D36" s="36"/>
    </row>
    <row r="37">
      <c r="B37" s="37"/>
      <c r="C37" s="37"/>
      <c r="D37" s="36"/>
    </row>
    <row r="38">
      <c r="B38" s="37"/>
      <c r="C38" s="37"/>
      <c r="D38" s="36"/>
    </row>
    <row r="39">
      <c r="B39" s="37"/>
      <c r="C39" s="37"/>
      <c r="D39" s="36"/>
    </row>
    <row r="40">
      <c r="B40" s="37"/>
      <c r="C40" s="37"/>
      <c r="D40" s="36"/>
    </row>
    <row r="41">
      <c r="B41" s="37"/>
      <c r="C41" s="37"/>
      <c r="D41" s="36"/>
    </row>
    <row r="42">
      <c r="B42" s="37"/>
      <c r="C42" s="37"/>
      <c r="D42" s="36"/>
    </row>
    <row r="43">
      <c r="B43" s="37"/>
      <c r="C43" s="37"/>
      <c r="D43" s="36"/>
    </row>
    <row r="44">
      <c r="B44" s="37"/>
      <c r="C44" s="37"/>
      <c r="D44" s="36"/>
    </row>
    <row r="45">
      <c r="B45" s="37"/>
      <c r="C45" s="37"/>
      <c r="D45" s="36"/>
    </row>
    <row r="46">
      <c r="B46" s="37"/>
      <c r="C46" s="37"/>
      <c r="D46" s="36"/>
    </row>
    <row r="47">
      <c r="B47" s="37"/>
      <c r="C47" s="37"/>
      <c r="D47" s="36"/>
    </row>
    <row r="48">
      <c r="B48" s="37"/>
      <c r="C48" s="37"/>
      <c r="D48" s="36"/>
    </row>
    <row r="49">
      <c r="B49" s="37"/>
      <c r="C49" s="37"/>
      <c r="D49" s="36"/>
    </row>
    <row r="50">
      <c r="B50" s="37"/>
      <c r="C50" s="37"/>
      <c r="D50" s="36"/>
    </row>
    <row r="51">
      <c r="B51" s="37"/>
      <c r="C51" s="37"/>
      <c r="D51" s="36"/>
    </row>
    <row r="52">
      <c r="B52" s="37"/>
      <c r="C52" s="37"/>
      <c r="D52" s="36"/>
    </row>
    <row r="53">
      <c r="B53" s="37"/>
      <c r="C53" s="37"/>
      <c r="D53" s="36"/>
    </row>
    <row r="54">
      <c r="B54" s="37"/>
      <c r="C54" s="37"/>
      <c r="D54" s="36"/>
    </row>
    <row r="55">
      <c r="B55" s="37"/>
      <c r="C55" s="37"/>
      <c r="D55" s="36"/>
    </row>
    <row r="56">
      <c r="B56" s="37"/>
      <c r="C56" s="37"/>
      <c r="D56" s="36"/>
    </row>
    <row r="57">
      <c r="B57" s="37"/>
      <c r="C57" s="37"/>
      <c r="D57" s="36"/>
    </row>
    <row r="58">
      <c r="B58" s="37"/>
      <c r="C58" s="37"/>
      <c r="D58" s="36"/>
    </row>
    <row r="59">
      <c r="B59" s="37"/>
      <c r="C59" s="37"/>
      <c r="D59" s="36"/>
    </row>
    <row r="60">
      <c r="B60" s="37"/>
      <c r="C60" s="37"/>
      <c r="D60" s="36"/>
    </row>
    <row r="61">
      <c r="B61" s="37"/>
      <c r="C61" s="37"/>
      <c r="D61" s="36"/>
    </row>
    <row r="62">
      <c r="B62" s="37"/>
      <c r="C62" s="37"/>
      <c r="D62" s="36"/>
    </row>
    <row r="63">
      <c r="B63" s="37"/>
      <c r="C63" s="37"/>
      <c r="D63" s="36"/>
    </row>
    <row r="64">
      <c r="B64" s="37"/>
      <c r="C64" s="37"/>
      <c r="D64" s="36"/>
    </row>
    <row r="65">
      <c r="B65" s="37"/>
      <c r="C65" s="37"/>
      <c r="D65" s="36"/>
    </row>
    <row r="66">
      <c r="B66" s="37"/>
      <c r="C66" s="37"/>
      <c r="D66" s="36"/>
    </row>
    <row r="67">
      <c r="B67" s="37"/>
      <c r="C67" s="37"/>
      <c r="D67" s="36"/>
    </row>
    <row r="68">
      <c r="B68" s="37"/>
      <c r="C68" s="37"/>
      <c r="D68" s="36"/>
    </row>
    <row r="69">
      <c r="B69" s="37"/>
      <c r="C69" s="37"/>
      <c r="D69" s="36"/>
    </row>
    <row r="70">
      <c r="B70" s="37"/>
      <c r="C70" s="37"/>
      <c r="D70" s="36"/>
    </row>
    <row r="71">
      <c r="B71" s="37"/>
      <c r="C71" s="37"/>
      <c r="D71" s="36"/>
    </row>
    <row r="72">
      <c r="B72" s="37"/>
      <c r="C72" s="37"/>
      <c r="D72" s="36"/>
    </row>
    <row r="73">
      <c r="B73" s="37"/>
      <c r="C73" s="37"/>
      <c r="D73" s="36"/>
    </row>
    <row r="74">
      <c r="B74" s="37"/>
      <c r="C74" s="37"/>
      <c r="D74" s="36"/>
    </row>
    <row r="75">
      <c r="B75" s="37"/>
      <c r="C75" s="37"/>
      <c r="D75" s="36"/>
    </row>
    <row r="76">
      <c r="B76" s="37"/>
      <c r="C76" s="37"/>
      <c r="D76" s="36"/>
    </row>
    <row r="77">
      <c r="B77" s="37"/>
      <c r="C77" s="37"/>
      <c r="D77" s="36"/>
    </row>
    <row r="78">
      <c r="B78" s="37"/>
      <c r="C78" s="37"/>
      <c r="D78" s="36"/>
    </row>
    <row r="79">
      <c r="B79" s="37"/>
      <c r="C79" s="37"/>
      <c r="D79" s="36"/>
    </row>
    <row r="80">
      <c r="B80" s="37"/>
      <c r="C80" s="37"/>
      <c r="D80" s="36"/>
    </row>
    <row r="81">
      <c r="B81" s="37"/>
      <c r="C81" s="37"/>
      <c r="D81" s="36"/>
    </row>
    <row r="82">
      <c r="B82" s="37"/>
      <c r="C82" s="37"/>
      <c r="D82" s="36"/>
    </row>
    <row r="83">
      <c r="B83" s="37"/>
      <c r="C83" s="37"/>
      <c r="D83" s="36"/>
    </row>
    <row r="84">
      <c r="B84" s="37"/>
      <c r="C84" s="37"/>
      <c r="D84" s="36"/>
    </row>
    <row r="85">
      <c r="B85" s="37"/>
      <c r="C85" s="37"/>
      <c r="D85" s="36"/>
    </row>
    <row r="86">
      <c r="B86" s="37"/>
      <c r="C86" s="37"/>
      <c r="D86" s="36"/>
    </row>
    <row r="87">
      <c r="B87" s="37"/>
      <c r="C87" s="37"/>
      <c r="D87" s="36"/>
    </row>
    <row r="88">
      <c r="B88" s="37"/>
      <c r="C88" s="37"/>
      <c r="D88" s="36"/>
    </row>
    <row r="89">
      <c r="B89" s="37"/>
      <c r="C89" s="37"/>
      <c r="D89" s="36"/>
    </row>
    <row r="90">
      <c r="B90" s="37"/>
      <c r="C90" s="37"/>
      <c r="D90" s="36"/>
    </row>
    <row r="91">
      <c r="B91" s="37"/>
      <c r="C91" s="37"/>
      <c r="D91" s="36"/>
    </row>
    <row r="92">
      <c r="B92" s="37"/>
      <c r="C92" s="37"/>
      <c r="D92" s="36"/>
    </row>
    <row r="93">
      <c r="B93" s="37"/>
      <c r="C93" s="37"/>
      <c r="D93" s="36"/>
    </row>
    <row r="94">
      <c r="B94" s="37"/>
      <c r="C94" s="37"/>
      <c r="D94" s="36"/>
    </row>
    <row r="95">
      <c r="B95" s="37"/>
      <c r="C95" s="37"/>
      <c r="D95" s="36"/>
    </row>
    <row r="96">
      <c r="B96" s="37"/>
      <c r="C96" s="37"/>
      <c r="D96" s="36"/>
    </row>
    <row r="97">
      <c r="B97" s="37"/>
      <c r="C97" s="37"/>
      <c r="D97" s="36"/>
    </row>
    <row r="98">
      <c r="B98" s="37"/>
      <c r="C98" s="37"/>
      <c r="D98" s="36"/>
    </row>
    <row r="99">
      <c r="B99" s="37"/>
      <c r="C99" s="37"/>
      <c r="D99" s="36"/>
    </row>
    <row r="100">
      <c r="B100" s="37"/>
      <c r="C100" s="37"/>
      <c r="D100" s="36"/>
    </row>
    <row r="101">
      <c r="B101" s="37"/>
      <c r="C101" s="37"/>
      <c r="D101" s="36"/>
    </row>
    <row r="102">
      <c r="B102" s="37"/>
      <c r="C102" s="37"/>
      <c r="D102" s="36"/>
    </row>
    <row r="103">
      <c r="B103" s="37"/>
      <c r="C103" s="37"/>
      <c r="D103" s="36"/>
    </row>
    <row r="104">
      <c r="B104" s="37"/>
      <c r="C104" s="37"/>
      <c r="D104" s="36"/>
    </row>
    <row r="105">
      <c r="B105" s="37"/>
      <c r="C105" s="37"/>
      <c r="D105" s="36"/>
    </row>
    <row r="106">
      <c r="B106" s="37"/>
      <c r="C106" s="37"/>
      <c r="D106" s="36"/>
    </row>
    <row r="107">
      <c r="B107" s="37"/>
      <c r="C107" s="37"/>
      <c r="D107" s="36"/>
    </row>
    <row r="108">
      <c r="B108" s="37"/>
      <c r="C108" s="37"/>
      <c r="D108" s="36"/>
    </row>
    <row r="109">
      <c r="B109" s="37"/>
      <c r="C109" s="37"/>
      <c r="D109" s="36"/>
    </row>
    <row r="110">
      <c r="B110" s="37"/>
      <c r="C110" s="37"/>
      <c r="D110" s="36"/>
    </row>
    <row r="111">
      <c r="B111" s="37"/>
      <c r="C111" s="37"/>
      <c r="D111" s="36"/>
    </row>
    <row r="112">
      <c r="B112" s="37"/>
      <c r="C112" s="37"/>
      <c r="D112" s="36"/>
    </row>
    <row r="113">
      <c r="B113" s="37"/>
      <c r="C113" s="37"/>
      <c r="D113" s="36"/>
    </row>
    <row r="114">
      <c r="B114" s="37"/>
      <c r="C114" s="37"/>
      <c r="D114" s="36"/>
    </row>
    <row r="115">
      <c r="B115" s="37"/>
      <c r="C115" s="37"/>
      <c r="D115" s="36"/>
    </row>
    <row r="116">
      <c r="B116" s="37"/>
      <c r="C116" s="37"/>
      <c r="D116" s="36"/>
    </row>
    <row r="117">
      <c r="B117" s="37"/>
      <c r="C117" s="37"/>
      <c r="D117" s="36"/>
    </row>
    <row r="118">
      <c r="B118" s="37"/>
      <c r="C118" s="37"/>
      <c r="D118" s="36"/>
    </row>
    <row r="119">
      <c r="B119" s="37"/>
      <c r="C119" s="37"/>
      <c r="D119" s="36"/>
    </row>
    <row r="120">
      <c r="B120" s="37"/>
      <c r="C120" s="37"/>
      <c r="D120" s="36"/>
    </row>
    <row r="121">
      <c r="B121" s="37"/>
      <c r="C121" s="37"/>
      <c r="D121" s="36"/>
    </row>
    <row r="122">
      <c r="B122" s="37"/>
      <c r="C122" s="37"/>
      <c r="D122" s="36"/>
    </row>
    <row r="123">
      <c r="B123" s="37"/>
      <c r="C123" s="37"/>
      <c r="D123" s="36"/>
    </row>
    <row r="124">
      <c r="B124" s="37"/>
      <c r="C124" s="37"/>
      <c r="D124" s="36"/>
    </row>
    <row r="125">
      <c r="B125" s="37"/>
      <c r="C125" s="37"/>
      <c r="D125" s="36"/>
    </row>
    <row r="126">
      <c r="B126" s="37"/>
      <c r="C126" s="37"/>
      <c r="D126" s="36"/>
    </row>
    <row r="127">
      <c r="B127" s="37"/>
      <c r="C127" s="37"/>
      <c r="D127" s="36"/>
    </row>
    <row r="128">
      <c r="B128" s="37"/>
      <c r="C128" s="37"/>
      <c r="D128" s="36"/>
    </row>
    <row r="129">
      <c r="B129" s="37"/>
      <c r="C129" s="37"/>
      <c r="D129" s="36"/>
    </row>
    <row r="130">
      <c r="B130" s="37"/>
      <c r="C130" s="37"/>
      <c r="D130" s="36"/>
    </row>
    <row r="131">
      <c r="B131" s="37"/>
      <c r="C131" s="37"/>
      <c r="D131" s="36"/>
    </row>
    <row r="132">
      <c r="B132" s="37"/>
      <c r="C132" s="37"/>
      <c r="D132" s="36"/>
    </row>
    <row r="133">
      <c r="B133" s="37"/>
      <c r="C133" s="37"/>
      <c r="D133" s="36"/>
    </row>
    <row r="134">
      <c r="B134" s="37"/>
      <c r="C134" s="37"/>
      <c r="D134" s="36"/>
    </row>
    <row r="135">
      <c r="B135" s="37"/>
      <c r="C135" s="37"/>
      <c r="D135" s="36"/>
    </row>
    <row r="136">
      <c r="B136" s="37"/>
      <c r="C136" s="37"/>
      <c r="D136" s="36"/>
    </row>
    <row r="137">
      <c r="B137" s="37"/>
      <c r="C137" s="37"/>
      <c r="D137" s="36"/>
    </row>
    <row r="138">
      <c r="B138" s="37"/>
      <c r="C138" s="37"/>
      <c r="D138" s="36"/>
    </row>
    <row r="139">
      <c r="B139" s="37"/>
      <c r="C139" s="37"/>
      <c r="D139" s="36"/>
    </row>
    <row r="140">
      <c r="B140" s="37"/>
      <c r="C140" s="37"/>
      <c r="D140" s="36"/>
    </row>
    <row r="141">
      <c r="B141" s="37"/>
      <c r="C141" s="37"/>
      <c r="D141" s="36"/>
    </row>
    <row r="142">
      <c r="B142" s="37"/>
      <c r="C142" s="37"/>
      <c r="D142" s="36"/>
    </row>
    <row r="143">
      <c r="B143" s="37"/>
      <c r="C143" s="37"/>
      <c r="D143" s="36"/>
    </row>
    <row r="144">
      <c r="B144" s="37"/>
      <c r="C144" s="37"/>
      <c r="D144" s="36"/>
    </row>
    <row r="145">
      <c r="B145" s="37"/>
      <c r="C145" s="37"/>
      <c r="D145" s="36"/>
    </row>
    <row r="146">
      <c r="B146" s="37"/>
      <c r="C146" s="37"/>
      <c r="D146" s="36"/>
    </row>
    <row r="147">
      <c r="B147" s="37"/>
      <c r="C147" s="37"/>
      <c r="D147" s="36"/>
    </row>
    <row r="148">
      <c r="B148" s="37"/>
      <c r="C148" s="37"/>
      <c r="D148" s="36"/>
    </row>
    <row r="149">
      <c r="B149" s="37"/>
      <c r="C149" s="37"/>
      <c r="D149" s="36"/>
    </row>
    <row r="150">
      <c r="B150" s="37"/>
      <c r="C150" s="37"/>
      <c r="D150" s="36"/>
    </row>
    <row r="151">
      <c r="B151" s="37"/>
      <c r="C151" s="37"/>
      <c r="D151" s="36"/>
    </row>
    <row r="152">
      <c r="B152" s="37"/>
      <c r="C152" s="37"/>
      <c r="D152" s="36"/>
    </row>
    <row r="153">
      <c r="B153" s="37"/>
      <c r="C153" s="37"/>
      <c r="D153" s="36"/>
    </row>
    <row r="154">
      <c r="B154" s="37"/>
      <c r="C154" s="37"/>
      <c r="D154" s="36"/>
    </row>
    <row r="155">
      <c r="B155" s="37"/>
      <c r="C155" s="37"/>
      <c r="D155" s="36"/>
    </row>
    <row r="156">
      <c r="B156" s="37"/>
      <c r="C156" s="37"/>
      <c r="D156" s="36"/>
    </row>
    <row r="157">
      <c r="B157" s="37"/>
      <c r="C157" s="37"/>
      <c r="D157" s="36"/>
    </row>
    <row r="158">
      <c r="B158" s="37"/>
      <c r="C158" s="37"/>
      <c r="D158" s="36"/>
    </row>
    <row r="159">
      <c r="B159" s="37"/>
      <c r="C159" s="37"/>
      <c r="D159" s="36"/>
    </row>
    <row r="160">
      <c r="B160" s="37"/>
      <c r="C160" s="37"/>
      <c r="D160" s="36"/>
    </row>
    <row r="161">
      <c r="B161" s="37"/>
      <c r="C161" s="37"/>
      <c r="D161" s="36"/>
    </row>
    <row r="162">
      <c r="B162" s="37"/>
      <c r="C162" s="37"/>
      <c r="D162" s="36"/>
    </row>
    <row r="163">
      <c r="B163" s="37"/>
      <c r="C163" s="37"/>
      <c r="D163" s="36"/>
    </row>
    <row r="164">
      <c r="B164" s="37"/>
      <c r="C164" s="37"/>
      <c r="D164" s="36"/>
    </row>
    <row r="165">
      <c r="B165" s="37"/>
      <c r="C165" s="37"/>
      <c r="D165" s="36"/>
    </row>
    <row r="166">
      <c r="B166" s="37"/>
      <c r="C166" s="37"/>
      <c r="D166" s="36"/>
    </row>
    <row r="167">
      <c r="B167" s="37"/>
      <c r="C167" s="37"/>
      <c r="D167" s="36"/>
    </row>
    <row r="168">
      <c r="B168" s="37"/>
      <c r="C168" s="37"/>
      <c r="D168" s="36"/>
    </row>
    <row r="169">
      <c r="B169" s="37"/>
      <c r="C169" s="37"/>
      <c r="D169" s="36"/>
    </row>
    <row r="170">
      <c r="B170" s="37"/>
      <c r="C170" s="37"/>
      <c r="D170" s="36"/>
    </row>
    <row r="171">
      <c r="B171" s="37"/>
      <c r="C171" s="37"/>
      <c r="D171" s="36"/>
    </row>
    <row r="172">
      <c r="B172" s="37"/>
      <c r="C172" s="37"/>
      <c r="D172" s="36"/>
    </row>
    <row r="173">
      <c r="B173" s="37"/>
      <c r="C173" s="37"/>
      <c r="D173" s="36"/>
    </row>
    <row r="174">
      <c r="B174" s="37"/>
      <c r="C174" s="37"/>
      <c r="D174" s="36"/>
    </row>
    <row r="175">
      <c r="B175" s="37"/>
      <c r="C175" s="37"/>
      <c r="D175" s="36"/>
    </row>
    <row r="176">
      <c r="B176" s="37"/>
      <c r="C176" s="37"/>
      <c r="D176" s="36"/>
    </row>
    <row r="177">
      <c r="B177" s="37"/>
      <c r="C177" s="37"/>
      <c r="D177" s="36"/>
    </row>
    <row r="178">
      <c r="B178" s="37"/>
      <c r="C178" s="37"/>
      <c r="D178" s="36"/>
    </row>
    <row r="179">
      <c r="B179" s="37"/>
      <c r="C179" s="37"/>
      <c r="D179" s="36"/>
    </row>
    <row r="180">
      <c r="B180" s="37"/>
      <c r="C180" s="37"/>
      <c r="D180" s="36"/>
    </row>
    <row r="181">
      <c r="B181" s="37"/>
      <c r="C181" s="37"/>
      <c r="D181" s="36"/>
    </row>
    <row r="182">
      <c r="B182" s="37"/>
      <c r="C182" s="37"/>
      <c r="D182" s="36"/>
    </row>
    <row r="183">
      <c r="B183" s="37"/>
      <c r="C183" s="37"/>
      <c r="D183" s="36"/>
    </row>
    <row r="184">
      <c r="B184" s="37"/>
      <c r="C184" s="37"/>
      <c r="D184" s="36"/>
    </row>
    <row r="185">
      <c r="B185" s="37"/>
      <c r="C185" s="37"/>
      <c r="D185" s="36"/>
    </row>
    <row r="186">
      <c r="B186" s="37"/>
      <c r="C186" s="37"/>
      <c r="D186" s="36"/>
    </row>
    <row r="187">
      <c r="B187" s="37"/>
      <c r="C187" s="37"/>
      <c r="D187" s="36"/>
    </row>
    <row r="188">
      <c r="B188" s="37"/>
      <c r="C188" s="37"/>
      <c r="D188" s="36"/>
    </row>
    <row r="189">
      <c r="B189" s="37"/>
      <c r="C189" s="37"/>
      <c r="D189" s="36"/>
    </row>
    <row r="190">
      <c r="B190" s="37"/>
      <c r="C190" s="37"/>
      <c r="D190" s="36"/>
    </row>
    <row r="191">
      <c r="B191" s="37"/>
      <c r="C191" s="37"/>
      <c r="D191" s="36"/>
    </row>
    <row r="192">
      <c r="B192" s="37"/>
      <c r="C192" s="37"/>
      <c r="D192" s="36"/>
    </row>
    <row r="193">
      <c r="B193" s="37"/>
      <c r="C193" s="37"/>
      <c r="D193" s="36"/>
    </row>
    <row r="194">
      <c r="B194" s="37"/>
      <c r="C194" s="37"/>
      <c r="D194" s="36"/>
    </row>
    <row r="195">
      <c r="B195" s="37"/>
      <c r="C195" s="37"/>
      <c r="D195" s="36"/>
    </row>
    <row r="196">
      <c r="B196" s="37"/>
      <c r="C196" s="37"/>
      <c r="D196" s="36"/>
    </row>
    <row r="197">
      <c r="B197" s="37"/>
      <c r="C197" s="37"/>
      <c r="D197" s="36"/>
    </row>
    <row r="198">
      <c r="B198" s="37"/>
      <c r="C198" s="37"/>
      <c r="D198" s="36"/>
    </row>
    <row r="199">
      <c r="B199" s="37"/>
      <c r="C199" s="37"/>
      <c r="D199" s="36"/>
    </row>
    <row r="200">
      <c r="B200" s="37"/>
      <c r="C200" s="37"/>
      <c r="D200" s="36"/>
    </row>
    <row r="201">
      <c r="B201" s="37"/>
      <c r="C201" s="37"/>
      <c r="D201" s="36"/>
    </row>
    <row r="202">
      <c r="B202" s="37"/>
      <c r="C202" s="37"/>
      <c r="D202" s="36"/>
    </row>
    <row r="203">
      <c r="B203" s="37"/>
      <c r="C203" s="37"/>
      <c r="D203" s="36"/>
    </row>
    <row r="204">
      <c r="B204" s="37"/>
      <c r="C204" s="37"/>
      <c r="D204" s="36"/>
    </row>
    <row r="205">
      <c r="B205" s="37"/>
      <c r="C205" s="37"/>
      <c r="D205" s="36"/>
    </row>
    <row r="206">
      <c r="B206" s="37"/>
      <c r="C206" s="37"/>
      <c r="D206" s="36"/>
    </row>
    <row r="207">
      <c r="B207" s="37"/>
      <c r="C207" s="37"/>
      <c r="D207" s="36"/>
    </row>
    <row r="208">
      <c r="B208" s="37"/>
      <c r="C208" s="37"/>
      <c r="D208" s="36"/>
    </row>
    <row r="209">
      <c r="B209" s="37"/>
      <c r="C209" s="37"/>
      <c r="D209" s="36"/>
    </row>
    <row r="210">
      <c r="B210" s="37"/>
      <c r="C210" s="37"/>
      <c r="D210" s="36"/>
    </row>
    <row r="211">
      <c r="B211" s="37"/>
      <c r="C211" s="37"/>
      <c r="D211" s="36"/>
    </row>
    <row r="212">
      <c r="B212" s="37"/>
      <c r="C212" s="37"/>
      <c r="D212" s="36"/>
    </row>
    <row r="213">
      <c r="B213" s="37"/>
      <c r="C213" s="37"/>
      <c r="D213" s="36"/>
    </row>
    <row r="214">
      <c r="B214" s="37"/>
      <c r="C214" s="37"/>
      <c r="D214" s="36"/>
    </row>
    <row r="215">
      <c r="B215" s="37"/>
      <c r="C215" s="37"/>
      <c r="D215" s="36"/>
    </row>
    <row r="216">
      <c r="B216" s="37"/>
      <c r="C216" s="37"/>
      <c r="D216" s="36"/>
    </row>
    <row r="217">
      <c r="B217" s="37"/>
      <c r="C217" s="37"/>
      <c r="D217" s="36"/>
    </row>
    <row r="218">
      <c r="B218" s="37"/>
      <c r="C218" s="37"/>
      <c r="D218" s="36"/>
    </row>
    <row r="219">
      <c r="B219" s="37"/>
      <c r="C219" s="37"/>
      <c r="D219" s="36"/>
    </row>
    <row r="220">
      <c r="B220" s="37"/>
      <c r="C220" s="37"/>
      <c r="D220" s="36"/>
    </row>
    <row r="221">
      <c r="B221" s="37"/>
      <c r="C221" s="37"/>
      <c r="D221" s="36"/>
    </row>
    <row r="222">
      <c r="B222" s="37"/>
      <c r="C222" s="37"/>
      <c r="D222" s="36"/>
    </row>
    <row r="223">
      <c r="B223" s="37"/>
      <c r="C223" s="37"/>
      <c r="D223" s="36"/>
    </row>
    <row r="224">
      <c r="B224" s="37"/>
      <c r="C224" s="37"/>
      <c r="D224" s="36"/>
    </row>
    <row r="225">
      <c r="B225" s="37"/>
      <c r="C225" s="37"/>
      <c r="D225" s="36"/>
    </row>
    <row r="226">
      <c r="B226" s="37"/>
      <c r="C226" s="37"/>
      <c r="D226" s="36"/>
    </row>
    <row r="227">
      <c r="B227" s="37"/>
      <c r="C227" s="37"/>
      <c r="D227" s="36"/>
    </row>
    <row r="228">
      <c r="B228" s="37"/>
      <c r="C228" s="37"/>
      <c r="D228" s="36"/>
    </row>
    <row r="229">
      <c r="B229" s="37"/>
      <c r="C229" s="37"/>
      <c r="D229" s="36"/>
    </row>
    <row r="230">
      <c r="B230" s="37"/>
      <c r="C230" s="37"/>
      <c r="D230" s="36"/>
    </row>
    <row r="231">
      <c r="B231" s="37"/>
      <c r="C231" s="37"/>
      <c r="D231" s="36"/>
    </row>
    <row r="232">
      <c r="B232" s="37"/>
      <c r="C232" s="37"/>
      <c r="D232" s="36"/>
    </row>
    <row r="233">
      <c r="B233" s="37"/>
      <c r="C233" s="37"/>
      <c r="D233" s="36"/>
    </row>
    <row r="234">
      <c r="B234" s="37"/>
      <c r="C234" s="37"/>
      <c r="D234" s="36"/>
    </row>
    <row r="235">
      <c r="B235" s="37"/>
      <c r="C235" s="37"/>
      <c r="D235" s="36"/>
    </row>
    <row r="236">
      <c r="B236" s="37"/>
      <c r="C236" s="37"/>
      <c r="D236" s="36"/>
    </row>
    <row r="237">
      <c r="B237" s="37"/>
      <c r="C237" s="37"/>
      <c r="D237" s="36"/>
    </row>
    <row r="238">
      <c r="B238" s="37"/>
      <c r="C238" s="37"/>
      <c r="D238" s="36"/>
    </row>
    <row r="239">
      <c r="B239" s="37"/>
      <c r="C239" s="37"/>
      <c r="D239" s="36"/>
    </row>
    <row r="240">
      <c r="B240" s="37"/>
      <c r="C240" s="37"/>
      <c r="D240" s="36"/>
    </row>
    <row r="241">
      <c r="B241" s="37"/>
      <c r="C241" s="37"/>
      <c r="D241" s="36"/>
    </row>
    <row r="242">
      <c r="B242" s="37"/>
      <c r="C242" s="37"/>
      <c r="D242" s="36"/>
    </row>
    <row r="243">
      <c r="B243" s="37"/>
      <c r="C243" s="37"/>
      <c r="D243" s="36"/>
    </row>
    <row r="244">
      <c r="B244" s="37"/>
      <c r="C244" s="37"/>
      <c r="D244" s="36"/>
    </row>
    <row r="245">
      <c r="B245" s="37"/>
      <c r="C245" s="37"/>
      <c r="D245" s="36"/>
    </row>
    <row r="246">
      <c r="B246" s="37"/>
      <c r="C246" s="37"/>
      <c r="D246" s="36"/>
    </row>
    <row r="247">
      <c r="B247" s="37"/>
      <c r="C247" s="37"/>
      <c r="D247" s="36"/>
    </row>
    <row r="248">
      <c r="B248" s="37"/>
      <c r="C248" s="37"/>
      <c r="D248" s="36"/>
    </row>
    <row r="249">
      <c r="B249" s="37"/>
      <c r="C249" s="37"/>
      <c r="D249" s="36"/>
    </row>
    <row r="250">
      <c r="B250" s="37"/>
      <c r="C250" s="37"/>
      <c r="D250" s="36"/>
    </row>
    <row r="251">
      <c r="B251" s="37"/>
      <c r="C251" s="37"/>
      <c r="D251" s="36"/>
    </row>
    <row r="252">
      <c r="B252" s="37"/>
      <c r="C252" s="37"/>
      <c r="D252" s="36"/>
    </row>
    <row r="253">
      <c r="B253" s="37"/>
      <c r="C253" s="37"/>
      <c r="D253" s="36"/>
    </row>
    <row r="254">
      <c r="B254" s="37"/>
      <c r="C254" s="37"/>
      <c r="D254" s="36"/>
    </row>
    <row r="255">
      <c r="B255" s="37"/>
      <c r="C255" s="37"/>
      <c r="D255" s="36"/>
    </row>
    <row r="256">
      <c r="B256" s="37"/>
      <c r="C256" s="37"/>
      <c r="D256" s="36"/>
    </row>
    <row r="257">
      <c r="B257" s="37"/>
      <c r="C257" s="37"/>
      <c r="D257" s="36"/>
    </row>
    <row r="258">
      <c r="B258" s="37"/>
      <c r="C258" s="37"/>
      <c r="D258" s="36"/>
    </row>
    <row r="259">
      <c r="B259" s="37"/>
      <c r="C259" s="37"/>
      <c r="D259" s="36"/>
    </row>
    <row r="260">
      <c r="B260" s="37"/>
      <c r="C260" s="37"/>
      <c r="D260" s="36"/>
    </row>
    <row r="261">
      <c r="B261" s="37"/>
      <c r="C261" s="37"/>
      <c r="D261" s="36"/>
    </row>
    <row r="262">
      <c r="B262" s="37"/>
      <c r="C262" s="37"/>
      <c r="D262" s="36"/>
    </row>
    <row r="263">
      <c r="B263" s="37"/>
      <c r="C263" s="37"/>
      <c r="D263" s="36"/>
    </row>
    <row r="264">
      <c r="B264" s="37"/>
      <c r="C264" s="37"/>
      <c r="D264" s="36"/>
    </row>
    <row r="265">
      <c r="B265" s="37"/>
      <c r="C265" s="37"/>
      <c r="D265" s="36"/>
    </row>
    <row r="266">
      <c r="B266" s="37"/>
      <c r="C266" s="37"/>
      <c r="D266" s="36"/>
    </row>
    <row r="267">
      <c r="B267" s="37"/>
      <c r="C267" s="37"/>
      <c r="D267" s="36"/>
    </row>
    <row r="268">
      <c r="B268" s="37"/>
      <c r="C268" s="37"/>
      <c r="D268" s="36"/>
    </row>
    <row r="269">
      <c r="B269" s="37"/>
      <c r="C269" s="37"/>
      <c r="D269" s="36"/>
    </row>
    <row r="270">
      <c r="B270" s="37"/>
      <c r="C270" s="37"/>
      <c r="D270" s="36"/>
    </row>
    <row r="271">
      <c r="B271" s="37"/>
      <c r="C271" s="37"/>
      <c r="D271" s="36"/>
    </row>
    <row r="272">
      <c r="B272" s="37"/>
      <c r="C272" s="37"/>
      <c r="D272" s="36"/>
    </row>
    <row r="273">
      <c r="B273" s="37"/>
      <c r="C273" s="37"/>
      <c r="D273" s="36"/>
    </row>
    <row r="274">
      <c r="B274" s="37"/>
      <c r="C274" s="37"/>
      <c r="D274" s="36"/>
    </row>
    <row r="275">
      <c r="B275" s="37"/>
      <c r="C275" s="37"/>
      <c r="D275" s="36"/>
    </row>
    <row r="276">
      <c r="B276" s="37"/>
      <c r="C276" s="37"/>
      <c r="D276" s="36"/>
    </row>
    <row r="277">
      <c r="B277" s="37"/>
      <c r="C277" s="37"/>
      <c r="D277" s="36"/>
    </row>
    <row r="278">
      <c r="B278" s="37"/>
      <c r="C278" s="37"/>
      <c r="D278" s="36"/>
    </row>
    <row r="279">
      <c r="B279" s="37"/>
      <c r="C279" s="37"/>
      <c r="D279" s="36"/>
    </row>
    <row r="280">
      <c r="B280" s="37"/>
      <c r="C280" s="37"/>
      <c r="D280" s="36"/>
    </row>
    <row r="281">
      <c r="B281" s="37"/>
      <c r="C281" s="37"/>
      <c r="D281" s="36"/>
    </row>
    <row r="282">
      <c r="B282" s="37"/>
      <c r="C282" s="37"/>
      <c r="D282" s="36"/>
    </row>
    <row r="283">
      <c r="B283" s="37"/>
      <c r="C283" s="37"/>
      <c r="D283" s="36"/>
    </row>
    <row r="284">
      <c r="B284" s="37"/>
      <c r="C284" s="37"/>
      <c r="D284" s="36"/>
    </row>
    <row r="285">
      <c r="B285" s="37"/>
      <c r="C285" s="37"/>
      <c r="D285" s="36"/>
    </row>
    <row r="286">
      <c r="B286" s="37"/>
      <c r="C286" s="37"/>
      <c r="D286" s="36"/>
    </row>
    <row r="287">
      <c r="B287" s="37"/>
      <c r="C287" s="37"/>
      <c r="D287" s="36"/>
    </row>
    <row r="288">
      <c r="B288" s="37"/>
      <c r="C288" s="37"/>
      <c r="D288" s="36"/>
    </row>
    <row r="289">
      <c r="B289" s="37"/>
      <c r="C289" s="37"/>
      <c r="D289" s="36"/>
    </row>
    <row r="290">
      <c r="B290" s="37"/>
      <c r="C290" s="37"/>
      <c r="D290" s="36"/>
    </row>
    <row r="291">
      <c r="B291" s="37"/>
      <c r="C291" s="37"/>
      <c r="D291" s="36"/>
    </row>
    <row r="292">
      <c r="B292" s="37"/>
      <c r="C292" s="37"/>
      <c r="D292" s="36"/>
    </row>
    <row r="293">
      <c r="B293" s="37"/>
      <c r="C293" s="37"/>
      <c r="D293" s="36"/>
    </row>
    <row r="294">
      <c r="B294" s="37"/>
      <c r="C294" s="37"/>
      <c r="D294" s="36"/>
    </row>
    <row r="295">
      <c r="B295" s="37"/>
      <c r="C295" s="37"/>
      <c r="D295" s="36"/>
    </row>
    <row r="296">
      <c r="B296" s="37"/>
      <c r="C296" s="37"/>
      <c r="D296" s="36"/>
    </row>
    <row r="297">
      <c r="B297" s="37"/>
      <c r="C297" s="37"/>
      <c r="D297" s="36"/>
    </row>
    <row r="298">
      <c r="B298" s="37"/>
      <c r="C298" s="37"/>
      <c r="D298" s="36"/>
    </row>
    <row r="299">
      <c r="B299" s="37"/>
      <c r="C299" s="37"/>
      <c r="D299" s="36"/>
    </row>
    <row r="300">
      <c r="B300" s="37"/>
      <c r="C300" s="37"/>
      <c r="D300" s="36"/>
    </row>
    <row r="301">
      <c r="B301" s="37"/>
      <c r="C301" s="37"/>
      <c r="D301" s="36"/>
    </row>
    <row r="302">
      <c r="B302" s="37"/>
      <c r="C302" s="37"/>
      <c r="D302" s="36"/>
    </row>
    <row r="303">
      <c r="B303" s="37"/>
      <c r="C303" s="37"/>
      <c r="D303" s="36"/>
    </row>
    <row r="304">
      <c r="B304" s="37"/>
      <c r="C304" s="37"/>
      <c r="D304" s="36"/>
    </row>
    <row r="305">
      <c r="B305" s="37"/>
      <c r="C305" s="37"/>
      <c r="D305" s="36"/>
    </row>
    <row r="306">
      <c r="B306" s="37"/>
      <c r="C306" s="37"/>
      <c r="D306" s="36"/>
    </row>
    <row r="307">
      <c r="B307" s="37"/>
      <c r="C307" s="37"/>
      <c r="D307" s="36"/>
    </row>
    <row r="308">
      <c r="B308" s="37"/>
      <c r="C308" s="37"/>
      <c r="D308" s="36"/>
    </row>
    <row r="309">
      <c r="B309" s="37"/>
      <c r="C309" s="37"/>
      <c r="D309" s="36"/>
    </row>
    <row r="310">
      <c r="B310" s="37"/>
      <c r="C310" s="37"/>
      <c r="D310" s="36"/>
    </row>
    <row r="311">
      <c r="B311" s="37"/>
      <c r="C311" s="37"/>
      <c r="D311" s="36"/>
    </row>
    <row r="312">
      <c r="B312" s="37"/>
      <c r="C312" s="37"/>
      <c r="D312" s="36"/>
    </row>
    <row r="313">
      <c r="B313" s="37"/>
      <c r="C313" s="37"/>
      <c r="D313" s="36"/>
    </row>
    <row r="314">
      <c r="B314" s="37"/>
      <c r="C314" s="37"/>
      <c r="D314" s="36"/>
    </row>
    <row r="315">
      <c r="B315" s="37"/>
      <c r="C315" s="37"/>
      <c r="D315" s="36"/>
    </row>
    <row r="316">
      <c r="B316" s="37"/>
      <c r="C316" s="37"/>
      <c r="D316" s="36"/>
    </row>
    <row r="317">
      <c r="B317" s="37"/>
      <c r="C317" s="37"/>
      <c r="D317" s="36"/>
    </row>
    <row r="318">
      <c r="B318" s="37"/>
      <c r="C318" s="37"/>
      <c r="D318" s="36"/>
    </row>
    <row r="319">
      <c r="B319" s="37"/>
      <c r="C319" s="37"/>
      <c r="D319" s="36"/>
    </row>
    <row r="320">
      <c r="B320" s="37"/>
      <c r="C320" s="37"/>
      <c r="D320" s="36"/>
    </row>
    <row r="321">
      <c r="B321" s="37"/>
      <c r="C321" s="37"/>
      <c r="D321" s="36"/>
    </row>
    <row r="322">
      <c r="B322" s="37"/>
      <c r="C322" s="37"/>
      <c r="D322" s="36"/>
    </row>
    <row r="323">
      <c r="B323" s="37"/>
      <c r="C323" s="37"/>
      <c r="D323" s="36"/>
    </row>
    <row r="324">
      <c r="B324" s="37"/>
      <c r="C324" s="37"/>
      <c r="D324" s="36"/>
    </row>
    <row r="325">
      <c r="B325" s="37"/>
      <c r="C325" s="37"/>
      <c r="D325" s="36"/>
    </row>
    <row r="326">
      <c r="B326" s="37"/>
      <c r="C326" s="37"/>
      <c r="D326" s="36"/>
    </row>
    <row r="327">
      <c r="B327" s="37"/>
      <c r="C327" s="37"/>
      <c r="D327" s="36"/>
    </row>
    <row r="328">
      <c r="B328" s="37"/>
      <c r="C328" s="37"/>
      <c r="D328" s="36"/>
    </row>
    <row r="329">
      <c r="B329" s="37"/>
      <c r="C329" s="37"/>
      <c r="D329" s="36"/>
    </row>
    <row r="330">
      <c r="B330" s="37"/>
      <c r="C330" s="37"/>
      <c r="D330" s="36"/>
    </row>
    <row r="331">
      <c r="B331" s="37"/>
      <c r="C331" s="37"/>
      <c r="D331" s="36"/>
    </row>
    <row r="332">
      <c r="B332" s="37"/>
      <c r="C332" s="37"/>
      <c r="D332" s="36"/>
    </row>
    <row r="333">
      <c r="B333" s="37"/>
      <c r="C333" s="37"/>
      <c r="D333" s="36"/>
    </row>
    <row r="334">
      <c r="B334" s="37"/>
      <c r="C334" s="37"/>
      <c r="D334" s="36"/>
    </row>
    <row r="335">
      <c r="B335" s="37"/>
      <c r="C335" s="37"/>
      <c r="D335" s="36"/>
    </row>
    <row r="336">
      <c r="B336" s="37"/>
      <c r="C336" s="37"/>
      <c r="D336" s="36"/>
    </row>
    <row r="337">
      <c r="B337" s="37"/>
      <c r="C337" s="37"/>
      <c r="D337" s="36"/>
    </row>
    <row r="338">
      <c r="B338" s="37"/>
      <c r="C338" s="37"/>
      <c r="D338" s="36"/>
    </row>
    <row r="339">
      <c r="B339" s="37"/>
      <c r="C339" s="37"/>
      <c r="D339" s="36"/>
    </row>
    <row r="340">
      <c r="B340" s="37"/>
      <c r="C340" s="37"/>
      <c r="D340" s="36"/>
    </row>
    <row r="341">
      <c r="B341" s="37"/>
      <c r="C341" s="37"/>
      <c r="D341" s="36"/>
    </row>
    <row r="342">
      <c r="B342" s="37"/>
      <c r="C342" s="37"/>
      <c r="D342" s="36"/>
    </row>
    <row r="343">
      <c r="B343" s="37"/>
      <c r="C343" s="37"/>
      <c r="D343" s="36"/>
    </row>
    <row r="344">
      <c r="B344" s="37"/>
      <c r="C344" s="37"/>
      <c r="D344" s="36"/>
    </row>
    <row r="345">
      <c r="B345" s="37"/>
      <c r="C345" s="37"/>
      <c r="D345" s="36"/>
    </row>
    <row r="346">
      <c r="B346" s="37"/>
      <c r="C346" s="37"/>
      <c r="D346" s="36"/>
    </row>
    <row r="347">
      <c r="B347" s="37"/>
      <c r="C347" s="37"/>
      <c r="D347" s="36"/>
    </row>
    <row r="348">
      <c r="B348" s="37"/>
      <c r="C348" s="37"/>
      <c r="D348" s="36"/>
    </row>
    <row r="349">
      <c r="B349" s="37"/>
      <c r="C349" s="37"/>
      <c r="D349" s="36"/>
    </row>
    <row r="350">
      <c r="B350" s="37"/>
      <c r="C350" s="37"/>
      <c r="D350" s="36"/>
    </row>
    <row r="351">
      <c r="B351" s="37"/>
      <c r="C351" s="37"/>
      <c r="D351" s="36"/>
    </row>
    <row r="352">
      <c r="B352" s="37"/>
      <c r="C352" s="37"/>
      <c r="D352" s="36"/>
    </row>
    <row r="353">
      <c r="B353" s="37"/>
      <c r="C353" s="37"/>
      <c r="D353" s="36"/>
    </row>
    <row r="354">
      <c r="B354" s="37"/>
      <c r="C354" s="37"/>
      <c r="D354" s="36"/>
    </row>
    <row r="355">
      <c r="B355" s="37"/>
      <c r="C355" s="37"/>
      <c r="D355" s="36"/>
    </row>
    <row r="356">
      <c r="B356" s="37"/>
      <c r="C356" s="37"/>
      <c r="D356" s="36"/>
    </row>
    <row r="357">
      <c r="B357" s="37"/>
      <c r="C357" s="37"/>
      <c r="D357" s="36"/>
    </row>
    <row r="358">
      <c r="B358" s="37"/>
      <c r="C358" s="37"/>
      <c r="D358" s="36"/>
    </row>
    <row r="359">
      <c r="B359" s="37"/>
      <c r="C359" s="37"/>
      <c r="D359" s="36"/>
    </row>
    <row r="360">
      <c r="B360" s="37"/>
      <c r="C360" s="37"/>
      <c r="D360" s="36"/>
    </row>
    <row r="361">
      <c r="B361" s="37"/>
      <c r="C361" s="37"/>
      <c r="D361" s="36"/>
    </row>
    <row r="362">
      <c r="B362" s="37"/>
      <c r="C362" s="37"/>
      <c r="D362" s="36"/>
    </row>
    <row r="363">
      <c r="B363" s="37"/>
      <c r="C363" s="37"/>
      <c r="D363" s="36"/>
    </row>
    <row r="364">
      <c r="B364" s="37"/>
      <c r="C364" s="37"/>
      <c r="D364" s="36"/>
    </row>
    <row r="365">
      <c r="B365" s="37"/>
      <c r="C365" s="37"/>
      <c r="D365" s="36"/>
    </row>
    <row r="366">
      <c r="B366" s="37"/>
      <c r="C366" s="37"/>
      <c r="D366" s="36"/>
    </row>
    <row r="367">
      <c r="B367" s="37"/>
      <c r="C367" s="37"/>
      <c r="D367" s="36"/>
    </row>
    <row r="368">
      <c r="B368" s="37"/>
      <c r="C368" s="37"/>
      <c r="D368" s="36"/>
    </row>
    <row r="369">
      <c r="B369" s="37"/>
      <c r="C369" s="37"/>
      <c r="D369" s="36"/>
    </row>
    <row r="370">
      <c r="B370" s="37"/>
      <c r="C370" s="37"/>
      <c r="D370" s="36"/>
    </row>
    <row r="371">
      <c r="B371" s="37"/>
      <c r="C371" s="37"/>
      <c r="D371" s="36"/>
    </row>
    <row r="372">
      <c r="B372" s="37"/>
      <c r="C372" s="37"/>
      <c r="D372" s="36"/>
    </row>
    <row r="373">
      <c r="B373" s="37"/>
      <c r="C373" s="37"/>
      <c r="D373" s="36"/>
    </row>
    <row r="374">
      <c r="B374" s="37"/>
      <c r="C374" s="37"/>
      <c r="D374" s="36"/>
    </row>
    <row r="375">
      <c r="B375" s="37"/>
      <c r="C375" s="37"/>
      <c r="D375" s="36"/>
    </row>
    <row r="376">
      <c r="B376" s="37"/>
      <c r="C376" s="37"/>
      <c r="D376" s="36"/>
    </row>
    <row r="377">
      <c r="B377" s="37"/>
      <c r="C377" s="37"/>
      <c r="D377" s="36"/>
    </row>
    <row r="378">
      <c r="B378" s="37"/>
      <c r="C378" s="37"/>
      <c r="D378" s="36"/>
    </row>
    <row r="379">
      <c r="B379" s="37"/>
      <c r="C379" s="37"/>
      <c r="D379" s="36"/>
    </row>
    <row r="380">
      <c r="B380" s="37"/>
      <c r="C380" s="37"/>
      <c r="D380" s="36"/>
    </row>
    <row r="381">
      <c r="B381" s="37"/>
      <c r="C381" s="37"/>
      <c r="D381" s="36"/>
    </row>
    <row r="382">
      <c r="B382" s="37"/>
      <c r="C382" s="37"/>
      <c r="D382" s="36"/>
    </row>
    <row r="383">
      <c r="B383" s="37"/>
      <c r="C383" s="37"/>
      <c r="D383" s="36"/>
    </row>
    <row r="384">
      <c r="B384" s="37"/>
      <c r="C384" s="37"/>
      <c r="D384" s="36"/>
    </row>
    <row r="385">
      <c r="B385" s="37"/>
      <c r="C385" s="37"/>
      <c r="D385" s="36"/>
    </row>
    <row r="386">
      <c r="B386" s="37"/>
      <c r="C386" s="37"/>
      <c r="D386" s="36"/>
    </row>
    <row r="387">
      <c r="B387" s="37"/>
      <c r="C387" s="37"/>
      <c r="D387" s="36"/>
    </row>
    <row r="388">
      <c r="B388" s="37"/>
      <c r="C388" s="37"/>
      <c r="D388" s="36"/>
    </row>
    <row r="389">
      <c r="B389" s="37"/>
      <c r="C389" s="37"/>
      <c r="D389" s="36"/>
    </row>
    <row r="390">
      <c r="B390" s="37"/>
      <c r="C390" s="37"/>
      <c r="D390" s="36"/>
    </row>
    <row r="391">
      <c r="B391" s="37"/>
      <c r="C391" s="37"/>
      <c r="D391" s="36"/>
    </row>
    <row r="392">
      <c r="B392" s="37"/>
      <c r="C392" s="37"/>
      <c r="D392" s="36"/>
    </row>
    <row r="393">
      <c r="B393" s="37"/>
      <c r="C393" s="37"/>
      <c r="D393" s="36"/>
    </row>
    <row r="394">
      <c r="B394" s="37"/>
      <c r="C394" s="37"/>
      <c r="D394" s="36"/>
    </row>
    <row r="395">
      <c r="B395" s="37"/>
      <c r="C395" s="37"/>
      <c r="D395" s="36"/>
    </row>
    <row r="396">
      <c r="B396" s="37"/>
      <c r="C396" s="37"/>
      <c r="D396" s="36"/>
    </row>
    <row r="397">
      <c r="B397" s="37"/>
      <c r="C397" s="37"/>
      <c r="D397" s="36"/>
    </row>
    <row r="398">
      <c r="B398" s="37"/>
      <c r="C398" s="37"/>
      <c r="D398" s="36"/>
    </row>
    <row r="399">
      <c r="B399" s="37"/>
      <c r="C399" s="37"/>
      <c r="D399" s="36"/>
    </row>
    <row r="400">
      <c r="B400" s="37"/>
      <c r="C400" s="37"/>
      <c r="D400" s="36"/>
    </row>
    <row r="401">
      <c r="B401" s="37"/>
      <c r="C401" s="37"/>
      <c r="D401" s="36"/>
    </row>
    <row r="402">
      <c r="B402" s="37"/>
      <c r="C402" s="37"/>
      <c r="D402" s="36"/>
    </row>
    <row r="403">
      <c r="B403" s="37"/>
      <c r="C403" s="37"/>
      <c r="D403" s="36"/>
    </row>
    <row r="404">
      <c r="B404" s="37"/>
      <c r="C404" s="37"/>
      <c r="D404" s="36"/>
    </row>
    <row r="405">
      <c r="B405" s="37"/>
      <c r="C405" s="37"/>
      <c r="D405" s="36"/>
    </row>
    <row r="406">
      <c r="B406" s="37"/>
      <c r="C406" s="37"/>
      <c r="D406" s="36"/>
    </row>
    <row r="407">
      <c r="B407" s="37"/>
      <c r="C407" s="37"/>
      <c r="D407" s="36"/>
    </row>
    <row r="408">
      <c r="B408" s="37"/>
      <c r="C408" s="37"/>
      <c r="D408" s="36"/>
    </row>
    <row r="409">
      <c r="B409" s="37"/>
      <c r="C409" s="37"/>
      <c r="D409" s="36"/>
    </row>
    <row r="410">
      <c r="B410" s="37"/>
      <c r="C410" s="37"/>
      <c r="D410" s="36"/>
    </row>
    <row r="411">
      <c r="B411" s="37"/>
      <c r="C411" s="37"/>
      <c r="D411" s="36"/>
    </row>
    <row r="412">
      <c r="B412" s="37"/>
      <c r="C412" s="37"/>
      <c r="D412" s="36"/>
    </row>
    <row r="413">
      <c r="B413" s="37"/>
      <c r="C413" s="37"/>
      <c r="D413" s="36"/>
    </row>
    <row r="414">
      <c r="B414" s="37"/>
      <c r="C414" s="37"/>
      <c r="D414" s="36"/>
    </row>
    <row r="415">
      <c r="B415" s="37"/>
      <c r="C415" s="37"/>
      <c r="D415" s="36"/>
    </row>
    <row r="416">
      <c r="B416" s="37"/>
      <c r="C416" s="37"/>
      <c r="D416" s="36"/>
    </row>
    <row r="417">
      <c r="B417" s="37"/>
      <c r="C417" s="37"/>
      <c r="D417" s="36"/>
    </row>
    <row r="418">
      <c r="B418" s="37"/>
      <c r="C418" s="37"/>
      <c r="D418" s="36"/>
    </row>
    <row r="419">
      <c r="B419" s="37"/>
      <c r="C419" s="37"/>
      <c r="D419" s="36"/>
    </row>
    <row r="420">
      <c r="B420" s="37"/>
      <c r="C420" s="37"/>
      <c r="D420" s="36"/>
    </row>
    <row r="421">
      <c r="B421" s="37"/>
      <c r="C421" s="37"/>
      <c r="D421" s="36"/>
    </row>
    <row r="422">
      <c r="B422" s="37"/>
      <c r="C422" s="37"/>
      <c r="D422" s="36"/>
    </row>
    <row r="423">
      <c r="B423" s="37"/>
      <c r="C423" s="37"/>
      <c r="D423" s="36"/>
    </row>
    <row r="424">
      <c r="B424" s="37"/>
      <c r="C424" s="37"/>
      <c r="D424" s="36"/>
    </row>
    <row r="425">
      <c r="B425" s="37"/>
      <c r="C425" s="37"/>
      <c r="D425" s="36"/>
    </row>
    <row r="426">
      <c r="B426" s="37"/>
      <c r="C426" s="37"/>
      <c r="D426" s="36"/>
    </row>
    <row r="427">
      <c r="B427" s="37"/>
      <c r="C427" s="37"/>
      <c r="D427" s="36"/>
    </row>
    <row r="428">
      <c r="B428" s="37"/>
      <c r="C428" s="37"/>
      <c r="D428" s="36"/>
    </row>
    <row r="429">
      <c r="B429" s="37"/>
      <c r="C429" s="37"/>
      <c r="D429" s="36"/>
    </row>
    <row r="430">
      <c r="B430" s="37"/>
      <c r="C430" s="37"/>
      <c r="D430" s="36"/>
    </row>
    <row r="431">
      <c r="B431" s="37"/>
      <c r="C431" s="37"/>
      <c r="D431" s="36"/>
    </row>
    <row r="432">
      <c r="B432" s="37"/>
      <c r="C432" s="37"/>
      <c r="D432" s="36"/>
    </row>
    <row r="433">
      <c r="B433" s="37"/>
      <c r="C433" s="37"/>
      <c r="D433" s="36"/>
    </row>
    <row r="434">
      <c r="B434" s="37"/>
      <c r="C434" s="37"/>
      <c r="D434" s="36"/>
    </row>
    <row r="435">
      <c r="B435" s="37"/>
      <c r="C435" s="37"/>
      <c r="D435" s="36"/>
    </row>
    <row r="436">
      <c r="B436" s="37"/>
      <c r="C436" s="37"/>
      <c r="D436" s="36"/>
    </row>
    <row r="437">
      <c r="B437" s="37"/>
      <c r="C437" s="37"/>
      <c r="D437" s="36"/>
    </row>
    <row r="438">
      <c r="B438" s="37"/>
      <c r="C438" s="37"/>
      <c r="D438" s="36"/>
    </row>
    <row r="439">
      <c r="B439" s="37"/>
      <c r="C439" s="37"/>
      <c r="D439" s="36"/>
    </row>
    <row r="440">
      <c r="B440" s="37"/>
      <c r="C440" s="37"/>
      <c r="D440" s="36"/>
    </row>
    <row r="441">
      <c r="B441" s="37"/>
      <c r="C441" s="37"/>
      <c r="D441" s="36"/>
    </row>
    <row r="442">
      <c r="B442" s="37"/>
      <c r="C442" s="37"/>
      <c r="D442" s="36"/>
    </row>
    <row r="443">
      <c r="B443" s="37"/>
      <c r="C443" s="37"/>
      <c r="D443" s="36"/>
    </row>
    <row r="444">
      <c r="B444" s="37"/>
      <c r="C444" s="37"/>
      <c r="D444" s="36"/>
    </row>
    <row r="445">
      <c r="B445" s="37"/>
      <c r="C445" s="37"/>
      <c r="D445" s="36"/>
    </row>
    <row r="446">
      <c r="B446" s="37"/>
      <c r="C446" s="37"/>
      <c r="D446" s="36"/>
    </row>
    <row r="447">
      <c r="B447" s="37"/>
      <c r="C447" s="37"/>
      <c r="D447" s="36"/>
    </row>
    <row r="448">
      <c r="B448" s="37"/>
      <c r="C448" s="37"/>
      <c r="D448" s="36"/>
    </row>
    <row r="449">
      <c r="B449" s="37"/>
      <c r="C449" s="37"/>
      <c r="D449" s="36"/>
    </row>
    <row r="450">
      <c r="B450" s="37"/>
      <c r="C450" s="37"/>
      <c r="D450" s="36"/>
    </row>
    <row r="451">
      <c r="B451" s="37"/>
      <c r="C451" s="37"/>
      <c r="D451" s="36"/>
    </row>
    <row r="452">
      <c r="B452" s="37"/>
      <c r="C452" s="37"/>
      <c r="D452" s="36"/>
    </row>
    <row r="453">
      <c r="B453" s="37"/>
      <c r="C453" s="37"/>
      <c r="D453" s="36"/>
    </row>
    <row r="454">
      <c r="B454" s="37"/>
      <c r="C454" s="37"/>
      <c r="D454" s="36"/>
    </row>
    <row r="455">
      <c r="B455" s="37"/>
      <c r="C455" s="37"/>
      <c r="D455" s="36"/>
    </row>
    <row r="456">
      <c r="B456" s="37"/>
      <c r="C456" s="37"/>
      <c r="D456" s="36"/>
    </row>
    <row r="457">
      <c r="B457" s="37"/>
      <c r="C457" s="37"/>
      <c r="D457" s="36"/>
    </row>
    <row r="458">
      <c r="B458" s="37"/>
      <c r="C458" s="37"/>
      <c r="D458" s="36"/>
    </row>
    <row r="459">
      <c r="B459" s="37"/>
      <c r="C459" s="37"/>
      <c r="D459" s="36"/>
    </row>
    <row r="460">
      <c r="B460" s="37"/>
      <c r="C460" s="37"/>
      <c r="D460" s="36"/>
    </row>
    <row r="461">
      <c r="B461" s="37"/>
      <c r="C461" s="37"/>
      <c r="D461" s="36"/>
    </row>
    <row r="462">
      <c r="B462" s="37"/>
      <c r="C462" s="37"/>
      <c r="D462" s="36"/>
    </row>
    <row r="463">
      <c r="B463" s="37"/>
      <c r="C463" s="37"/>
      <c r="D463" s="36"/>
    </row>
    <row r="464">
      <c r="B464" s="37"/>
      <c r="C464" s="37"/>
      <c r="D464" s="36"/>
    </row>
    <row r="465">
      <c r="B465" s="37"/>
      <c r="C465" s="37"/>
      <c r="D465" s="36"/>
    </row>
    <row r="466">
      <c r="B466" s="37"/>
      <c r="C466" s="37"/>
      <c r="D466" s="36"/>
    </row>
    <row r="467">
      <c r="B467" s="37"/>
      <c r="C467" s="37"/>
      <c r="D467" s="36"/>
    </row>
    <row r="468">
      <c r="B468" s="37"/>
      <c r="C468" s="37"/>
      <c r="D468" s="36"/>
    </row>
    <row r="469">
      <c r="B469" s="37"/>
      <c r="C469" s="37"/>
      <c r="D469" s="36"/>
    </row>
    <row r="470">
      <c r="B470" s="37"/>
      <c r="C470" s="37"/>
      <c r="D470" s="36"/>
    </row>
    <row r="471">
      <c r="B471" s="37"/>
      <c r="C471" s="37"/>
      <c r="D471" s="36"/>
    </row>
    <row r="472">
      <c r="B472" s="37"/>
      <c r="C472" s="37"/>
      <c r="D472" s="36"/>
    </row>
    <row r="473">
      <c r="B473" s="37"/>
      <c r="C473" s="37"/>
      <c r="D473" s="36"/>
    </row>
    <row r="474">
      <c r="B474" s="37"/>
      <c r="C474" s="37"/>
      <c r="D474" s="36"/>
    </row>
    <row r="475">
      <c r="B475" s="37"/>
      <c r="C475" s="37"/>
      <c r="D475" s="36"/>
    </row>
    <row r="476">
      <c r="B476" s="37"/>
      <c r="C476" s="37"/>
      <c r="D476" s="36"/>
    </row>
    <row r="477">
      <c r="B477" s="37"/>
      <c r="C477" s="37"/>
      <c r="D477" s="36"/>
    </row>
    <row r="478">
      <c r="B478" s="37"/>
      <c r="C478" s="37"/>
      <c r="D478" s="36"/>
    </row>
    <row r="479">
      <c r="B479" s="37"/>
      <c r="C479" s="37"/>
      <c r="D479" s="36"/>
    </row>
    <row r="480">
      <c r="B480" s="37"/>
      <c r="C480" s="37"/>
      <c r="D480" s="36"/>
    </row>
    <row r="481">
      <c r="B481" s="37"/>
      <c r="C481" s="37"/>
      <c r="D481" s="36"/>
    </row>
    <row r="482">
      <c r="B482" s="37"/>
      <c r="C482" s="37"/>
      <c r="D482" s="36"/>
    </row>
    <row r="483">
      <c r="B483" s="37"/>
      <c r="C483" s="37"/>
      <c r="D483" s="36"/>
    </row>
    <row r="484">
      <c r="B484" s="37"/>
      <c r="C484" s="37"/>
      <c r="D484" s="36"/>
    </row>
    <row r="485">
      <c r="B485" s="37"/>
      <c r="C485" s="37"/>
      <c r="D485" s="36"/>
    </row>
    <row r="486">
      <c r="B486" s="37"/>
      <c r="C486" s="37"/>
      <c r="D486" s="36"/>
    </row>
    <row r="487">
      <c r="B487" s="37"/>
      <c r="C487" s="37"/>
      <c r="D487" s="36"/>
    </row>
    <row r="488">
      <c r="B488" s="37"/>
      <c r="C488" s="37"/>
      <c r="D488" s="36"/>
    </row>
    <row r="489">
      <c r="B489" s="37"/>
      <c r="C489" s="37"/>
      <c r="D489" s="36"/>
    </row>
    <row r="490">
      <c r="B490" s="37"/>
      <c r="C490" s="37"/>
      <c r="D490" s="36"/>
    </row>
    <row r="491">
      <c r="B491" s="37"/>
      <c r="C491" s="37"/>
      <c r="D491" s="36"/>
    </row>
    <row r="492">
      <c r="B492" s="37"/>
      <c r="C492" s="37"/>
      <c r="D492" s="36"/>
    </row>
    <row r="493">
      <c r="B493" s="37"/>
      <c r="C493" s="37"/>
      <c r="D493" s="36"/>
    </row>
    <row r="494">
      <c r="B494" s="37"/>
      <c r="C494" s="37"/>
      <c r="D494" s="36"/>
    </row>
    <row r="495">
      <c r="B495" s="37"/>
      <c r="C495" s="37"/>
      <c r="D495" s="36"/>
    </row>
    <row r="496">
      <c r="B496" s="37"/>
      <c r="C496" s="37"/>
      <c r="D496" s="36"/>
    </row>
    <row r="497">
      <c r="B497" s="37"/>
      <c r="C497" s="37"/>
      <c r="D497" s="36"/>
    </row>
    <row r="498">
      <c r="B498" s="37"/>
      <c r="C498" s="37"/>
      <c r="D498" s="36"/>
    </row>
    <row r="499">
      <c r="B499" s="37"/>
      <c r="C499" s="37"/>
      <c r="D499" s="36"/>
    </row>
    <row r="500">
      <c r="B500" s="37"/>
      <c r="C500" s="37"/>
      <c r="D500" s="36"/>
    </row>
    <row r="501">
      <c r="B501" s="37"/>
      <c r="C501" s="37"/>
      <c r="D501" s="36"/>
    </row>
    <row r="502">
      <c r="B502" s="37"/>
      <c r="C502" s="37"/>
      <c r="D502" s="36"/>
    </row>
    <row r="503">
      <c r="B503" s="37"/>
      <c r="C503" s="37"/>
      <c r="D503" s="36"/>
    </row>
    <row r="504">
      <c r="B504" s="37"/>
      <c r="C504" s="37"/>
      <c r="D504" s="36"/>
    </row>
    <row r="505">
      <c r="B505" s="37"/>
      <c r="C505" s="37"/>
      <c r="D505" s="36"/>
    </row>
    <row r="506">
      <c r="B506" s="37"/>
      <c r="C506" s="37"/>
      <c r="D506" s="36"/>
    </row>
    <row r="507">
      <c r="B507" s="37"/>
      <c r="C507" s="37"/>
      <c r="D507" s="36"/>
    </row>
    <row r="508">
      <c r="B508" s="37"/>
      <c r="C508" s="37"/>
      <c r="D508" s="36"/>
    </row>
    <row r="509">
      <c r="B509" s="37"/>
      <c r="C509" s="37"/>
      <c r="D509" s="36"/>
    </row>
    <row r="510">
      <c r="B510" s="37"/>
      <c r="C510" s="37"/>
      <c r="D510" s="36"/>
    </row>
    <row r="511">
      <c r="B511" s="37"/>
      <c r="C511" s="37"/>
      <c r="D511" s="36"/>
    </row>
    <row r="512">
      <c r="B512" s="37"/>
      <c r="C512" s="37"/>
      <c r="D512" s="36"/>
    </row>
    <row r="513">
      <c r="B513" s="37"/>
      <c r="C513" s="37"/>
      <c r="D513" s="36"/>
    </row>
    <row r="514">
      <c r="B514" s="37"/>
      <c r="C514" s="37"/>
      <c r="D514" s="36"/>
    </row>
    <row r="515">
      <c r="B515" s="37"/>
      <c r="C515" s="37"/>
      <c r="D515" s="36"/>
    </row>
    <row r="516">
      <c r="B516" s="37"/>
      <c r="C516" s="37"/>
      <c r="D516" s="36"/>
    </row>
    <row r="517">
      <c r="B517" s="37"/>
      <c r="C517" s="37"/>
      <c r="D517" s="36"/>
    </row>
    <row r="518">
      <c r="B518" s="37"/>
      <c r="C518" s="37"/>
      <c r="D518" s="36"/>
    </row>
    <row r="519">
      <c r="B519" s="37"/>
      <c r="C519" s="37"/>
      <c r="D519" s="36"/>
    </row>
    <row r="520">
      <c r="B520" s="37"/>
      <c r="C520" s="37"/>
      <c r="D520" s="36"/>
    </row>
    <row r="521">
      <c r="B521" s="37"/>
      <c r="C521" s="37"/>
      <c r="D521" s="36"/>
    </row>
    <row r="522">
      <c r="B522" s="37"/>
      <c r="C522" s="37"/>
      <c r="D522" s="36"/>
    </row>
    <row r="523">
      <c r="B523" s="37"/>
      <c r="C523" s="37"/>
      <c r="D523" s="36"/>
    </row>
    <row r="524">
      <c r="B524" s="37"/>
      <c r="C524" s="37"/>
      <c r="D524" s="36"/>
    </row>
    <row r="525">
      <c r="B525" s="37"/>
      <c r="C525" s="37"/>
      <c r="D525" s="36"/>
    </row>
    <row r="526">
      <c r="B526" s="37"/>
      <c r="C526" s="37"/>
      <c r="D526" s="36"/>
    </row>
    <row r="527">
      <c r="B527" s="37"/>
      <c r="C527" s="37"/>
      <c r="D527" s="36"/>
    </row>
    <row r="528">
      <c r="B528" s="37"/>
      <c r="C528" s="37"/>
      <c r="D528" s="36"/>
    </row>
    <row r="529">
      <c r="B529" s="37"/>
      <c r="C529" s="37"/>
      <c r="D529" s="36"/>
    </row>
    <row r="530">
      <c r="B530" s="37"/>
      <c r="C530" s="37"/>
      <c r="D530" s="36"/>
    </row>
    <row r="531">
      <c r="B531" s="37"/>
      <c r="C531" s="37"/>
      <c r="D531" s="36"/>
    </row>
    <row r="532">
      <c r="B532" s="37"/>
      <c r="C532" s="37"/>
      <c r="D532" s="36"/>
    </row>
    <row r="533">
      <c r="B533" s="37"/>
      <c r="C533" s="37"/>
      <c r="D533" s="36"/>
    </row>
    <row r="534">
      <c r="B534" s="37"/>
      <c r="C534" s="37"/>
      <c r="D534" s="36"/>
    </row>
    <row r="535">
      <c r="B535" s="37"/>
      <c r="C535" s="37"/>
      <c r="D535" s="36"/>
    </row>
    <row r="536">
      <c r="B536" s="37"/>
      <c r="C536" s="37"/>
      <c r="D536" s="36"/>
    </row>
    <row r="537">
      <c r="B537" s="37"/>
      <c r="C537" s="37"/>
      <c r="D537" s="36"/>
    </row>
    <row r="538">
      <c r="B538" s="37"/>
      <c r="C538" s="37"/>
      <c r="D538" s="36"/>
    </row>
    <row r="539">
      <c r="B539" s="37"/>
      <c r="C539" s="37"/>
      <c r="D539" s="36"/>
    </row>
    <row r="540">
      <c r="B540" s="37"/>
      <c r="C540" s="37"/>
      <c r="D540" s="36"/>
    </row>
    <row r="541">
      <c r="B541" s="37"/>
      <c r="C541" s="37"/>
      <c r="D541" s="36"/>
    </row>
    <row r="542">
      <c r="B542" s="37"/>
      <c r="C542" s="37"/>
      <c r="D542" s="36"/>
    </row>
    <row r="543">
      <c r="B543" s="37"/>
      <c r="C543" s="37"/>
      <c r="D543" s="36"/>
    </row>
    <row r="544">
      <c r="B544" s="37"/>
      <c r="C544" s="37"/>
      <c r="D544" s="36"/>
    </row>
    <row r="545">
      <c r="B545" s="37"/>
      <c r="C545" s="37"/>
      <c r="D545" s="36"/>
    </row>
    <row r="546">
      <c r="B546" s="37"/>
      <c r="C546" s="37"/>
      <c r="D546" s="36"/>
    </row>
    <row r="547">
      <c r="B547" s="37"/>
      <c r="C547" s="37"/>
      <c r="D547" s="36"/>
    </row>
    <row r="548">
      <c r="B548" s="37"/>
      <c r="C548" s="37"/>
      <c r="D548" s="36"/>
    </row>
    <row r="549">
      <c r="B549" s="37"/>
      <c r="C549" s="37"/>
      <c r="D549" s="36"/>
    </row>
    <row r="550">
      <c r="B550" s="37"/>
      <c r="C550" s="37"/>
      <c r="D550" s="36"/>
    </row>
    <row r="551">
      <c r="B551" s="37"/>
      <c r="C551" s="37"/>
      <c r="D551" s="36"/>
    </row>
    <row r="552">
      <c r="B552" s="37"/>
      <c r="C552" s="37"/>
      <c r="D552" s="36"/>
    </row>
    <row r="553">
      <c r="B553" s="37"/>
      <c r="C553" s="37"/>
      <c r="D553" s="36"/>
    </row>
    <row r="554">
      <c r="B554" s="37"/>
      <c r="C554" s="37"/>
      <c r="D554" s="36"/>
    </row>
    <row r="555">
      <c r="B555" s="37"/>
      <c r="C555" s="37"/>
      <c r="D555" s="36"/>
    </row>
    <row r="556">
      <c r="B556" s="37"/>
      <c r="C556" s="37"/>
      <c r="D556" s="36"/>
    </row>
    <row r="557">
      <c r="B557" s="37"/>
      <c r="C557" s="37"/>
      <c r="D557" s="36"/>
    </row>
    <row r="558">
      <c r="B558" s="37"/>
      <c r="C558" s="37"/>
      <c r="D558" s="36"/>
    </row>
    <row r="559">
      <c r="B559" s="37"/>
      <c r="C559" s="37"/>
      <c r="D559" s="36"/>
    </row>
    <row r="560">
      <c r="B560" s="37"/>
      <c r="C560" s="37"/>
      <c r="D560" s="36"/>
    </row>
    <row r="561">
      <c r="B561" s="37"/>
      <c r="C561" s="37"/>
      <c r="D561" s="36"/>
    </row>
    <row r="562">
      <c r="B562" s="37"/>
      <c r="C562" s="37"/>
      <c r="D562" s="36"/>
    </row>
    <row r="563">
      <c r="B563" s="37"/>
      <c r="C563" s="37"/>
      <c r="D563" s="36"/>
    </row>
    <row r="564">
      <c r="B564" s="37"/>
      <c r="C564" s="37"/>
      <c r="D564" s="36"/>
    </row>
    <row r="565">
      <c r="B565" s="37"/>
      <c r="C565" s="37"/>
      <c r="D565" s="36"/>
    </row>
    <row r="566">
      <c r="B566" s="37"/>
      <c r="C566" s="37"/>
      <c r="D566" s="36"/>
    </row>
    <row r="567">
      <c r="B567" s="37"/>
      <c r="C567" s="37"/>
      <c r="D567" s="36"/>
    </row>
    <row r="568">
      <c r="B568" s="37"/>
      <c r="C568" s="37"/>
      <c r="D568" s="36"/>
    </row>
    <row r="569">
      <c r="B569" s="37"/>
      <c r="C569" s="37"/>
      <c r="D569" s="36"/>
    </row>
    <row r="570">
      <c r="B570" s="37"/>
      <c r="C570" s="37"/>
      <c r="D570" s="36"/>
    </row>
    <row r="571">
      <c r="B571" s="37"/>
      <c r="C571" s="37"/>
      <c r="D571" s="36"/>
    </row>
    <row r="572">
      <c r="B572" s="37"/>
      <c r="C572" s="37"/>
      <c r="D572" s="36"/>
    </row>
    <row r="573">
      <c r="B573" s="37"/>
      <c r="C573" s="37"/>
      <c r="D573" s="36"/>
    </row>
    <row r="574">
      <c r="B574" s="37"/>
      <c r="C574" s="37"/>
      <c r="D574" s="36"/>
    </row>
    <row r="575">
      <c r="B575" s="37"/>
      <c r="C575" s="37"/>
      <c r="D575" s="36"/>
    </row>
    <row r="576">
      <c r="B576" s="37"/>
      <c r="C576" s="37"/>
      <c r="D576" s="36"/>
    </row>
    <row r="577">
      <c r="B577" s="37"/>
      <c r="C577" s="37"/>
      <c r="D577" s="36"/>
    </row>
    <row r="578">
      <c r="B578" s="37"/>
      <c r="C578" s="37"/>
      <c r="D578" s="36"/>
    </row>
    <row r="579">
      <c r="B579" s="37"/>
      <c r="C579" s="37"/>
      <c r="D579" s="36"/>
    </row>
    <row r="580">
      <c r="B580" s="37"/>
      <c r="C580" s="37"/>
      <c r="D580" s="36"/>
    </row>
    <row r="581">
      <c r="B581" s="37"/>
      <c r="C581" s="37"/>
      <c r="D581" s="36"/>
    </row>
    <row r="582">
      <c r="B582" s="37"/>
      <c r="C582" s="37"/>
      <c r="D582" s="36"/>
    </row>
    <row r="583">
      <c r="B583" s="37"/>
      <c r="C583" s="37"/>
      <c r="D583" s="36"/>
    </row>
    <row r="584">
      <c r="B584" s="37"/>
      <c r="C584" s="37"/>
      <c r="D584" s="36"/>
    </row>
    <row r="585">
      <c r="B585" s="37"/>
      <c r="C585" s="37"/>
      <c r="D585" s="36"/>
    </row>
    <row r="586">
      <c r="B586" s="37"/>
      <c r="C586" s="37"/>
      <c r="D586" s="36"/>
    </row>
    <row r="587">
      <c r="B587" s="37"/>
      <c r="C587" s="37"/>
      <c r="D587" s="36"/>
    </row>
    <row r="588">
      <c r="B588" s="37"/>
      <c r="C588" s="37"/>
      <c r="D588" s="36"/>
    </row>
    <row r="589">
      <c r="B589" s="37"/>
      <c r="C589" s="37"/>
      <c r="D589" s="36"/>
    </row>
    <row r="590">
      <c r="B590" s="37"/>
      <c r="C590" s="37"/>
      <c r="D590" s="36"/>
    </row>
    <row r="591">
      <c r="B591" s="37"/>
      <c r="C591" s="37"/>
      <c r="D591" s="36"/>
    </row>
    <row r="592">
      <c r="B592" s="37"/>
      <c r="C592" s="37"/>
      <c r="D592" s="36"/>
    </row>
    <row r="593">
      <c r="B593" s="37"/>
      <c r="C593" s="37"/>
      <c r="D593" s="36"/>
    </row>
    <row r="594">
      <c r="B594" s="37"/>
      <c r="C594" s="37"/>
      <c r="D594" s="36"/>
    </row>
    <row r="595">
      <c r="B595" s="37"/>
      <c r="C595" s="37"/>
      <c r="D595" s="36"/>
    </row>
    <row r="596">
      <c r="B596" s="37"/>
      <c r="C596" s="37"/>
      <c r="D596" s="36"/>
    </row>
    <row r="597">
      <c r="B597" s="37"/>
      <c r="C597" s="37"/>
      <c r="D597" s="36"/>
    </row>
    <row r="598">
      <c r="B598" s="37"/>
      <c r="C598" s="37"/>
      <c r="D598" s="36"/>
    </row>
    <row r="599">
      <c r="B599" s="37"/>
      <c r="C599" s="37"/>
      <c r="D599" s="36"/>
    </row>
    <row r="600">
      <c r="B600" s="37"/>
      <c r="C600" s="37"/>
      <c r="D600" s="36"/>
    </row>
    <row r="601">
      <c r="B601" s="37"/>
      <c r="C601" s="37"/>
      <c r="D601" s="36"/>
    </row>
    <row r="602">
      <c r="B602" s="37"/>
      <c r="C602" s="37"/>
      <c r="D602" s="36"/>
    </row>
    <row r="603">
      <c r="B603" s="37"/>
      <c r="C603" s="37"/>
      <c r="D603" s="36"/>
    </row>
    <row r="604">
      <c r="B604" s="37"/>
      <c r="C604" s="37"/>
      <c r="D604" s="36"/>
    </row>
    <row r="605">
      <c r="B605" s="37"/>
      <c r="C605" s="37"/>
      <c r="D605" s="36"/>
    </row>
    <row r="606">
      <c r="B606" s="37"/>
      <c r="C606" s="37"/>
      <c r="D606" s="36"/>
    </row>
    <row r="607">
      <c r="B607" s="37"/>
      <c r="C607" s="37"/>
      <c r="D607" s="36"/>
    </row>
    <row r="608">
      <c r="B608" s="37"/>
      <c r="C608" s="37"/>
      <c r="D608" s="36"/>
    </row>
    <row r="609">
      <c r="B609" s="37"/>
      <c r="C609" s="37"/>
      <c r="D609" s="36"/>
    </row>
    <row r="610">
      <c r="B610" s="37"/>
      <c r="C610" s="37"/>
      <c r="D610" s="36"/>
    </row>
    <row r="611">
      <c r="B611" s="37"/>
      <c r="C611" s="37"/>
      <c r="D611" s="36"/>
    </row>
    <row r="612">
      <c r="B612" s="37"/>
      <c r="C612" s="37"/>
      <c r="D612" s="36"/>
    </row>
    <row r="613">
      <c r="B613" s="37"/>
      <c r="C613" s="37"/>
      <c r="D613" s="36"/>
    </row>
    <row r="614">
      <c r="B614" s="37"/>
      <c r="C614" s="37"/>
      <c r="D614" s="36"/>
    </row>
    <row r="615">
      <c r="B615" s="37"/>
      <c r="C615" s="37"/>
      <c r="D615" s="36"/>
    </row>
    <row r="616">
      <c r="B616" s="37"/>
      <c r="C616" s="37"/>
      <c r="D616" s="36"/>
    </row>
    <row r="617">
      <c r="B617" s="37"/>
      <c r="C617" s="37"/>
      <c r="D617" s="36"/>
    </row>
    <row r="618">
      <c r="B618" s="37"/>
      <c r="C618" s="37"/>
      <c r="D618" s="36"/>
    </row>
    <row r="619">
      <c r="B619" s="37"/>
      <c r="C619" s="37"/>
      <c r="D619" s="36"/>
    </row>
    <row r="620">
      <c r="B620" s="37"/>
      <c r="C620" s="37"/>
      <c r="D620" s="36"/>
    </row>
    <row r="621">
      <c r="B621" s="37"/>
      <c r="C621" s="37"/>
      <c r="D621" s="36"/>
    </row>
    <row r="622">
      <c r="B622" s="37"/>
      <c r="C622" s="37"/>
      <c r="D622" s="36"/>
    </row>
    <row r="623">
      <c r="B623" s="37"/>
      <c r="C623" s="37"/>
      <c r="D623" s="36"/>
    </row>
    <row r="624">
      <c r="B624" s="37"/>
      <c r="C624" s="37"/>
      <c r="D624" s="36"/>
    </row>
    <row r="625">
      <c r="B625" s="37"/>
      <c r="C625" s="37"/>
      <c r="D625" s="36"/>
    </row>
    <row r="626">
      <c r="B626" s="37"/>
      <c r="C626" s="37"/>
      <c r="D626" s="36"/>
    </row>
    <row r="627">
      <c r="B627" s="37"/>
      <c r="C627" s="37"/>
      <c r="D627" s="36"/>
    </row>
    <row r="628">
      <c r="B628" s="37"/>
      <c r="C628" s="37"/>
      <c r="D628" s="36"/>
    </row>
    <row r="629">
      <c r="B629" s="37"/>
      <c r="C629" s="37"/>
      <c r="D629" s="36"/>
    </row>
    <row r="630">
      <c r="B630" s="37"/>
      <c r="C630" s="37"/>
      <c r="D630" s="36"/>
    </row>
    <row r="631">
      <c r="B631" s="37"/>
      <c r="C631" s="37"/>
      <c r="D631" s="36"/>
    </row>
    <row r="632">
      <c r="B632" s="37"/>
      <c r="C632" s="37"/>
      <c r="D632" s="36"/>
    </row>
    <row r="633">
      <c r="B633" s="37"/>
      <c r="C633" s="37"/>
      <c r="D633" s="36"/>
    </row>
    <row r="634">
      <c r="B634" s="37"/>
      <c r="C634" s="37"/>
      <c r="D634" s="36"/>
    </row>
    <row r="635">
      <c r="B635" s="37"/>
      <c r="C635" s="37"/>
      <c r="D635" s="36"/>
    </row>
    <row r="636">
      <c r="B636" s="37"/>
      <c r="C636" s="37"/>
      <c r="D636" s="36"/>
    </row>
    <row r="637">
      <c r="B637" s="37"/>
      <c r="C637" s="37"/>
      <c r="D637" s="36"/>
    </row>
    <row r="638">
      <c r="B638" s="37"/>
      <c r="C638" s="37"/>
      <c r="D638" s="36"/>
    </row>
    <row r="639">
      <c r="B639" s="37"/>
      <c r="C639" s="37"/>
      <c r="D639" s="36"/>
    </row>
    <row r="640">
      <c r="B640" s="37"/>
      <c r="C640" s="37"/>
      <c r="D640" s="36"/>
    </row>
    <row r="641">
      <c r="B641" s="37"/>
      <c r="C641" s="37"/>
      <c r="D641" s="36"/>
    </row>
    <row r="642">
      <c r="B642" s="37"/>
      <c r="C642" s="37"/>
      <c r="D642" s="36"/>
    </row>
    <row r="643">
      <c r="B643" s="37"/>
      <c r="C643" s="37"/>
      <c r="D643" s="36"/>
    </row>
    <row r="644">
      <c r="B644" s="37"/>
      <c r="C644" s="37"/>
      <c r="D644" s="36"/>
    </row>
    <row r="645">
      <c r="B645" s="37"/>
      <c r="C645" s="37"/>
      <c r="D645" s="36"/>
    </row>
    <row r="646">
      <c r="B646" s="37"/>
      <c r="C646" s="37"/>
      <c r="D646" s="36"/>
    </row>
    <row r="647">
      <c r="B647" s="37"/>
      <c r="C647" s="37"/>
      <c r="D647" s="36"/>
    </row>
    <row r="648">
      <c r="B648" s="37"/>
      <c r="C648" s="37"/>
      <c r="D648" s="36"/>
    </row>
    <row r="649">
      <c r="B649" s="37"/>
      <c r="C649" s="37"/>
      <c r="D649" s="36"/>
    </row>
    <row r="650">
      <c r="B650" s="37"/>
      <c r="C650" s="37"/>
      <c r="D650" s="36"/>
    </row>
    <row r="651">
      <c r="B651" s="37"/>
      <c r="C651" s="37"/>
      <c r="D651" s="36"/>
    </row>
    <row r="652">
      <c r="B652" s="37"/>
      <c r="C652" s="37"/>
      <c r="D652" s="36"/>
    </row>
    <row r="653">
      <c r="B653" s="37"/>
      <c r="C653" s="37"/>
      <c r="D653" s="36"/>
    </row>
    <row r="654">
      <c r="B654" s="37"/>
      <c r="C654" s="37"/>
      <c r="D654" s="36"/>
    </row>
    <row r="655">
      <c r="B655" s="37"/>
      <c r="C655" s="37"/>
      <c r="D655" s="36"/>
    </row>
    <row r="656">
      <c r="B656" s="37"/>
      <c r="C656" s="37"/>
      <c r="D656" s="36"/>
    </row>
    <row r="657">
      <c r="B657" s="37"/>
      <c r="C657" s="37"/>
      <c r="D657" s="36"/>
    </row>
    <row r="658">
      <c r="B658" s="37"/>
      <c r="C658" s="37"/>
      <c r="D658" s="36"/>
    </row>
    <row r="659">
      <c r="B659" s="37"/>
      <c r="C659" s="37"/>
      <c r="D659" s="36"/>
    </row>
    <row r="660">
      <c r="B660" s="37"/>
      <c r="C660" s="37"/>
      <c r="D660" s="36"/>
    </row>
    <row r="661">
      <c r="B661" s="37"/>
      <c r="C661" s="37"/>
      <c r="D661" s="36"/>
    </row>
    <row r="662">
      <c r="B662" s="37"/>
      <c r="C662" s="37"/>
      <c r="D662" s="36"/>
    </row>
    <row r="663">
      <c r="B663" s="37"/>
      <c r="C663" s="37"/>
      <c r="D663" s="36"/>
    </row>
    <row r="664">
      <c r="B664" s="37"/>
      <c r="C664" s="37"/>
      <c r="D664" s="36"/>
    </row>
    <row r="665">
      <c r="B665" s="37"/>
      <c r="C665" s="37"/>
      <c r="D665" s="36"/>
    </row>
    <row r="666">
      <c r="B666" s="37"/>
      <c r="C666" s="37"/>
      <c r="D666" s="36"/>
    </row>
    <row r="667">
      <c r="B667" s="37"/>
      <c r="C667" s="37"/>
      <c r="D667" s="36"/>
    </row>
    <row r="668">
      <c r="B668" s="37"/>
      <c r="C668" s="37"/>
      <c r="D668" s="36"/>
    </row>
    <row r="669">
      <c r="B669" s="37"/>
      <c r="C669" s="37"/>
      <c r="D669" s="36"/>
    </row>
    <row r="670">
      <c r="B670" s="37"/>
      <c r="C670" s="37"/>
      <c r="D670" s="36"/>
    </row>
    <row r="671">
      <c r="B671" s="37"/>
      <c r="C671" s="37"/>
      <c r="D671" s="36"/>
    </row>
    <row r="672">
      <c r="B672" s="37"/>
      <c r="C672" s="37"/>
      <c r="D672" s="36"/>
    </row>
    <row r="673">
      <c r="B673" s="37"/>
      <c r="C673" s="37"/>
      <c r="D673" s="36"/>
    </row>
    <row r="674">
      <c r="B674" s="37"/>
      <c r="C674" s="37"/>
      <c r="D674" s="36"/>
    </row>
    <row r="675">
      <c r="B675" s="37"/>
      <c r="C675" s="37"/>
      <c r="D675" s="36"/>
    </row>
    <row r="676">
      <c r="B676" s="37"/>
      <c r="C676" s="37"/>
      <c r="D676" s="36"/>
    </row>
    <row r="677">
      <c r="B677" s="37"/>
      <c r="C677" s="37"/>
      <c r="D677" s="36"/>
    </row>
    <row r="678">
      <c r="B678" s="37"/>
      <c r="C678" s="37"/>
      <c r="D678" s="36"/>
    </row>
    <row r="679">
      <c r="B679" s="37"/>
      <c r="C679" s="37"/>
      <c r="D679" s="36"/>
    </row>
    <row r="680">
      <c r="B680" s="37"/>
      <c r="C680" s="37"/>
      <c r="D680" s="36"/>
    </row>
    <row r="681">
      <c r="B681" s="37"/>
      <c r="C681" s="37"/>
      <c r="D681" s="36"/>
    </row>
    <row r="682">
      <c r="B682" s="37"/>
      <c r="C682" s="37"/>
      <c r="D682" s="36"/>
    </row>
    <row r="683">
      <c r="B683" s="37"/>
      <c r="C683" s="37"/>
      <c r="D683" s="36"/>
    </row>
    <row r="684">
      <c r="B684" s="37"/>
      <c r="C684" s="37"/>
      <c r="D684" s="36"/>
    </row>
    <row r="685">
      <c r="B685" s="37"/>
      <c r="C685" s="37"/>
      <c r="D685" s="36"/>
    </row>
    <row r="686">
      <c r="B686" s="37"/>
      <c r="C686" s="37"/>
      <c r="D686" s="36"/>
    </row>
    <row r="687">
      <c r="B687" s="37"/>
      <c r="C687" s="37"/>
      <c r="D687" s="36"/>
    </row>
    <row r="688">
      <c r="B688" s="37"/>
      <c r="C688" s="37"/>
      <c r="D688" s="36"/>
    </row>
    <row r="689">
      <c r="B689" s="37"/>
      <c r="C689" s="37"/>
      <c r="D689" s="36"/>
    </row>
    <row r="690">
      <c r="B690" s="37"/>
      <c r="C690" s="37"/>
      <c r="D690" s="36"/>
    </row>
    <row r="691">
      <c r="B691" s="37"/>
      <c r="C691" s="37"/>
      <c r="D691" s="36"/>
    </row>
    <row r="692">
      <c r="B692" s="37"/>
      <c r="C692" s="37"/>
      <c r="D692" s="36"/>
    </row>
    <row r="693">
      <c r="B693" s="37"/>
      <c r="C693" s="37"/>
      <c r="D693" s="36"/>
    </row>
    <row r="694">
      <c r="B694" s="37"/>
      <c r="C694" s="37"/>
      <c r="D694" s="36"/>
    </row>
    <row r="695">
      <c r="B695" s="37"/>
      <c r="C695" s="37"/>
      <c r="D695" s="36"/>
    </row>
    <row r="696">
      <c r="B696" s="37"/>
      <c r="C696" s="37"/>
      <c r="D696" s="36"/>
    </row>
    <row r="697">
      <c r="B697" s="37"/>
      <c r="C697" s="37"/>
      <c r="D697" s="36"/>
    </row>
    <row r="698">
      <c r="B698" s="37"/>
      <c r="C698" s="37"/>
      <c r="D698" s="36"/>
    </row>
    <row r="699">
      <c r="B699" s="37"/>
      <c r="C699" s="37"/>
      <c r="D699" s="36"/>
    </row>
    <row r="700">
      <c r="B700" s="37"/>
      <c r="C700" s="37"/>
      <c r="D700" s="36"/>
    </row>
    <row r="701">
      <c r="B701" s="37"/>
      <c r="C701" s="37"/>
      <c r="D701" s="36"/>
    </row>
    <row r="702">
      <c r="B702" s="37"/>
      <c r="C702" s="37"/>
      <c r="D702" s="36"/>
    </row>
    <row r="703">
      <c r="B703" s="37"/>
      <c r="C703" s="37"/>
      <c r="D703" s="36"/>
    </row>
    <row r="704">
      <c r="B704" s="37"/>
      <c r="C704" s="37"/>
      <c r="D704" s="36"/>
    </row>
    <row r="705">
      <c r="B705" s="37"/>
      <c r="C705" s="37"/>
      <c r="D705" s="36"/>
    </row>
    <row r="706">
      <c r="B706" s="37"/>
      <c r="C706" s="37"/>
      <c r="D706" s="36"/>
    </row>
    <row r="707">
      <c r="B707" s="37"/>
      <c r="C707" s="37"/>
      <c r="D707" s="36"/>
    </row>
    <row r="708">
      <c r="B708" s="37"/>
      <c r="C708" s="37"/>
      <c r="D708" s="36"/>
    </row>
    <row r="709">
      <c r="B709" s="37"/>
      <c r="C709" s="37"/>
      <c r="D709" s="36"/>
    </row>
    <row r="710">
      <c r="B710" s="37"/>
      <c r="C710" s="37"/>
      <c r="D710" s="36"/>
    </row>
    <row r="711">
      <c r="B711" s="37"/>
      <c r="C711" s="37"/>
      <c r="D711" s="36"/>
    </row>
    <row r="712">
      <c r="B712" s="37"/>
      <c r="C712" s="37"/>
      <c r="D712" s="36"/>
    </row>
    <row r="713">
      <c r="B713" s="37"/>
      <c r="C713" s="37"/>
      <c r="D713" s="36"/>
    </row>
    <row r="714">
      <c r="B714" s="37"/>
      <c r="C714" s="37"/>
      <c r="D714" s="36"/>
    </row>
    <row r="715">
      <c r="B715" s="37"/>
      <c r="C715" s="37"/>
      <c r="D715" s="36"/>
    </row>
    <row r="716">
      <c r="B716" s="37"/>
      <c r="C716" s="37"/>
      <c r="D716" s="36"/>
    </row>
    <row r="717">
      <c r="B717" s="37"/>
      <c r="C717" s="37"/>
      <c r="D717" s="36"/>
    </row>
    <row r="718">
      <c r="B718" s="37"/>
      <c r="C718" s="37"/>
      <c r="D718" s="36"/>
    </row>
    <row r="719">
      <c r="B719" s="37"/>
      <c r="C719" s="37"/>
      <c r="D719" s="36"/>
    </row>
    <row r="720">
      <c r="B720" s="37"/>
      <c r="C720" s="37"/>
      <c r="D720" s="36"/>
    </row>
    <row r="721">
      <c r="B721" s="37"/>
      <c r="C721" s="37"/>
      <c r="D721" s="36"/>
    </row>
    <row r="722">
      <c r="B722" s="37"/>
      <c r="C722" s="37"/>
      <c r="D722" s="36"/>
    </row>
    <row r="723">
      <c r="B723" s="37"/>
      <c r="C723" s="37"/>
      <c r="D723" s="36"/>
    </row>
    <row r="724">
      <c r="B724" s="37"/>
      <c r="C724" s="37"/>
      <c r="D724" s="36"/>
    </row>
    <row r="725">
      <c r="B725" s="37"/>
      <c r="C725" s="37"/>
      <c r="D725" s="36"/>
    </row>
    <row r="726">
      <c r="B726" s="37"/>
      <c r="C726" s="37"/>
      <c r="D726" s="36"/>
    </row>
    <row r="727">
      <c r="B727" s="37"/>
      <c r="C727" s="37"/>
      <c r="D727" s="36"/>
    </row>
    <row r="728">
      <c r="B728" s="37"/>
      <c r="C728" s="37"/>
      <c r="D728" s="36"/>
    </row>
    <row r="729">
      <c r="B729" s="37"/>
      <c r="C729" s="37"/>
      <c r="D729" s="36"/>
    </row>
    <row r="730">
      <c r="B730" s="37"/>
      <c r="C730" s="37"/>
      <c r="D730" s="36"/>
    </row>
    <row r="731">
      <c r="B731" s="37"/>
      <c r="C731" s="37"/>
      <c r="D731" s="36"/>
    </row>
    <row r="732">
      <c r="B732" s="37"/>
      <c r="C732" s="37"/>
      <c r="D732" s="36"/>
    </row>
    <row r="733">
      <c r="B733" s="37"/>
      <c r="C733" s="37"/>
      <c r="D733" s="36"/>
    </row>
    <row r="734">
      <c r="B734" s="37"/>
      <c r="C734" s="37"/>
      <c r="D734" s="36"/>
    </row>
    <row r="735">
      <c r="B735" s="37"/>
      <c r="C735" s="37"/>
      <c r="D735" s="36"/>
    </row>
    <row r="736">
      <c r="B736" s="37"/>
      <c r="C736" s="37"/>
      <c r="D736" s="36"/>
    </row>
    <row r="737">
      <c r="B737" s="37"/>
      <c r="C737" s="37"/>
      <c r="D737" s="36"/>
    </row>
    <row r="738">
      <c r="B738" s="37"/>
      <c r="C738" s="37"/>
      <c r="D738" s="36"/>
    </row>
    <row r="739">
      <c r="B739" s="37"/>
      <c r="C739" s="37"/>
      <c r="D739" s="36"/>
    </row>
    <row r="740">
      <c r="B740" s="37"/>
      <c r="C740" s="37"/>
      <c r="D740" s="36"/>
    </row>
    <row r="741">
      <c r="B741" s="37"/>
      <c r="C741" s="37"/>
      <c r="D741" s="36"/>
    </row>
    <row r="742">
      <c r="B742" s="37"/>
      <c r="C742" s="37"/>
      <c r="D742" s="36"/>
    </row>
    <row r="743">
      <c r="B743" s="37"/>
      <c r="C743" s="37"/>
      <c r="D743" s="36"/>
    </row>
    <row r="744">
      <c r="B744" s="37"/>
      <c r="C744" s="37"/>
      <c r="D744" s="36"/>
    </row>
    <row r="745">
      <c r="B745" s="37"/>
      <c r="C745" s="37"/>
      <c r="D745" s="36"/>
    </row>
    <row r="746">
      <c r="B746" s="37"/>
      <c r="C746" s="37"/>
      <c r="D746" s="36"/>
    </row>
    <row r="747">
      <c r="B747" s="37"/>
      <c r="C747" s="37"/>
      <c r="D747" s="36"/>
    </row>
    <row r="748">
      <c r="B748" s="37"/>
      <c r="C748" s="37"/>
      <c r="D748" s="36"/>
    </row>
    <row r="749">
      <c r="B749" s="37"/>
      <c r="C749" s="37"/>
      <c r="D749" s="36"/>
    </row>
    <row r="750">
      <c r="B750" s="37"/>
      <c r="C750" s="37"/>
      <c r="D750" s="36"/>
    </row>
    <row r="751">
      <c r="B751" s="37"/>
      <c r="C751" s="37"/>
      <c r="D751" s="36"/>
    </row>
    <row r="752">
      <c r="B752" s="37"/>
      <c r="C752" s="37"/>
      <c r="D752" s="36"/>
    </row>
    <row r="753">
      <c r="B753" s="37"/>
      <c r="C753" s="37"/>
      <c r="D753" s="36"/>
    </row>
    <row r="754">
      <c r="B754" s="37"/>
      <c r="C754" s="37"/>
      <c r="D754" s="36"/>
    </row>
    <row r="755">
      <c r="B755" s="37"/>
      <c r="C755" s="37"/>
      <c r="D755" s="36"/>
    </row>
    <row r="756">
      <c r="B756" s="37"/>
      <c r="C756" s="37"/>
      <c r="D756" s="36"/>
    </row>
    <row r="757">
      <c r="B757" s="37"/>
      <c r="C757" s="37"/>
      <c r="D757" s="36"/>
    </row>
    <row r="758">
      <c r="B758" s="37"/>
      <c r="C758" s="37"/>
      <c r="D758" s="36"/>
    </row>
    <row r="759">
      <c r="B759" s="37"/>
      <c r="C759" s="37"/>
      <c r="D759" s="36"/>
    </row>
    <row r="760">
      <c r="B760" s="37"/>
      <c r="C760" s="37"/>
      <c r="D760" s="36"/>
    </row>
    <row r="761">
      <c r="B761" s="37"/>
      <c r="C761" s="37"/>
      <c r="D761" s="36"/>
    </row>
    <row r="762">
      <c r="B762" s="37"/>
      <c r="C762" s="37"/>
      <c r="D762" s="36"/>
    </row>
    <row r="763">
      <c r="B763" s="37"/>
      <c r="C763" s="37"/>
      <c r="D763" s="36"/>
    </row>
    <row r="764">
      <c r="B764" s="37"/>
      <c r="C764" s="37"/>
      <c r="D764" s="36"/>
    </row>
    <row r="765">
      <c r="B765" s="37"/>
      <c r="C765" s="37"/>
      <c r="D765" s="36"/>
    </row>
    <row r="766">
      <c r="B766" s="37"/>
      <c r="C766" s="37"/>
      <c r="D766" s="36"/>
    </row>
    <row r="767">
      <c r="B767" s="37"/>
      <c r="C767" s="37"/>
      <c r="D767" s="36"/>
    </row>
    <row r="768">
      <c r="B768" s="37"/>
      <c r="C768" s="37"/>
      <c r="D768" s="36"/>
    </row>
    <row r="769">
      <c r="B769" s="37"/>
      <c r="C769" s="37"/>
      <c r="D769" s="36"/>
    </row>
    <row r="770">
      <c r="B770" s="37"/>
      <c r="C770" s="37"/>
      <c r="D770" s="36"/>
    </row>
    <row r="771">
      <c r="B771" s="37"/>
      <c r="C771" s="37"/>
      <c r="D771" s="36"/>
    </row>
    <row r="772">
      <c r="B772" s="37"/>
      <c r="C772" s="37"/>
      <c r="D772" s="36"/>
    </row>
    <row r="773">
      <c r="B773" s="37"/>
      <c r="C773" s="37"/>
      <c r="D773" s="36"/>
    </row>
    <row r="774">
      <c r="B774" s="37"/>
      <c r="C774" s="37"/>
      <c r="D774" s="36"/>
    </row>
    <row r="775">
      <c r="B775" s="37"/>
      <c r="C775" s="37"/>
      <c r="D775" s="36"/>
    </row>
    <row r="776">
      <c r="B776" s="37"/>
      <c r="C776" s="37"/>
      <c r="D776" s="36"/>
    </row>
    <row r="777">
      <c r="B777" s="37"/>
      <c r="C777" s="37"/>
      <c r="D777" s="36"/>
    </row>
    <row r="778">
      <c r="B778" s="37"/>
      <c r="C778" s="37"/>
      <c r="D778" s="36"/>
    </row>
    <row r="779">
      <c r="B779" s="37"/>
      <c r="C779" s="37"/>
      <c r="D779" s="36"/>
    </row>
    <row r="780">
      <c r="B780" s="37"/>
      <c r="C780" s="37"/>
      <c r="D780" s="36"/>
    </row>
    <row r="781">
      <c r="B781" s="37"/>
      <c r="C781" s="37"/>
      <c r="D781" s="36"/>
    </row>
    <row r="782">
      <c r="B782" s="37"/>
      <c r="C782" s="37"/>
      <c r="D782" s="36"/>
    </row>
    <row r="783">
      <c r="B783" s="37"/>
      <c r="C783" s="37"/>
      <c r="D783" s="36"/>
    </row>
    <row r="784">
      <c r="B784" s="37"/>
      <c r="C784" s="37"/>
      <c r="D784" s="36"/>
    </row>
    <row r="785">
      <c r="B785" s="37"/>
      <c r="C785" s="37"/>
      <c r="D785" s="36"/>
    </row>
    <row r="786">
      <c r="B786" s="37"/>
      <c r="C786" s="37"/>
      <c r="D786" s="36"/>
    </row>
    <row r="787">
      <c r="B787" s="37"/>
      <c r="C787" s="37"/>
      <c r="D787" s="36"/>
    </row>
    <row r="788">
      <c r="B788" s="37"/>
      <c r="C788" s="37"/>
      <c r="D788" s="36"/>
    </row>
    <row r="789">
      <c r="B789" s="37"/>
      <c r="C789" s="37"/>
      <c r="D789" s="36"/>
    </row>
    <row r="790">
      <c r="B790" s="37"/>
      <c r="C790" s="37"/>
      <c r="D790" s="36"/>
    </row>
    <row r="791">
      <c r="B791" s="37"/>
      <c r="C791" s="37"/>
      <c r="D791" s="36"/>
    </row>
    <row r="792">
      <c r="B792" s="37"/>
      <c r="C792" s="37"/>
      <c r="D792" s="36"/>
    </row>
    <row r="793">
      <c r="B793" s="37"/>
      <c r="C793" s="37"/>
      <c r="D793" s="36"/>
    </row>
    <row r="794">
      <c r="B794" s="37"/>
      <c r="C794" s="37"/>
      <c r="D794" s="36"/>
    </row>
    <row r="795">
      <c r="B795" s="37"/>
      <c r="C795" s="37"/>
      <c r="D795" s="36"/>
    </row>
    <row r="796">
      <c r="B796" s="37"/>
      <c r="C796" s="37"/>
      <c r="D796" s="36"/>
    </row>
    <row r="797">
      <c r="B797" s="37"/>
      <c r="C797" s="37"/>
      <c r="D797" s="36"/>
    </row>
    <row r="798">
      <c r="B798" s="37"/>
      <c r="C798" s="37"/>
      <c r="D798" s="36"/>
    </row>
    <row r="799">
      <c r="B799" s="37"/>
      <c r="C799" s="37"/>
      <c r="D799" s="36"/>
    </row>
    <row r="800">
      <c r="B800" s="37"/>
      <c r="C800" s="37"/>
      <c r="D800" s="36"/>
    </row>
    <row r="801">
      <c r="B801" s="37"/>
      <c r="C801" s="37"/>
      <c r="D801" s="36"/>
    </row>
    <row r="802">
      <c r="B802" s="37"/>
      <c r="C802" s="37"/>
      <c r="D802" s="36"/>
    </row>
    <row r="803">
      <c r="B803" s="37"/>
      <c r="C803" s="37"/>
      <c r="D803" s="36"/>
    </row>
    <row r="804">
      <c r="B804" s="37"/>
      <c r="C804" s="37"/>
      <c r="D804" s="36"/>
    </row>
    <row r="805">
      <c r="B805" s="37"/>
      <c r="C805" s="37"/>
      <c r="D805" s="36"/>
    </row>
    <row r="806">
      <c r="B806" s="37"/>
      <c r="C806" s="37"/>
      <c r="D806" s="36"/>
    </row>
    <row r="807">
      <c r="B807" s="37"/>
      <c r="C807" s="37"/>
      <c r="D807" s="36"/>
    </row>
    <row r="808">
      <c r="B808" s="37"/>
      <c r="C808" s="37"/>
      <c r="D808" s="36"/>
    </row>
    <row r="809">
      <c r="B809" s="37"/>
      <c r="C809" s="37"/>
      <c r="D809" s="36"/>
    </row>
    <row r="810">
      <c r="B810" s="37"/>
      <c r="C810" s="37"/>
      <c r="D810" s="36"/>
    </row>
    <row r="811">
      <c r="B811" s="37"/>
      <c r="C811" s="37"/>
      <c r="D811" s="36"/>
    </row>
    <row r="812">
      <c r="B812" s="37"/>
      <c r="C812" s="37"/>
      <c r="D812" s="36"/>
    </row>
    <row r="813">
      <c r="B813" s="37"/>
      <c r="C813" s="37"/>
      <c r="D813" s="36"/>
    </row>
    <row r="814">
      <c r="B814" s="37"/>
      <c r="C814" s="37"/>
      <c r="D814" s="36"/>
    </row>
    <row r="815">
      <c r="B815" s="37"/>
      <c r="C815" s="37"/>
      <c r="D815" s="36"/>
    </row>
    <row r="816">
      <c r="B816" s="37"/>
      <c r="C816" s="37"/>
      <c r="D816" s="36"/>
    </row>
    <row r="817">
      <c r="B817" s="37"/>
      <c r="C817" s="37"/>
      <c r="D817" s="36"/>
    </row>
    <row r="818">
      <c r="B818" s="37"/>
      <c r="C818" s="37"/>
      <c r="D818" s="36"/>
    </row>
    <row r="819">
      <c r="B819" s="37"/>
      <c r="C819" s="37"/>
      <c r="D819" s="36"/>
    </row>
    <row r="820">
      <c r="B820" s="37"/>
      <c r="C820" s="37"/>
      <c r="D820" s="36"/>
    </row>
    <row r="821">
      <c r="B821" s="37"/>
      <c r="C821" s="37"/>
      <c r="D821" s="36"/>
    </row>
    <row r="822">
      <c r="B822" s="37"/>
      <c r="C822" s="37"/>
      <c r="D822" s="36"/>
    </row>
    <row r="823">
      <c r="B823" s="37"/>
      <c r="C823" s="37"/>
      <c r="D823" s="36"/>
    </row>
    <row r="824">
      <c r="B824" s="37"/>
      <c r="C824" s="37"/>
      <c r="D824" s="36"/>
    </row>
    <row r="825">
      <c r="B825" s="37"/>
      <c r="C825" s="37"/>
      <c r="D825" s="36"/>
    </row>
    <row r="826">
      <c r="B826" s="37"/>
      <c r="C826" s="37"/>
      <c r="D826" s="36"/>
    </row>
    <row r="827">
      <c r="B827" s="37"/>
      <c r="C827" s="37"/>
      <c r="D827" s="36"/>
    </row>
    <row r="828">
      <c r="B828" s="37"/>
      <c r="C828" s="37"/>
      <c r="D828" s="36"/>
    </row>
    <row r="829">
      <c r="B829" s="37"/>
      <c r="C829" s="37"/>
      <c r="D829" s="36"/>
    </row>
    <row r="830">
      <c r="B830" s="37"/>
      <c r="C830" s="37"/>
      <c r="D830" s="36"/>
    </row>
    <row r="831">
      <c r="B831" s="37"/>
      <c r="C831" s="37"/>
      <c r="D831" s="36"/>
    </row>
    <row r="832">
      <c r="B832" s="37"/>
      <c r="C832" s="37"/>
      <c r="D832" s="36"/>
    </row>
    <row r="833">
      <c r="B833" s="37"/>
      <c r="C833" s="37"/>
      <c r="D833" s="36"/>
    </row>
    <row r="834">
      <c r="B834" s="37"/>
      <c r="C834" s="37"/>
      <c r="D834" s="36"/>
    </row>
    <row r="835">
      <c r="B835" s="37"/>
      <c r="C835" s="37"/>
      <c r="D835" s="36"/>
    </row>
    <row r="836">
      <c r="B836" s="37"/>
      <c r="C836" s="37"/>
      <c r="D836" s="36"/>
    </row>
    <row r="837">
      <c r="B837" s="37"/>
      <c r="C837" s="37"/>
      <c r="D837" s="36"/>
    </row>
    <row r="838">
      <c r="B838" s="37"/>
      <c r="C838" s="37"/>
      <c r="D838" s="36"/>
    </row>
    <row r="839">
      <c r="B839" s="37"/>
      <c r="C839" s="37"/>
      <c r="D839" s="36"/>
    </row>
    <row r="840">
      <c r="B840" s="37"/>
      <c r="C840" s="37"/>
      <c r="D840" s="36"/>
    </row>
    <row r="841">
      <c r="B841" s="37"/>
      <c r="C841" s="37"/>
      <c r="D841" s="36"/>
    </row>
    <row r="842">
      <c r="B842" s="37"/>
      <c r="C842" s="37"/>
      <c r="D842" s="36"/>
    </row>
    <row r="843">
      <c r="B843" s="37"/>
      <c r="C843" s="37"/>
      <c r="D843" s="36"/>
    </row>
    <row r="844">
      <c r="B844" s="37"/>
      <c r="C844" s="37"/>
      <c r="D844" s="36"/>
    </row>
    <row r="845">
      <c r="B845" s="37"/>
      <c r="C845" s="37"/>
      <c r="D845" s="36"/>
    </row>
    <row r="846">
      <c r="B846" s="37"/>
      <c r="C846" s="37"/>
      <c r="D846" s="36"/>
    </row>
    <row r="847">
      <c r="B847" s="37"/>
      <c r="C847" s="37"/>
      <c r="D847" s="36"/>
    </row>
    <row r="848">
      <c r="B848" s="37"/>
      <c r="C848" s="37"/>
      <c r="D848" s="36"/>
    </row>
    <row r="849">
      <c r="B849" s="37"/>
      <c r="C849" s="37"/>
      <c r="D849" s="36"/>
    </row>
    <row r="850">
      <c r="B850" s="37"/>
      <c r="C850" s="37"/>
      <c r="D850" s="36"/>
    </row>
    <row r="851">
      <c r="B851" s="37"/>
      <c r="C851" s="37"/>
      <c r="D851" s="36"/>
    </row>
    <row r="852">
      <c r="B852" s="37"/>
      <c r="C852" s="37"/>
      <c r="D852" s="36"/>
    </row>
    <row r="853">
      <c r="B853" s="37"/>
      <c r="C853" s="37"/>
      <c r="D853" s="36"/>
    </row>
    <row r="854">
      <c r="B854" s="37"/>
      <c r="C854" s="37"/>
      <c r="D854" s="36"/>
    </row>
    <row r="855">
      <c r="B855" s="37"/>
      <c r="C855" s="37"/>
      <c r="D855" s="36"/>
    </row>
    <row r="856">
      <c r="B856" s="37"/>
      <c r="C856" s="37"/>
      <c r="D856" s="36"/>
    </row>
    <row r="857">
      <c r="B857" s="37"/>
      <c r="C857" s="37"/>
      <c r="D857" s="36"/>
    </row>
    <row r="858">
      <c r="B858" s="37"/>
      <c r="C858" s="37"/>
      <c r="D858" s="36"/>
    </row>
    <row r="859">
      <c r="B859" s="37"/>
      <c r="C859" s="37"/>
      <c r="D859" s="36"/>
    </row>
    <row r="860">
      <c r="B860" s="37"/>
      <c r="C860" s="37"/>
      <c r="D860" s="36"/>
    </row>
    <row r="861">
      <c r="B861" s="37"/>
      <c r="C861" s="37"/>
      <c r="D861" s="36"/>
    </row>
    <row r="862">
      <c r="B862" s="37"/>
      <c r="C862" s="37"/>
      <c r="D862" s="36"/>
    </row>
    <row r="863">
      <c r="B863" s="37"/>
      <c r="C863" s="37"/>
      <c r="D863" s="36"/>
    </row>
    <row r="864">
      <c r="B864" s="37"/>
      <c r="C864" s="37"/>
      <c r="D864" s="36"/>
    </row>
    <row r="865">
      <c r="B865" s="37"/>
      <c r="C865" s="37"/>
      <c r="D865" s="36"/>
    </row>
    <row r="866">
      <c r="B866" s="37"/>
      <c r="C866" s="37"/>
      <c r="D866" s="36"/>
    </row>
    <row r="867">
      <c r="B867" s="37"/>
      <c r="C867" s="37"/>
      <c r="D867" s="36"/>
    </row>
    <row r="868">
      <c r="B868" s="37"/>
      <c r="C868" s="37"/>
      <c r="D868" s="36"/>
    </row>
    <row r="869">
      <c r="B869" s="37"/>
      <c r="C869" s="37"/>
      <c r="D869" s="36"/>
    </row>
    <row r="870">
      <c r="B870" s="37"/>
      <c r="C870" s="37"/>
      <c r="D870" s="36"/>
    </row>
    <row r="871">
      <c r="B871" s="37"/>
      <c r="C871" s="37"/>
      <c r="D871" s="36"/>
    </row>
    <row r="872">
      <c r="B872" s="37"/>
      <c r="C872" s="37"/>
      <c r="D872" s="36"/>
    </row>
    <row r="873">
      <c r="B873" s="37"/>
      <c r="C873" s="37"/>
      <c r="D873" s="36"/>
    </row>
    <row r="874">
      <c r="B874" s="37"/>
      <c r="C874" s="37"/>
      <c r="D874" s="36"/>
    </row>
    <row r="875">
      <c r="B875" s="37"/>
      <c r="C875" s="37"/>
      <c r="D875" s="36"/>
    </row>
    <row r="876">
      <c r="B876" s="37"/>
      <c r="C876" s="37"/>
      <c r="D876" s="36"/>
    </row>
    <row r="877">
      <c r="B877" s="37"/>
      <c r="C877" s="37"/>
      <c r="D877" s="36"/>
    </row>
    <row r="878">
      <c r="B878" s="37"/>
      <c r="C878" s="37"/>
      <c r="D878" s="36"/>
    </row>
    <row r="879">
      <c r="B879" s="37"/>
      <c r="C879" s="37"/>
      <c r="D879" s="36"/>
    </row>
    <row r="880">
      <c r="B880" s="37"/>
      <c r="C880" s="37"/>
      <c r="D880" s="36"/>
    </row>
    <row r="881">
      <c r="B881" s="37"/>
      <c r="C881" s="37"/>
      <c r="D881" s="36"/>
    </row>
    <row r="882">
      <c r="B882" s="37"/>
      <c r="C882" s="37"/>
      <c r="D882" s="36"/>
    </row>
    <row r="883">
      <c r="B883" s="37"/>
      <c r="C883" s="37"/>
      <c r="D883" s="36"/>
    </row>
    <row r="884">
      <c r="B884" s="37"/>
      <c r="C884" s="37"/>
      <c r="D884" s="36"/>
    </row>
    <row r="885">
      <c r="B885" s="37"/>
      <c r="C885" s="37"/>
      <c r="D885" s="36"/>
    </row>
    <row r="886">
      <c r="B886" s="37"/>
      <c r="C886" s="37"/>
      <c r="D886" s="36"/>
    </row>
    <row r="887">
      <c r="B887" s="37"/>
      <c r="C887" s="37"/>
      <c r="D887" s="36"/>
    </row>
    <row r="888">
      <c r="B888" s="37"/>
      <c r="C888" s="37"/>
      <c r="D888" s="36"/>
    </row>
    <row r="889">
      <c r="B889" s="37"/>
      <c r="C889" s="37"/>
      <c r="D889" s="36"/>
    </row>
    <row r="890">
      <c r="B890" s="37"/>
      <c r="C890" s="37"/>
      <c r="D890" s="36"/>
    </row>
    <row r="891">
      <c r="B891" s="37"/>
      <c r="C891" s="37"/>
      <c r="D891" s="36"/>
    </row>
    <row r="892">
      <c r="B892" s="37"/>
      <c r="C892" s="37"/>
      <c r="D892" s="36"/>
    </row>
    <row r="893">
      <c r="B893" s="37"/>
      <c r="C893" s="37"/>
      <c r="D893" s="36"/>
    </row>
    <row r="894">
      <c r="B894" s="37"/>
      <c r="C894" s="37"/>
      <c r="D894" s="36"/>
    </row>
    <row r="895">
      <c r="B895" s="37"/>
      <c r="C895" s="37"/>
      <c r="D895" s="36"/>
    </row>
    <row r="896">
      <c r="B896" s="37"/>
      <c r="C896" s="37"/>
      <c r="D896" s="36"/>
    </row>
    <row r="897">
      <c r="B897" s="37"/>
      <c r="C897" s="37"/>
      <c r="D897" s="36"/>
    </row>
    <row r="898">
      <c r="B898" s="37"/>
      <c r="C898" s="37"/>
      <c r="D898" s="36"/>
    </row>
    <row r="899">
      <c r="B899" s="37"/>
      <c r="C899" s="37"/>
      <c r="D899" s="36"/>
    </row>
    <row r="900">
      <c r="B900" s="37"/>
      <c r="C900" s="37"/>
      <c r="D900" s="36"/>
    </row>
    <row r="901">
      <c r="B901" s="37"/>
      <c r="C901" s="37"/>
      <c r="D901" s="36"/>
    </row>
    <row r="902">
      <c r="B902" s="37"/>
      <c r="C902" s="37"/>
      <c r="D902" s="36"/>
    </row>
    <row r="903">
      <c r="B903" s="37"/>
      <c r="C903" s="37"/>
      <c r="D903" s="36"/>
    </row>
    <row r="904">
      <c r="B904" s="37"/>
      <c r="C904" s="37"/>
      <c r="D904" s="36"/>
    </row>
    <row r="905">
      <c r="B905" s="37"/>
      <c r="C905" s="37"/>
      <c r="D905" s="36"/>
    </row>
    <row r="906">
      <c r="B906" s="37"/>
      <c r="C906" s="37"/>
      <c r="D906" s="36"/>
    </row>
    <row r="907">
      <c r="B907" s="37"/>
      <c r="C907" s="37"/>
      <c r="D907" s="36"/>
    </row>
    <row r="908">
      <c r="B908" s="37"/>
      <c r="C908" s="37"/>
      <c r="D908" s="36"/>
    </row>
    <row r="909">
      <c r="B909" s="37"/>
      <c r="C909" s="37"/>
      <c r="D909" s="36"/>
    </row>
    <row r="910">
      <c r="B910" s="37"/>
      <c r="C910" s="37"/>
      <c r="D910" s="36"/>
    </row>
    <row r="911">
      <c r="B911" s="37"/>
      <c r="C911" s="37"/>
      <c r="D911" s="36"/>
    </row>
    <row r="912">
      <c r="B912" s="37"/>
      <c r="C912" s="37"/>
      <c r="D912" s="36"/>
    </row>
    <row r="913">
      <c r="B913" s="37"/>
      <c r="C913" s="37"/>
      <c r="D913" s="36"/>
    </row>
    <row r="914">
      <c r="B914" s="37"/>
      <c r="C914" s="37"/>
      <c r="D914" s="36"/>
    </row>
    <row r="915">
      <c r="B915" s="37"/>
      <c r="C915" s="37"/>
      <c r="D915" s="36"/>
    </row>
    <row r="916">
      <c r="B916" s="37"/>
      <c r="C916" s="37"/>
      <c r="D916" s="36"/>
    </row>
    <row r="917">
      <c r="B917" s="37"/>
      <c r="C917" s="37"/>
      <c r="D917" s="36"/>
    </row>
    <row r="918">
      <c r="B918" s="37"/>
      <c r="C918" s="37"/>
      <c r="D918" s="36"/>
    </row>
    <row r="919">
      <c r="B919" s="37"/>
      <c r="C919" s="37"/>
      <c r="D919" s="36"/>
    </row>
    <row r="920">
      <c r="B920" s="37"/>
      <c r="C920" s="37"/>
      <c r="D920" s="36"/>
    </row>
    <row r="921">
      <c r="B921" s="37"/>
      <c r="C921" s="37"/>
      <c r="D921" s="36"/>
    </row>
    <row r="922">
      <c r="B922" s="37"/>
      <c r="C922" s="37"/>
      <c r="D922" s="36"/>
    </row>
    <row r="923">
      <c r="B923" s="37"/>
      <c r="C923" s="37"/>
      <c r="D923" s="36"/>
    </row>
    <row r="924">
      <c r="B924" s="37"/>
      <c r="C924" s="37"/>
      <c r="D924" s="36"/>
    </row>
    <row r="925">
      <c r="B925" s="37"/>
      <c r="C925" s="37"/>
      <c r="D925" s="36"/>
    </row>
    <row r="926">
      <c r="B926" s="37"/>
      <c r="C926" s="37"/>
      <c r="D926" s="36"/>
    </row>
    <row r="927">
      <c r="B927" s="37"/>
      <c r="C927" s="37"/>
      <c r="D927" s="36"/>
    </row>
    <row r="928">
      <c r="B928" s="37"/>
      <c r="C928" s="37"/>
      <c r="D928" s="36"/>
    </row>
    <row r="929">
      <c r="B929" s="37"/>
      <c r="C929" s="37"/>
      <c r="D929" s="36"/>
    </row>
    <row r="930">
      <c r="B930" s="37"/>
      <c r="C930" s="37"/>
      <c r="D930" s="36"/>
    </row>
    <row r="931">
      <c r="B931" s="37"/>
      <c r="C931" s="37"/>
      <c r="D931" s="36"/>
    </row>
    <row r="932">
      <c r="B932" s="37"/>
      <c r="C932" s="37"/>
      <c r="D932" s="36"/>
    </row>
    <row r="933">
      <c r="B933" s="37"/>
      <c r="C933" s="37"/>
      <c r="D933" s="36"/>
    </row>
    <row r="934">
      <c r="B934" s="37"/>
      <c r="C934" s="37"/>
      <c r="D934" s="36"/>
    </row>
    <row r="935">
      <c r="B935" s="37"/>
      <c r="C935" s="37"/>
      <c r="D935" s="36"/>
    </row>
    <row r="936">
      <c r="B936" s="37"/>
      <c r="C936" s="37"/>
      <c r="D936" s="36"/>
    </row>
    <row r="937">
      <c r="B937" s="37"/>
      <c r="C937" s="37"/>
      <c r="D937" s="36"/>
    </row>
    <row r="938">
      <c r="B938" s="37"/>
      <c r="C938" s="37"/>
      <c r="D938" s="36"/>
    </row>
    <row r="939">
      <c r="B939" s="37"/>
      <c r="C939" s="37"/>
      <c r="D939" s="36"/>
    </row>
    <row r="940">
      <c r="B940" s="37"/>
      <c r="C940" s="37"/>
      <c r="D940" s="36"/>
    </row>
    <row r="941">
      <c r="B941" s="37"/>
      <c r="C941" s="37"/>
      <c r="D941" s="36"/>
    </row>
    <row r="942">
      <c r="B942" s="37"/>
      <c r="C942" s="37"/>
      <c r="D942" s="36"/>
    </row>
    <row r="943">
      <c r="B943" s="37"/>
      <c r="C943" s="37"/>
      <c r="D943" s="36"/>
    </row>
    <row r="944">
      <c r="B944" s="37"/>
      <c r="C944" s="37"/>
      <c r="D944" s="36"/>
    </row>
    <row r="945">
      <c r="B945" s="37"/>
      <c r="C945" s="37"/>
      <c r="D945" s="36"/>
    </row>
    <row r="946">
      <c r="B946" s="37"/>
      <c r="C946" s="37"/>
      <c r="D946" s="36"/>
    </row>
    <row r="947">
      <c r="B947" s="37"/>
      <c r="C947" s="37"/>
      <c r="D947" s="36"/>
    </row>
    <row r="948">
      <c r="B948" s="37"/>
      <c r="C948" s="37"/>
      <c r="D948" s="36"/>
    </row>
    <row r="949">
      <c r="B949" s="37"/>
      <c r="C949" s="37"/>
      <c r="D949" s="36"/>
    </row>
    <row r="950">
      <c r="B950" s="37"/>
      <c r="C950" s="37"/>
      <c r="D950" s="36"/>
    </row>
    <row r="951">
      <c r="B951" s="37"/>
      <c r="C951" s="37"/>
      <c r="D951" s="36"/>
    </row>
    <row r="952">
      <c r="B952" s="37"/>
      <c r="C952" s="37"/>
      <c r="D952" s="36"/>
    </row>
    <row r="953">
      <c r="B953" s="37"/>
      <c r="C953" s="37"/>
      <c r="D953" s="36"/>
    </row>
    <row r="954">
      <c r="B954" s="37"/>
      <c r="C954" s="37"/>
      <c r="D954" s="36"/>
    </row>
    <row r="955">
      <c r="B955" s="37"/>
      <c r="C955" s="37"/>
      <c r="D955" s="36"/>
    </row>
    <row r="956">
      <c r="B956" s="37"/>
      <c r="C956" s="37"/>
      <c r="D956" s="36"/>
    </row>
    <row r="957">
      <c r="B957" s="37"/>
      <c r="C957" s="37"/>
      <c r="D957" s="36"/>
    </row>
    <row r="958">
      <c r="B958" s="37"/>
      <c r="C958" s="37"/>
      <c r="D958" s="36"/>
    </row>
    <row r="959">
      <c r="B959" s="37"/>
      <c r="C959" s="37"/>
      <c r="D959" s="36"/>
    </row>
    <row r="960">
      <c r="B960" s="37"/>
      <c r="C960" s="37"/>
      <c r="D960" s="36"/>
    </row>
    <row r="961">
      <c r="B961" s="37"/>
      <c r="C961" s="37"/>
      <c r="D961" s="36"/>
    </row>
    <row r="962">
      <c r="B962" s="37"/>
      <c r="C962" s="37"/>
      <c r="D962" s="36"/>
    </row>
    <row r="963">
      <c r="B963" s="37"/>
      <c r="C963" s="37"/>
      <c r="D963" s="36"/>
    </row>
    <row r="964">
      <c r="B964" s="37"/>
      <c r="C964" s="37"/>
      <c r="D964" s="36"/>
    </row>
    <row r="965">
      <c r="B965" s="37"/>
      <c r="C965" s="37"/>
      <c r="D965" s="36"/>
    </row>
    <row r="966">
      <c r="B966" s="37"/>
      <c r="C966" s="37"/>
      <c r="D966" s="36"/>
    </row>
    <row r="967">
      <c r="B967" s="37"/>
      <c r="C967" s="37"/>
      <c r="D967" s="36"/>
    </row>
    <row r="968">
      <c r="B968" s="37"/>
      <c r="C968" s="37"/>
      <c r="D968" s="36"/>
    </row>
    <row r="969">
      <c r="B969" s="37"/>
      <c r="C969" s="37"/>
      <c r="D969" s="36"/>
    </row>
    <row r="970">
      <c r="B970" s="37"/>
      <c r="C970" s="37"/>
      <c r="D970" s="36"/>
    </row>
    <row r="971">
      <c r="B971" s="37"/>
      <c r="C971" s="37"/>
      <c r="D971" s="36"/>
    </row>
    <row r="972">
      <c r="B972" s="37"/>
      <c r="C972" s="37"/>
      <c r="D972" s="36"/>
    </row>
    <row r="973">
      <c r="B973" s="37"/>
      <c r="C973" s="37"/>
      <c r="D973" s="36"/>
    </row>
    <row r="974">
      <c r="B974" s="37"/>
      <c r="C974" s="37"/>
      <c r="D974" s="36"/>
    </row>
    <row r="975">
      <c r="B975" s="37"/>
      <c r="C975" s="37"/>
      <c r="D975" s="36"/>
    </row>
    <row r="976">
      <c r="B976" s="37"/>
      <c r="C976" s="37"/>
      <c r="D976" s="36"/>
    </row>
    <row r="977">
      <c r="B977" s="37"/>
      <c r="C977" s="37"/>
      <c r="D977" s="36"/>
    </row>
    <row r="978">
      <c r="B978" s="37"/>
      <c r="C978" s="37"/>
      <c r="D978" s="36"/>
    </row>
    <row r="979">
      <c r="B979" s="37"/>
      <c r="C979" s="37"/>
      <c r="D979" s="36"/>
    </row>
    <row r="980">
      <c r="B980" s="37"/>
      <c r="C980" s="37"/>
      <c r="D980" s="36"/>
    </row>
    <row r="981">
      <c r="B981" s="37"/>
      <c r="C981" s="37"/>
      <c r="D981" s="36"/>
    </row>
    <row r="982">
      <c r="B982" s="37"/>
      <c r="C982" s="37"/>
      <c r="D982" s="36"/>
    </row>
    <row r="983">
      <c r="B983" s="37"/>
      <c r="C983" s="37"/>
      <c r="D983" s="36"/>
    </row>
    <row r="984">
      <c r="B984" s="37"/>
      <c r="C984" s="37"/>
      <c r="D984" s="36"/>
    </row>
    <row r="985">
      <c r="B985" s="37"/>
      <c r="C985" s="37"/>
      <c r="D985" s="36"/>
    </row>
    <row r="986">
      <c r="B986" s="37"/>
      <c r="C986" s="37"/>
      <c r="D986" s="36"/>
    </row>
    <row r="987">
      <c r="B987" s="37"/>
      <c r="C987" s="37"/>
      <c r="D987" s="36"/>
    </row>
    <row r="988">
      <c r="B988" s="37"/>
      <c r="C988" s="37"/>
      <c r="D988" s="36"/>
    </row>
    <row r="989">
      <c r="B989" s="37"/>
      <c r="C989" s="37"/>
      <c r="D989" s="36"/>
    </row>
    <row r="990">
      <c r="B990" s="37"/>
      <c r="C990" s="37"/>
      <c r="D990" s="36"/>
    </row>
    <row r="991">
      <c r="B991" s="37"/>
      <c r="C991" s="37"/>
      <c r="D991" s="36"/>
    </row>
    <row r="992">
      <c r="B992" s="37"/>
      <c r="C992" s="37"/>
      <c r="D992" s="36"/>
    </row>
    <row r="993">
      <c r="B993" s="37"/>
      <c r="C993" s="37"/>
      <c r="D993" s="36"/>
    </row>
    <row r="994">
      <c r="B994" s="37"/>
      <c r="C994" s="37"/>
      <c r="D994" s="3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21.25"/>
    <col customWidth="1" min="3" max="3" width="28.75"/>
    <col customWidth="1" min="4" max="4" width="23.63"/>
    <col customWidth="1" min="5" max="5" width="7.0"/>
    <col customWidth="1" min="6" max="6" width="10.0"/>
    <col customWidth="1" min="7" max="7" width="14.88"/>
  </cols>
  <sheetData>
    <row r="1">
      <c r="A1" s="5" t="s">
        <v>270</v>
      </c>
      <c r="B1" s="5" t="s">
        <v>280</v>
      </c>
      <c r="C1" s="5" t="s">
        <v>271</v>
      </c>
      <c r="D1" s="4" t="s">
        <v>700</v>
      </c>
      <c r="E1" s="4" t="s">
        <v>701</v>
      </c>
      <c r="F1" s="6" t="s">
        <v>288</v>
      </c>
      <c r="G1" s="4"/>
      <c r="H1" s="7"/>
      <c r="I1" s="7"/>
    </row>
    <row r="2">
      <c r="A2" s="9">
        <v>2016.0</v>
      </c>
      <c r="B2" s="9" t="s">
        <v>445</v>
      </c>
      <c r="C2" s="9" t="s">
        <v>39</v>
      </c>
      <c r="D2" s="9" t="s">
        <v>405</v>
      </c>
      <c r="E2" s="9">
        <v>750.0</v>
      </c>
      <c r="F2" s="11">
        <v>80.0</v>
      </c>
      <c r="G2" s="10"/>
      <c r="H2" s="10"/>
      <c r="I2" s="10"/>
    </row>
    <row r="3">
      <c r="A3" s="9">
        <v>2018.0</v>
      </c>
      <c r="B3" s="9" t="s">
        <v>527</v>
      </c>
      <c r="C3" s="9" t="s">
        <v>528</v>
      </c>
      <c r="D3" s="9" t="s">
        <v>405</v>
      </c>
      <c r="E3" s="9">
        <v>750.0</v>
      </c>
      <c r="F3" s="11">
        <v>85.0</v>
      </c>
      <c r="G3" s="10"/>
      <c r="H3" s="10"/>
      <c r="I3" s="10"/>
    </row>
    <row r="4">
      <c r="A4" s="9">
        <v>2015.0</v>
      </c>
      <c r="B4" s="9" t="s">
        <v>378</v>
      </c>
      <c r="C4" s="9" t="s">
        <v>395</v>
      </c>
      <c r="D4" s="9" t="s">
        <v>319</v>
      </c>
      <c r="E4" s="9">
        <v>750.0</v>
      </c>
      <c r="F4" s="11">
        <v>85.0</v>
      </c>
      <c r="G4" s="10"/>
      <c r="H4" s="10"/>
      <c r="I4" s="10"/>
    </row>
    <row r="5">
      <c r="A5" s="9">
        <v>2015.0</v>
      </c>
      <c r="B5" s="9" t="s">
        <v>410</v>
      </c>
      <c r="C5" s="9" t="s">
        <v>518</v>
      </c>
      <c r="D5" s="9" t="s">
        <v>319</v>
      </c>
      <c r="E5" s="9">
        <v>750.0</v>
      </c>
      <c r="F5" s="11">
        <v>90.0</v>
      </c>
      <c r="G5" s="10"/>
      <c r="H5" s="10"/>
      <c r="I5" s="10"/>
    </row>
    <row r="6">
      <c r="A6" s="9">
        <v>2016.0</v>
      </c>
      <c r="B6" s="9" t="s">
        <v>639</v>
      </c>
      <c r="C6" s="9" t="s">
        <v>39</v>
      </c>
      <c r="D6" s="9" t="s">
        <v>319</v>
      </c>
      <c r="E6" s="9">
        <v>1500.0</v>
      </c>
      <c r="F6" s="11">
        <v>90.0</v>
      </c>
      <c r="G6" s="10"/>
      <c r="H6" s="10"/>
      <c r="I6" s="10"/>
    </row>
    <row r="7">
      <c r="A7" s="9">
        <v>2019.0</v>
      </c>
      <c r="B7" s="9" t="s">
        <v>543</v>
      </c>
      <c r="C7" s="9" t="s">
        <v>544</v>
      </c>
      <c r="D7" s="9" t="s">
        <v>319</v>
      </c>
      <c r="E7" s="9">
        <v>750.0</v>
      </c>
      <c r="F7" s="11">
        <v>92.0</v>
      </c>
      <c r="G7" s="10"/>
      <c r="H7" s="10"/>
      <c r="I7" s="10"/>
    </row>
    <row r="8">
      <c r="A8" s="9">
        <v>2014.0</v>
      </c>
      <c r="B8" s="9" t="s">
        <v>625</v>
      </c>
      <c r="C8" s="9" t="s">
        <v>395</v>
      </c>
      <c r="D8" s="9" t="s">
        <v>319</v>
      </c>
      <c r="E8" s="9">
        <v>1500.0</v>
      </c>
      <c r="F8" s="11">
        <v>95.0</v>
      </c>
      <c r="G8" s="10"/>
      <c r="H8" s="10"/>
      <c r="I8" s="10"/>
    </row>
    <row r="9">
      <c r="A9" s="9">
        <v>2019.0</v>
      </c>
      <c r="B9" s="9" t="s">
        <v>362</v>
      </c>
      <c r="C9" s="9" t="s">
        <v>363</v>
      </c>
      <c r="D9" s="9" t="s">
        <v>364</v>
      </c>
      <c r="E9" s="9">
        <v>1500.0</v>
      </c>
      <c r="F9" s="11">
        <v>100.0</v>
      </c>
      <c r="G9" s="10"/>
      <c r="H9" s="10"/>
      <c r="I9" s="10"/>
    </row>
    <row r="10">
      <c r="A10" s="9">
        <v>2014.0</v>
      </c>
      <c r="B10" s="9" t="s">
        <v>316</v>
      </c>
      <c r="C10" s="9" t="s">
        <v>444</v>
      </c>
      <c r="D10" s="9" t="s">
        <v>319</v>
      </c>
      <c r="E10" s="9">
        <v>750.0</v>
      </c>
      <c r="F10" s="11">
        <v>100.0</v>
      </c>
      <c r="G10" s="10"/>
      <c r="H10" s="10"/>
      <c r="I10" s="10"/>
    </row>
    <row r="11">
      <c r="A11" s="9">
        <v>2015.0</v>
      </c>
      <c r="B11" s="9" t="s">
        <v>316</v>
      </c>
      <c r="C11" s="9" t="s">
        <v>444</v>
      </c>
      <c r="D11" s="9" t="s">
        <v>319</v>
      </c>
      <c r="E11" s="9">
        <v>750.0</v>
      </c>
      <c r="F11" s="11">
        <v>100.0</v>
      </c>
      <c r="G11" s="10"/>
      <c r="H11" s="10"/>
      <c r="I11" s="10"/>
    </row>
    <row r="12">
      <c r="A12" s="9">
        <v>2016.0</v>
      </c>
      <c r="B12" s="9" t="s">
        <v>352</v>
      </c>
      <c r="C12" s="9" t="s">
        <v>229</v>
      </c>
      <c r="D12" s="9" t="s">
        <v>355</v>
      </c>
      <c r="E12" s="9">
        <v>1500.0</v>
      </c>
      <c r="F12" s="11">
        <v>109.0</v>
      </c>
      <c r="G12" s="10"/>
      <c r="H12" s="10"/>
      <c r="I12" s="10"/>
    </row>
    <row r="13">
      <c r="A13" s="9">
        <v>2018.0</v>
      </c>
      <c r="B13" s="9" t="s">
        <v>637</v>
      </c>
      <c r="C13" s="9" t="s">
        <v>638</v>
      </c>
      <c r="D13" s="9" t="s">
        <v>405</v>
      </c>
      <c r="E13" s="9">
        <v>1500.0</v>
      </c>
      <c r="F13" s="11">
        <v>110.0</v>
      </c>
      <c r="G13" s="10"/>
      <c r="H13" s="10"/>
      <c r="I13" s="10"/>
    </row>
    <row r="14">
      <c r="A14" s="9">
        <v>2017.0</v>
      </c>
      <c r="B14" s="9" t="s">
        <v>352</v>
      </c>
      <c r="C14" s="9" t="s">
        <v>533</v>
      </c>
      <c r="D14" s="9" t="s">
        <v>335</v>
      </c>
      <c r="E14" s="9">
        <v>1500.0</v>
      </c>
      <c r="F14" s="11">
        <v>119.0</v>
      </c>
      <c r="G14" s="10"/>
      <c r="H14" s="10"/>
      <c r="I14" s="10"/>
    </row>
    <row r="15">
      <c r="A15" s="9" t="s">
        <v>702</v>
      </c>
      <c r="B15" s="9" t="s">
        <v>391</v>
      </c>
      <c r="C15" s="9" t="s">
        <v>392</v>
      </c>
      <c r="D15" s="9" t="s">
        <v>319</v>
      </c>
      <c r="E15" s="9">
        <v>750.0</v>
      </c>
      <c r="F15" s="11">
        <v>130.0</v>
      </c>
      <c r="G15" s="10"/>
      <c r="H15" s="10"/>
      <c r="I15" s="10"/>
    </row>
    <row r="16">
      <c r="A16" s="9">
        <v>2018.0</v>
      </c>
      <c r="B16" s="9" t="s">
        <v>129</v>
      </c>
      <c r="C16" s="9" t="s">
        <v>39</v>
      </c>
      <c r="D16" s="9" t="s">
        <v>341</v>
      </c>
      <c r="E16" s="9">
        <v>1500.0</v>
      </c>
      <c r="F16" s="11">
        <v>132.0</v>
      </c>
      <c r="G16" s="10"/>
      <c r="H16" s="10"/>
      <c r="I16" s="10"/>
    </row>
    <row r="17">
      <c r="A17" s="9">
        <v>2017.0</v>
      </c>
      <c r="B17" s="9" t="s">
        <v>198</v>
      </c>
      <c r="C17" s="9" t="s">
        <v>395</v>
      </c>
      <c r="D17" s="13" t="s">
        <v>335</v>
      </c>
      <c r="E17" s="9">
        <v>1500.0</v>
      </c>
      <c r="F17" s="11">
        <v>133.0</v>
      </c>
      <c r="G17" s="10"/>
      <c r="H17" s="10"/>
      <c r="I17" s="10"/>
    </row>
    <row r="18">
      <c r="A18" s="9">
        <v>2019.0</v>
      </c>
      <c r="B18" s="9" t="s">
        <v>198</v>
      </c>
      <c r="C18" s="9" t="s">
        <v>395</v>
      </c>
      <c r="D18" s="9" t="s">
        <v>335</v>
      </c>
      <c r="E18" s="9">
        <v>1500.0</v>
      </c>
      <c r="F18" s="11">
        <v>143.0</v>
      </c>
      <c r="G18" s="10"/>
      <c r="H18" s="10"/>
      <c r="I18" s="10"/>
    </row>
    <row r="19">
      <c r="A19" s="9">
        <v>2019.0</v>
      </c>
      <c r="B19" s="9" t="s">
        <v>445</v>
      </c>
      <c r="C19" s="9" t="s">
        <v>666</v>
      </c>
      <c r="D19" s="9" t="s">
        <v>358</v>
      </c>
      <c r="E19" s="9">
        <v>1500.0</v>
      </c>
      <c r="F19" s="11">
        <v>145.0</v>
      </c>
      <c r="G19" s="10"/>
      <c r="H19" s="10"/>
      <c r="I19" s="10"/>
    </row>
    <row r="20">
      <c r="A20" s="9">
        <v>2016.0</v>
      </c>
      <c r="B20" s="9" t="s">
        <v>403</v>
      </c>
      <c r="C20" s="9" t="s">
        <v>404</v>
      </c>
      <c r="D20" s="9" t="s">
        <v>405</v>
      </c>
      <c r="E20" s="9">
        <v>1500.0</v>
      </c>
      <c r="F20" s="11">
        <v>150.0</v>
      </c>
      <c r="G20" s="10"/>
      <c r="H20" s="10"/>
      <c r="I20" s="10"/>
    </row>
    <row r="21">
      <c r="A21" s="9">
        <v>2015.0</v>
      </c>
      <c r="B21" s="9" t="s">
        <v>516</v>
      </c>
      <c r="C21" s="9" t="s">
        <v>517</v>
      </c>
      <c r="D21" s="9" t="s">
        <v>319</v>
      </c>
      <c r="E21" s="9">
        <v>750.0</v>
      </c>
      <c r="F21" s="11">
        <v>150.0</v>
      </c>
      <c r="G21" s="10"/>
      <c r="H21" s="10"/>
      <c r="I21" s="10"/>
    </row>
    <row r="22">
      <c r="A22" s="9">
        <v>2019.0</v>
      </c>
      <c r="B22" s="9" t="s">
        <v>352</v>
      </c>
      <c r="C22" s="9" t="s">
        <v>470</v>
      </c>
      <c r="D22" s="9" t="s">
        <v>335</v>
      </c>
      <c r="E22" s="9">
        <v>1500.0</v>
      </c>
      <c r="F22" s="11">
        <v>150.0</v>
      </c>
      <c r="G22" s="10"/>
      <c r="H22" s="10"/>
      <c r="I22" s="10"/>
    </row>
    <row r="23">
      <c r="A23" s="9">
        <v>2015.0</v>
      </c>
      <c r="B23" s="9" t="s">
        <v>516</v>
      </c>
      <c r="C23" s="9" t="s">
        <v>395</v>
      </c>
      <c r="D23" s="9" t="s">
        <v>319</v>
      </c>
      <c r="E23" s="9">
        <v>1500.0</v>
      </c>
      <c r="F23" s="11">
        <v>156.0</v>
      </c>
      <c r="G23" s="10"/>
      <c r="H23" s="10"/>
      <c r="I23" s="10"/>
    </row>
    <row r="24">
      <c r="A24" s="9">
        <v>2018.0</v>
      </c>
      <c r="B24" s="9" t="s">
        <v>217</v>
      </c>
      <c r="C24" s="9" t="s">
        <v>622</v>
      </c>
      <c r="D24" s="9" t="s">
        <v>341</v>
      </c>
      <c r="E24" s="9">
        <v>1500.0</v>
      </c>
      <c r="F24" s="11">
        <v>160.0</v>
      </c>
      <c r="G24" s="10"/>
      <c r="H24" s="10"/>
      <c r="I24" s="10"/>
    </row>
    <row r="25">
      <c r="A25" s="9">
        <v>2014.0</v>
      </c>
      <c r="B25" s="9" t="s">
        <v>308</v>
      </c>
      <c r="C25" s="9" t="s">
        <v>641</v>
      </c>
      <c r="D25" s="9" t="s">
        <v>358</v>
      </c>
      <c r="E25" s="9">
        <v>1500.0</v>
      </c>
      <c r="F25" s="11">
        <v>160.0</v>
      </c>
      <c r="G25" s="10"/>
      <c r="H25" s="10"/>
      <c r="I25" s="10"/>
    </row>
    <row r="26">
      <c r="A26" s="9">
        <v>2018.0</v>
      </c>
      <c r="B26" s="9" t="s">
        <v>445</v>
      </c>
      <c r="C26" s="9" t="s">
        <v>39</v>
      </c>
      <c r="D26" s="9" t="s">
        <v>405</v>
      </c>
      <c r="E26" s="9">
        <v>1500.0</v>
      </c>
      <c r="F26" s="11">
        <v>170.0</v>
      </c>
      <c r="G26" s="10"/>
      <c r="H26" s="10"/>
      <c r="I26" s="10"/>
    </row>
    <row r="27">
      <c r="A27" s="9">
        <v>2013.0</v>
      </c>
      <c r="B27" s="9" t="s">
        <v>316</v>
      </c>
      <c r="C27" s="9" t="s">
        <v>317</v>
      </c>
      <c r="D27" s="9" t="s">
        <v>319</v>
      </c>
      <c r="E27" s="9">
        <v>750.0</v>
      </c>
      <c r="F27" s="11">
        <v>175.0</v>
      </c>
      <c r="G27" s="10"/>
      <c r="H27" s="10"/>
      <c r="I27" s="10"/>
    </row>
    <row r="28">
      <c r="A28" s="9">
        <v>2014.0</v>
      </c>
      <c r="B28" s="9" t="s">
        <v>316</v>
      </c>
      <c r="C28" s="9" t="s">
        <v>317</v>
      </c>
      <c r="D28" s="9" t="s">
        <v>319</v>
      </c>
      <c r="E28" s="9">
        <v>750.0</v>
      </c>
      <c r="F28" s="11">
        <v>175.0</v>
      </c>
      <c r="G28" s="10"/>
      <c r="H28" s="10"/>
      <c r="I28" s="10"/>
    </row>
    <row r="29">
      <c r="A29" s="9">
        <v>2015.0</v>
      </c>
      <c r="B29" s="9" t="s">
        <v>316</v>
      </c>
      <c r="C29" s="9" t="s">
        <v>317</v>
      </c>
      <c r="D29" s="9" t="s">
        <v>319</v>
      </c>
      <c r="E29" s="9">
        <v>750.0</v>
      </c>
      <c r="F29" s="11">
        <v>175.0</v>
      </c>
      <c r="G29" s="10"/>
      <c r="H29" s="10"/>
      <c r="I29" s="10"/>
    </row>
    <row r="30">
      <c r="A30" s="9">
        <v>2016.0</v>
      </c>
      <c r="B30" s="9" t="s">
        <v>316</v>
      </c>
      <c r="C30" s="9" t="s">
        <v>317</v>
      </c>
      <c r="D30" s="9" t="s">
        <v>319</v>
      </c>
      <c r="E30" s="9">
        <v>750.0</v>
      </c>
      <c r="F30" s="11">
        <v>175.0</v>
      </c>
      <c r="G30" s="10"/>
      <c r="H30" s="10"/>
      <c r="I30" s="10"/>
    </row>
    <row r="31">
      <c r="A31" s="9">
        <v>2017.0</v>
      </c>
      <c r="B31" s="9" t="s">
        <v>316</v>
      </c>
      <c r="C31" s="9" t="s">
        <v>317</v>
      </c>
      <c r="D31" s="9" t="s">
        <v>319</v>
      </c>
      <c r="E31" s="9">
        <v>750.0</v>
      </c>
      <c r="F31" s="11">
        <v>175.0</v>
      </c>
      <c r="G31" s="10"/>
      <c r="H31" s="10"/>
      <c r="I31" s="10"/>
    </row>
    <row r="32">
      <c r="A32" s="9">
        <v>2019.0</v>
      </c>
      <c r="B32" s="9" t="s">
        <v>445</v>
      </c>
      <c r="C32" s="9" t="s">
        <v>395</v>
      </c>
      <c r="D32" s="9" t="s">
        <v>319</v>
      </c>
      <c r="E32" s="9">
        <v>1500.0</v>
      </c>
      <c r="F32" s="11">
        <v>190.0</v>
      </c>
      <c r="G32" s="10"/>
      <c r="H32" s="10"/>
      <c r="I32" s="10"/>
    </row>
    <row r="33">
      <c r="A33" s="9">
        <v>2018.0</v>
      </c>
      <c r="B33" s="9" t="s">
        <v>198</v>
      </c>
      <c r="C33" s="9" t="s">
        <v>603</v>
      </c>
      <c r="D33" s="9" t="s">
        <v>314</v>
      </c>
      <c r="E33" s="9">
        <v>3000.0</v>
      </c>
      <c r="F33" s="11">
        <v>200.0</v>
      </c>
      <c r="G33" s="10"/>
      <c r="H33" s="10"/>
      <c r="I33" s="10"/>
    </row>
    <row r="34">
      <c r="A34" s="9">
        <v>2015.0</v>
      </c>
      <c r="B34" s="9" t="s">
        <v>516</v>
      </c>
      <c r="C34" s="9" t="s">
        <v>626</v>
      </c>
      <c r="D34" s="9" t="s">
        <v>319</v>
      </c>
      <c r="E34" s="9">
        <v>1500.0</v>
      </c>
      <c r="F34" s="11">
        <v>210.0</v>
      </c>
      <c r="G34" s="10"/>
      <c r="H34" s="10"/>
      <c r="I34" s="10"/>
    </row>
    <row r="35">
      <c r="A35" s="9">
        <v>2019.0</v>
      </c>
      <c r="B35" s="9" t="s">
        <v>678</v>
      </c>
      <c r="C35" s="9" t="s">
        <v>231</v>
      </c>
      <c r="D35" s="9" t="s">
        <v>319</v>
      </c>
      <c r="E35" s="9">
        <v>1500.0</v>
      </c>
      <c r="F35" s="11">
        <v>220.0</v>
      </c>
      <c r="G35" s="10"/>
      <c r="H35" s="10"/>
      <c r="I35" s="10"/>
    </row>
    <row r="36">
      <c r="A36" s="9">
        <v>2018.0</v>
      </c>
      <c r="B36" s="9" t="s">
        <v>198</v>
      </c>
      <c r="C36" s="9" t="s">
        <v>234</v>
      </c>
      <c r="D36" s="9" t="s">
        <v>335</v>
      </c>
      <c r="E36" s="9">
        <v>750.0</v>
      </c>
      <c r="F36" s="11">
        <v>235.0</v>
      </c>
      <c r="G36" s="10"/>
      <c r="H36" s="10"/>
      <c r="I36" s="10"/>
    </row>
    <row r="37">
      <c r="A37" s="9">
        <v>2018.0</v>
      </c>
      <c r="B37" s="9" t="s">
        <v>410</v>
      </c>
      <c r="C37" s="9" t="s">
        <v>395</v>
      </c>
      <c r="D37" s="9" t="s">
        <v>319</v>
      </c>
      <c r="E37" s="9">
        <v>3000.0</v>
      </c>
      <c r="F37" s="11">
        <v>250.0</v>
      </c>
      <c r="G37" s="10"/>
      <c r="H37" s="10"/>
      <c r="I37" s="10"/>
    </row>
    <row r="38">
      <c r="A38" s="9">
        <v>2017.0</v>
      </c>
      <c r="B38" s="9" t="s">
        <v>586</v>
      </c>
      <c r="C38" s="9" t="s">
        <v>39</v>
      </c>
      <c r="D38" s="9" t="s">
        <v>341</v>
      </c>
      <c r="E38" s="9">
        <v>3000.0</v>
      </c>
      <c r="F38" s="11">
        <v>300.0</v>
      </c>
      <c r="G38" s="10"/>
      <c r="H38" s="10"/>
      <c r="I38" s="10"/>
    </row>
    <row r="39">
      <c r="A39" s="9">
        <v>2015.0</v>
      </c>
      <c r="B39" s="9" t="s">
        <v>516</v>
      </c>
      <c r="C39" s="9" t="s">
        <v>339</v>
      </c>
      <c r="D39" s="9" t="s">
        <v>319</v>
      </c>
      <c r="E39" s="9">
        <v>3000.0</v>
      </c>
      <c r="F39" s="11">
        <v>312.0</v>
      </c>
      <c r="G39" s="10"/>
      <c r="H39" s="10"/>
      <c r="I39" s="10"/>
    </row>
    <row r="40">
      <c r="A40" s="9">
        <v>2019.0</v>
      </c>
      <c r="B40" s="9" t="s">
        <v>198</v>
      </c>
      <c r="C40" s="9" t="s">
        <v>234</v>
      </c>
      <c r="D40" s="9" t="s">
        <v>335</v>
      </c>
      <c r="E40" s="9">
        <v>1500.0</v>
      </c>
      <c r="F40" s="11">
        <v>453.0</v>
      </c>
      <c r="G40" s="10"/>
      <c r="H40" s="10"/>
      <c r="I40" s="1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9.38"/>
    <col customWidth="1" min="7" max="7" width="25.0"/>
  </cols>
  <sheetData>
    <row r="1">
      <c r="A1" s="4" t="s">
        <v>269</v>
      </c>
      <c r="B1" s="5" t="s">
        <v>270</v>
      </c>
      <c r="C1" s="4" t="s">
        <v>4</v>
      </c>
      <c r="D1" s="5" t="s">
        <v>271</v>
      </c>
      <c r="E1" s="5" t="s">
        <v>282</v>
      </c>
      <c r="F1" s="5" t="s">
        <v>283</v>
      </c>
      <c r="G1" s="4" t="s">
        <v>703</v>
      </c>
      <c r="H1" s="6" t="s">
        <v>288</v>
      </c>
      <c r="I1" s="4" t="s">
        <v>289</v>
      </c>
      <c r="J1" s="40" t="s">
        <v>704</v>
      </c>
      <c r="K1" s="3" t="s">
        <v>570</v>
      </c>
    </row>
    <row r="2">
      <c r="A2" s="9">
        <v>1.0</v>
      </c>
      <c r="B2" s="9">
        <v>2018.0</v>
      </c>
      <c r="C2" s="9" t="s">
        <v>705</v>
      </c>
      <c r="D2" s="9" t="s">
        <v>234</v>
      </c>
      <c r="E2" s="9" t="s">
        <v>311</v>
      </c>
      <c r="F2" s="9" t="s">
        <v>347</v>
      </c>
      <c r="G2" s="9" t="s">
        <v>706</v>
      </c>
      <c r="H2" s="11">
        <v>235.0</v>
      </c>
      <c r="I2" s="9">
        <v>750.0</v>
      </c>
      <c r="J2" s="41"/>
    </row>
    <row r="3">
      <c r="A3" s="9">
        <v>1.0</v>
      </c>
      <c r="B3" s="9">
        <v>2019.0</v>
      </c>
      <c r="C3" s="9" t="s">
        <v>445</v>
      </c>
      <c r="D3" s="9" t="s">
        <v>395</v>
      </c>
      <c r="E3" s="9" t="s">
        <v>311</v>
      </c>
      <c r="F3" s="9" t="s">
        <v>347</v>
      </c>
      <c r="G3" s="9" t="s">
        <v>319</v>
      </c>
      <c r="H3" s="11">
        <v>190.0</v>
      </c>
      <c r="I3" s="9">
        <v>1500.0</v>
      </c>
      <c r="J3" s="41"/>
    </row>
    <row r="4">
      <c r="A4" s="9">
        <v>1.0</v>
      </c>
      <c r="B4" s="9">
        <v>2019.0</v>
      </c>
      <c r="C4" s="9" t="s">
        <v>198</v>
      </c>
      <c r="D4" s="9" t="s">
        <v>395</v>
      </c>
      <c r="E4" s="9" t="s">
        <v>311</v>
      </c>
      <c r="F4" s="9" t="s">
        <v>347</v>
      </c>
      <c r="G4" s="9" t="s">
        <v>234</v>
      </c>
      <c r="H4" s="11">
        <v>143.0</v>
      </c>
      <c r="I4" s="9">
        <v>1500.0</v>
      </c>
      <c r="J4" s="41"/>
    </row>
    <row r="5">
      <c r="A5" s="9">
        <v>1.0</v>
      </c>
      <c r="B5" s="9">
        <v>2014.0</v>
      </c>
      <c r="C5" s="9" t="s">
        <v>625</v>
      </c>
      <c r="D5" s="9" t="s">
        <v>395</v>
      </c>
      <c r="E5" s="9" t="s">
        <v>311</v>
      </c>
      <c r="F5" s="9" t="s">
        <v>312</v>
      </c>
      <c r="G5" s="9" t="s">
        <v>319</v>
      </c>
      <c r="H5" s="11">
        <v>95.0</v>
      </c>
      <c r="I5" s="9">
        <v>1500.0</v>
      </c>
      <c r="J5" s="41"/>
    </row>
    <row r="6">
      <c r="A6" s="9">
        <v>1.0</v>
      </c>
      <c r="B6" s="9">
        <v>2017.0</v>
      </c>
      <c r="C6" s="9" t="s">
        <v>586</v>
      </c>
      <c r="D6" s="9" t="s">
        <v>39</v>
      </c>
      <c r="E6" s="9" t="s">
        <v>311</v>
      </c>
      <c r="F6" s="9" t="s">
        <v>312</v>
      </c>
      <c r="G6" s="9" t="s">
        <v>341</v>
      </c>
      <c r="H6" s="11">
        <v>300.0</v>
      </c>
      <c r="I6" s="9">
        <v>3000.0</v>
      </c>
      <c r="J6" s="41"/>
    </row>
    <row r="7">
      <c r="A7" s="42">
        <v>2019.0</v>
      </c>
      <c r="B7" s="42" t="s">
        <v>707</v>
      </c>
      <c r="C7" s="42" t="s">
        <v>211</v>
      </c>
      <c r="D7" s="43">
        <v>1.0</v>
      </c>
      <c r="E7" s="42">
        <v>1500.0</v>
      </c>
      <c r="F7" s="42" t="s">
        <v>667</v>
      </c>
      <c r="G7" s="42" t="s">
        <v>708</v>
      </c>
      <c r="H7" s="44" t="s">
        <v>709</v>
      </c>
      <c r="I7" s="42" t="s">
        <v>710</v>
      </c>
      <c r="J7" s="42" t="s">
        <v>708</v>
      </c>
      <c r="K7" s="42" t="s">
        <v>711</v>
      </c>
      <c r="L7" s="45"/>
      <c r="M7" s="42" t="s">
        <v>712</v>
      </c>
      <c r="N7" s="42" t="s">
        <v>713</v>
      </c>
      <c r="O7" s="46" t="s">
        <v>714</v>
      </c>
    </row>
    <row r="8">
      <c r="A8" s="9"/>
      <c r="B8" s="9"/>
      <c r="C8" s="9"/>
      <c r="D8" s="9"/>
      <c r="E8" s="9"/>
      <c r="F8" s="9"/>
      <c r="G8" s="9"/>
      <c r="H8" s="11"/>
      <c r="I8" s="9"/>
      <c r="J8" s="9"/>
      <c r="K8" s="9"/>
      <c r="L8" s="10"/>
    </row>
    <row r="9">
      <c r="A9" s="9">
        <v>1.0</v>
      </c>
      <c r="B9" s="9">
        <v>2017.0</v>
      </c>
      <c r="C9" s="9" t="s">
        <v>464</v>
      </c>
      <c r="D9" s="9" t="s">
        <v>467</v>
      </c>
      <c r="E9" s="9" t="s">
        <v>311</v>
      </c>
      <c r="F9" s="9" t="s">
        <v>312</v>
      </c>
      <c r="G9" s="9" t="s">
        <v>466</v>
      </c>
      <c r="H9" s="11">
        <v>60.0</v>
      </c>
      <c r="I9" s="9">
        <v>750.0</v>
      </c>
      <c r="J9" s="47" t="s">
        <v>715</v>
      </c>
      <c r="K9" s="9" t="s">
        <v>716</v>
      </c>
      <c r="L9" s="10"/>
    </row>
    <row r="10">
      <c r="A10" s="9">
        <v>1.0</v>
      </c>
      <c r="B10" s="9">
        <v>2017.0</v>
      </c>
      <c r="C10" s="9" t="s">
        <v>464</v>
      </c>
      <c r="D10" s="9" t="s">
        <v>465</v>
      </c>
      <c r="E10" s="9" t="s">
        <v>311</v>
      </c>
      <c r="F10" s="9" t="s">
        <v>312</v>
      </c>
      <c r="G10" s="9" t="s">
        <v>466</v>
      </c>
      <c r="H10" s="11">
        <v>70.0</v>
      </c>
      <c r="I10" s="9">
        <v>750.0</v>
      </c>
      <c r="J10" s="48" t="s">
        <v>717</v>
      </c>
      <c r="K10" s="9" t="s">
        <v>716</v>
      </c>
      <c r="L10" s="10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21"/>
      <c r="L11" s="9"/>
      <c r="M11" s="11"/>
      <c r="N11" s="49"/>
      <c r="O11" s="9"/>
      <c r="P11" s="9"/>
      <c r="Q11" s="9"/>
      <c r="R11" s="10"/>
      <c r="S11" s="20"/>
      <c r="T11" s="22"/>
      <c r="U11" s="10"/>
      <c r="V11" s="10"/>
      <c r="W11" s="10"/>
      <c r="X11" s="10"/>
    </row>
    <row r="12">
      <c r="A12" s="9">
        <v>1.0</v>
      </c>
      <c r="B12" s="9">
        <v>2015.0</v>
      </c>
      <c r="C12" s="9" t="s">
        <v>316</v>
      </c>
      <c r="D12" s="9" t="s">
        <v>444</v>
      </c>
      <c r="E12" s="9" t="s">
        <v>718</v>
      </c>
      <c r="F12" s="9" t="s">
        <v>311</v>
      </c>
      <c r="G12" s="9" t="s">
        <v>347</v>
      </c>
      <c r="H12" s="9" t="s">
        <v>318</v>
      </c>
      <c r="I12" s="9" t="s">
        <v>319</v>
      </c>
      <c r="J12" s="21" t="s">
        <v>394</v>
      </c>
      <c r="K12" s="9" t="s">
        <v>443</v>
      </c>
      <c r="L12" s="11">
        <v>100.0</v>
      </c>
      <c r="M12" s="49"/>
      <c r="N12" s="9">
        <v>750.0</v>
      </c>
      <c r="O12" s="9" t="s">
        <v>719</v>
      </c>
      <c r="P12" s="9">
        <v>17.0</v>
      </c>
      <c r="Q12" s="10"/>
      <c r="R12" s="20"/>
      <c r="S12" s="22"/>
      <c r="T12" s="10"/>
      <c r="U12" s="10"/>
      <c r="W12" s="10"/>
      <c r="X12" s="10"/>
    </row>
    <row r="13">
      <c r="A13" s="9">
        <v>1.0</v>
      </c>
      <c r="B13" s="9">
        <v>2015.0</v>
      </c>
      <c r="C13" s="9" t="s">
        <v>410</v>
      </c>
      <c r="D13" s="9" t="s">
        <v>518</v>
      </c>
      <c r="E13" s="9" t="s">
        <v>413</v>
      </c>
      <c r="F13" s="9" t="s">
        <v>311</v>
      </c>
      <c r="G13" s="9" t="s">
        <v>312</v>
      </c>
      <c r="H13" s="9" t="s">
        <v>318</v>
      </c>
      <c r="I13" s="9" t="s">
        <v>319</v>
      </c>
      <c r="J13" s="9" t="s">
        <v>394</v>
      </c>
      <c r="K13" s="9" t="s">
        <v>519</v>
      </c>
      <c r="L13" s="11">
        <v>120.0</v>
      </c>
      <c r="M13" s="50" t="s">
        <v>720</v>
      </c>
      <c r="N13" s="9">
        <v>750.0</v>
      </c>
      <c r="O13" s="9" t="s">
        <v>719</v>
      </c>
      <c r="P13" s="9"/>
      <c r="Q13" s="10"/>
      <c r="R13" s="17"/>
      <c r="S13" s="12"/>
      <c r="T13" s="10"/>
      <c r="U13" s="10"/>
      <c r="W13" s="10"/>
      <c r="X13" s="10"/>
    </row>
    <row r="14">
      <c r="A14" s="9">
        <v>1.0</v>
      </c>
      <c r="B14" s="9">
        <v>2015.0</v>
      </c>
      <c r="C14" s="9" t="s">
        <v>516</v>
      </c>
      <c r="D14" s="9" t="s">
        <v>517</v>
      </c>
      <c r="E14" s="9" t="s">
        <v>718</v>
      </c>
      <c r="F14" s="9" t="s">
        <v>312</v>
      </c>
      <c r="G14" s="9" t="s">
        <v>319</v>
      </c>
      <c r="H14" s="11">
        <v>150.0</v>
      </c>
      <c r="I14" s="9">
        <v>750.0</v>
      </c>
      <c r="J14" s="41"/>
      <c r="M14" s="50" t="s">
        <v>721</v>
      </c>
    </row>
    <row r="15">
      <c r="A15" s="42"/>
      <c r="B15" s="42"/>
      <c r="C15" s="43"/>
      <c r="D15" s="42"/>
      <c r="E15" s="42"/>
      <c r="F15" s="42"/>
      <c r="G15" s="51"/>
      <c r="H15" s="42"/>
      <c r="I15" s="52"/>
      <c r="J15" s="45"/>
      <c r="K15" s="45"/>
      <c r="L15" s="45"/>
    </row>
    <row r="16">
      <c r="A16" s="9">
        <v>1.0</v>
      </c>
      <c r="B16" s="9">
        <v>2016.0</v>
      </c>
      <c r="C16" s="9" t="s">
        <v>316</v>
      </c>
      <c r="D16" s="9" t="s">
        <v>208</v>
      </c>
      <c r="E16" s="9" t="s">
        <v>39</v>
      </c>
      <c r="F16" s="9" t="s">
        <v>311</v>
      </c>
      <c r="G16" s="9" t="s">
        <v>312</v>
      </c>
      <c r="H16" s="9" t="s">
        <v>318</v>
      </c>
      <c r="I16" s="9" t="s">
        <v>319</v>
      </c>
      <c r="J16" s="9" t="s">
        <v>320</v>
      </c>
      <c r="K16" s="10"/>
      <c r="L16" s="11">
        <v>65.0</v>
      </c>
      <c r="M16" s="49"/>
      <c r="N16" s="9">
        <v>750.0</v>
      </c>
      <c r="O16" s="9" t="s">
        <v>719</v>
      </c>
      <c r="P16" s="9"/>
      <c r="R16" s="10"/>
      <c r="S16" s="17"/>
      <c r="T16" s="12"/>
      <c r="U16" s="10"/>
      <c r="V16" s="10"/>
      <c r="W16" s="10"/>
      <c r="X16" s="10"/>
    </row>
    <row r="17">
      <c r="A17" s="9">
        <v>1.0</v>
      </c>
      <c r="B17" s="9">
        <v>2016.0</v>
      </c>
      <c r="C17" s="9" t="s">
        <v>455</v>
      </c>
      <c r="D17" s="9" t="s">
        <v>389</v>
      </c>
      <c r="E17" s="9" t="s">
        <v>413</v>
      </c>
      <c r="F17" s="9" t="s">
        <v>311</v>
      </c>
      <c r="G17" s="9" t="s">
        <v>312</v>
      </c>
      <c r="H17" s="9" t="s">
        <v>318</v>
      </c>
      <c r="I17" s="9" t="s">
        <v>319</v>
      </c>
      <c r="J17" s="10"/>
      <c r="K17" s="10"/>
      <c r="L17" s="11">
        <v>65.0</v>
      </c>
      <c r="M17" s="53">
        <v>0.145</v>
      </c>
      <c r="N17" s="9">
        <v>750.0</v>
      </c>
      <c r="O17" s="10"/>
      <c r="P17" s="10"/>
      <c r="R17" s="10"/>
      <c r="S17" s="17"/>
      <c r="T17" s="12"/>
      <c r="U17" s="10"/>
      <c r="V17" s="10"/>
      <c r="W17" s="10"/>
      <c r="X17" s="10"/>
    </row>
    <row r="18">
      <c r="A18" s="9">
        <v>1.0</v>
      </c>
      <c r="B18" s="9">
        <v>2016.0</v>
      </c>
      <c r="C18" s="9" t="s">
        <v>722</v>
      </c>
      <c r="D18" s="9" t="s">
        <v>39</v>
      </c>
      <c r="E18" s="9" t="s">
        <v>39</v>
      </c>
      <c r="F18" s="9" t="s">
        <v>311</v>
      </c>
      <c r="G18" s="9" t="s">
        <v>312</v>
      </c>
      <c r="H18" s="9" t="s">
        <v>313</v>
      </c>
      <c r="I18" s="9" t="s">
        <v>405</v>
      </c>
      <c r="J18" s="10"/>
      <c r="K18" s="10"/>
      <c r="L18" s="11">
        <v>80.0</v>
      </c>
      <c r="M18" s="49"/>
      <c r="N18" s="9">
        <v>750.0</v>
      </c>
      <c r="O18" s="9" t="s">
        <v>719</v>
      </c>
      <c r="P18" s="9"/>
      <c r="R18" s="10"/>
      <c r="S18" s="17"/>
      <c r="T18" s="12"/>
      <c r="U18" s="10"/>
      <c r="V18" s="10"/>
      <c r="W18" s="10"/>
      <c r="X18" s="10"/>
    </row>
    <row r="20">
      <c r="A20" s="9">
        <v>1.0</v>
      </c>
      <c r="B20" s="9">
        <v>2016.0</v>
      </c>
      <c r="C20" s="9" t="s">
        <v>723</v>
      </c>
      <c r="D20" s="9" t="s">
        <v>389</v>
      </c>
      <c r="E20" s="9" t="s">
        <v>413</v>
      </c>
      <c r="F20" s="9" t="s">
        <v>311</v>
      </c>
      <c r="G20" s="9" t="s">
        <v>312</v>
      </c>
      <c r="H20" s="9" t="s">
        <v>318</v>
      </c>
      <c r="I20" s="9" t="s">
        <v>319</v>
      </c>
      <c r="J20" s="9" t="s">
        <v>442</v>
      </c>
      <c r="K20" s="10"/>
      <c r="L20" s="11">
        <v>65.0</v>
      </c>
      <c r="M20" s="53">
        <v>0.145</v>
      </c>
      <c r="N20" s="9">
        <v>750.0</v>
      </c>
      <c r="O20" s="10"/>
      <c r="P20" s="10"/>
      <c r="R20" s="9" t="s">
        <v>724</v>
      </c>
      <c r="S20" s="17"/>
      <c r="T20" s="12"/>
      <c r="U20" s="10"/>
      <c r="V20" s="10"/>
      <c r="W20" s="10"/>
      <c r="X20" s="10"/>
    </row>
    <row r="21">
      <c r="A21" s="9">
        <v>1.0</v>
      </c>
      <c r="B21" s="9">
        <v>2016.0</v>
      </c>
      <c r="C21" s="9" t="s">
        <v>410</v>
      </c>
      <c r="D21" s="9" t="s">
        <v>395</v>
      </c>
      <c r="E21" s="9" t="s">
        <v>39</v>
      </c>
      <c r="F21" s="9" t="s">
        <v>311</v>
      </c>
      <c r="G21" s="9" t="s">
        <v>312</v>
      </c>
      <c r="H21" s="9" t="s">
        <v>318</v>
      </c>
      <c r="I21" s="9" t="s">
        <v>319</v>
      </c>
      <c r="J21" s="9"/>
      <c r="K21" s="9"/>
      <c r="L21" s="11">
        <v>50.0</v>
      </c>
      <c r="M21" s="53">
        <v>0.146</v>
      </c>
      <c r="N21" s="9">
        <v>750.0</v>
      </c>
      <c r="O21" s="9" t="s">
        <v>725</v>
      </c>
      <c r="P21" s="9"/>
      <c r="R21" s="10"/>
      <c r="S21" s="17"/>
      <c r="T21" s="12"/>
      <c r="U21" s="10"/>
      <c r="V21" s="10"/>
      <c r="W21" s="10"/>
      <c r="X21" s="10"/>
    </row>
    <row r="22">
      <c r="A22" s="9">
        <v>1.0</v>
      </c>
      <c r="B22" s="9">
        <v>2016.0</v>
      </c>
      <c r="C22" s="9" t="s">
        <v>316</v>
      </c>
      <c r="D22" s="9" t="s">
        <v>208</v>
      </c>
      <c r="E22" s="9" t="s">
        <v>39</v>
      </c>
      <c r="F22" s="9" t="s">
        <v>311</v>
      </c>
      <c r="G22" s="9" t="s">
        <v>312</v>
      </c>
      <c r="H22" s="9" t="s">
        <v>318</v>
      </c>
      <c r="I22" s="9" t="s">
        <v>319</v>
      </c>
      <c r="J22" s="9" t="s">
        <v>320</v>
      </c>
      <c r="K22" s="10"/>
      <c r="L22" s="11">
        <v>65.0</v>
      </c>
      <c r="M22" s="49"/>
      <c r="N22" s="9">
        <v>750.0</v>
      </c>
      <c r="O22" s="9" t="s">
        <v>719</v>
      </c>
      <c r="P22" s="9"/>
      <c r="R22" s="10"/>
      <c r="S22" s="17"/>
      <c r="T22" s="12"/>
      <c r="U22" s="10"/>
      <c r="V22" s="10"/>
      <c r="W22" s="10"/>
      <c r="X22" s="10"/>
    </row>
    <row r="23">
      <c r="A23" s="42"/>
      <c r="B23" s="42"/>
      <c r="C23" s="43"/>
      <c r="D23" s="42"/>
      <c r="E23" s="42"/>
      <c r="F23" s="42"/>
      <c r="G23" s="51"/>
      <c r="H23" s="42"/>
      <c r="I23" s="52"/>
      <c r="J23" s="45"/>
      <c r="K23" s="45"/>
      <c r="L23" s="45"/>
    </row>
    <row r="24">
      <c r="A24" s="9">
        <v>1.0</v>
      </c>
      <c r="B24" s="9">
        <v>2018.0</v>
      </c>
      <c r="C24" s="9" t="s">
        <v>527</v>
      </c>
      <c r="D24" s="9" t="s">
        <v>528</v>
      </c>
      <c r="E24" s="9" t="s">
        <v>194</v>
      </c>
      <c r="F24" s="9" t="s">
        <v>340</v>
      </c>
      <c r="G24" s="9" t="s">
        <v>312</v>
      </c>
      <c r="H24" s="9" t="s">
        <v>318</v>
      </c>
      <c r="I24" s="9" t="s">
        <v>405</v>
      </c>
      <c r="J24" s="10"/>
      <c r="K24" s="10"/>
      <c r="L24" s="11">
        <v>85.0</v>
      </c>
      <c r="M24" s="49"/>
      <c r="N24" s="9">
        <v>750.0</v>
      </c>
      <c r="O24" s="9" t="s">
        <v>719</v>
      </c>
      <c r="P24" s="9"/>
      <c r="R24" s="9" t="s">
        <v>726</v>
      </c>
      <c r="S24" s="17"/>
      <c r="T24" s="12"/>
      <c r="U24" s="10"/>
      <c r="V24" s="10"/>
      <c r="W24" s="10"/>
      <c r="X24" s="10"/>
    </row>
    <row r="25">
      <c r="A25" s="9">
        <v>1.0</v>
      </c>
      <c r="B25" s="9">
        <v>2018.0</v>
      </c>
      <c r="C25" s="9" t="s">
        <v>556</v>
      </c>
      <c r="D25" s="9" t="s">
        <v>194</v>
      </c>
      <c r="E25" s="9" t="s">
        <v>194</v>
      </c>
      <c r="F25" s="9" t="s">
        <v>311</v>
      </c>
      <c r="G25" s="9" t="s">
        <v>347</v>
      </c>
      <c r="H25" s="9" t="s">
        <v>318</v>
      </c>
      <c r="I25" s="9" t="s">
        <v>319</v>
      </c>
      <c r="J25" s="10"/>
      <c r="K25" s="9" t="s">
        <v>557</v>
      </c>
      <c r="L25" s="11">
        <v>70.0</v>
      </c>
      <c r="M25" s="49"/>
      <c r="N25" s="9">
        <v>750.0</v>
      </c>
      <c r="O25" s="9" t="s">
        <v>719</v>
      </c>
      <c r="P25" s="9"/>
      <c r="R25" s="10"/>
      <c r="S25" s="17"/>
      <c r="T25" s="12"/>
      <c r="U25" s="10"/>
      <c r="V25" s="10"/>
      <c r="W25" s="10"/>
      <c r="X25" s="10"/>
    </row>
    <row r="26">
      <c r="A26" s="9">
        <v>1.0</v>
      </c>
      <c r="B26" s="9">
        <v>2018.0</v>
      </c>
      <c r="C26" s="9" t="s">
        <v>403</v>
      </c>
      <c r="D26" s="9" t="s">
        <v>194</v>
      </c>
      <c r="E26" s="9" t="s">
        <v>35</v>
      </c>
      <c r="F26" s="9" t="s">
        <v>311</v>
      </c>
      <c r="G26" s="9" t="s">
        <v>347</v>
      </c>
      <c r="H26" s="9" t="s">
        <v>318</v>
      </c>
      <c r="I26" s="9" t="s">
        <v>319</v>
      </c>
      <c r="J26" s="9" t="s">
        <v>515</v>
      </c>
      <c r="K26" s="10"/>
      <c r="L26" s="11">
        <v>75.0</v>
      </c>
      <c r="M26" s="49"/>
      <c r="N26" s="9">
        <v>750.0</v>
      </c>
      <c r="O26" s="9" t="s">
        <v>719</v>
      </c>
      <c r="P26" s="9"/>
      <c r="R26" s="9"/>
      <c r="S26" s="17"/>
      <c r="T26" s="12"/>
      <c r="U26" s="10"/>
      <c r="V26" s="10"/>
      <c r="W26" s="10"/>
      <c r="X26" s="10"/>
    </row>
    <row r="27">
      <c r="A27" s="45"/>
      <c r="B27" s="45"/>
      <c r="C27" s="54"/>
      <c r="D27" s="45"/>
      <c r="E27" s="45"/>
      <c r="F27" s="45"/>
      <c r="G27" s="51"/>
      <c r="H27" s="45"/>
      <c r="I27" s="52"/>
      <c r="J27" s="45"/>
      <c r="K27" s="45"/>
      <c r="L27" s="45"/>
    </row>
    <row r="28">
      <c r="A28" s="9">
        <v>1.0</v>
      </c>
      <c r="B28" s="9">
        <v>2018.0</v>
      </c>
      <c r="C28" s="9" t="s">
        <v>191</v>
      </c>
      <c r="D28" s="9" t="s">
        <v>35</v>
      </c>
      <c r="E28" s="9" t="s">
        <v>122</v>
      </c>
      <c r="F28" s="9" t="s">
        <v>340</v>
      </c>
      <c r="G28" s="9" t="s">
        <v>312</v>
      </c>
      <c r="H28" s="9" t="s">
        <v>318</v>
      </c>
      <c r="I28" s="9" t="s">
        <v>405</v>
      </c>
      <c r="J28" s="10"/>
      <c r="K28" s="10"/>
      <c r="L28" s="11">
        <v>60.0</v>
      </c>
      <c r="M28" s="49"/>
      <c r="N28" s="9">
        <v>750.0</v>
      </c>
      <c r="O28" s="9" t="s">
        <v>719</v>
      </c>
      <c r="P28" s="9"/>
      <c r="R28" s="10"/>
      <c r="S28" s="17"/>
      <c r="T28" s="12"/>
      <c r="U28" s="10"/>
      <c r="V28" s="10"/>
      <c r="W28" s="10"/>
      <c r="X28" s="10"/>
    </row>
    <row r="29">
      <c r="A29" s="9">
        <v>1.0</v>
      </c>
      <c r="B29" s="9">
        <v>2018.0</v>
      </c>
      <c r="C29" s="9" t="s">
        <v>378</v>
      </c>
      <c r="D29" s="9" t="s">
        <v>502</v>
      </c>
      <c r="E29" s="9" t="s">
        <v>35</v>
      </c>
      <c r="F29" s="9" t="s">
        <v>311</v>
      </c>
      <c r="G29" s="9" t="s">
        <v>347</v>
      </c>
      <c r="H29" s="9" t="s">
        <v>318</v>
      </c>
      <c r="I29" s="9" t="s">
        <v>319</v>
      </c>
      <c r="J29" s="10"/>
      <c r="K29" s="10"/>
      <c r="L29" s="11">
        <v>80.0</v>
      </c>
      <c r="M29" s="49"/>
      <c r="N29" s="9">
        <v>750.0</v>
      </c>
      <c r="O29" s="9" t="s">
        <v>719</v>
      </c>
      <c r="P29" s="9"/>
      <c r="R29" s="10"/>
      <c r="S29" s="17"/>
      <c r="T29" s="12"/>
      <c r="U29" s="10"/>
      <c r="V29" s="10"/>
      <c r="W29" s="10"/>
      <c r="X29" s="10"/>
    </row>
    <row r="30">
      <c r="A30" s="9">
        <v>1.0</v>
      </c>
      <c r="B30" s="9">
        <v>2018.0</v>
      </c>
      <c r="C30" s="9" t="s">
        <v>403</v>
      </c>
      <c r="D30" s="9" t="s">
        <v>502</v>
      </c>
      <c r="E30" s="9" t="s">
        <v>35</v>
      </c>
      <c r="F30" s="9" t="s">
        <v>311</v>
      </c>
      <c r="G30" s="9" t="s">
        <v>347</v>
      </c>
      <c r="H30" s="9" t="s">
        <v>318</v>
      </c>
      <c r="I30" s="9" t="s">
        <v>319</v>
      </c>
      <c r="J30" s="9" t="s">
        <v>515</v>
      </c>
      <c r="K30" s="10"/>
      <c r="L30" s="11">
        <v>48.0</v>
      </c>
      <c r="M30" s="49"/>
      <c r="N30" s="9">
        <v>750.0</v>
      </c>
      <c r="O30" s="9" t="s">
        <v>719</v>
      </c>
      <c r="P30" s="9"/>
      <c r="R30" s="9"/>
      <c r="S30" s="17"/>
      <c r="T30" s="12"/>
      <c r="U30" s="10"/>
      <c r="V30" s="10"/>
      <c r="W30" s="10"/>
      <c r="X30" s="10"/>
    </row>
    <row r="31">
      <c r="A31" s="42"/>
      <c r="B31" s="42"/>
      <c r="C31" s="43"/>
      <c r="D31" s="42"/>
      <c r="E31" s="42"/>
      <c r="F31" s="42"/>
      <c r="G31" s="51"/>
      <c r="H31" s="42"/>
      <c r="I31" s="52"/>
      <c r="J31" s="45"/>
      <c r="K31" s="45"/>
      <c r="L31" s="45"/>
    </row>
    <row r="32">
      <c r="A32" s="9">
        <v>2.0</v>
      </c>
      <c r="B32" s="9">
        <v>2019.0</v>
      </c>
      <c r="C32" s="9" t="s">
        <v>543</v>
      </c>
      <c r="D32" s="9" t="s">
        <v>35</v>
      </c>
      <c r="E32" s="9" t="s">
        <v>35</v>
      </c>
      <c r="F32" s="9" t="s">
        <v>311</v>
      </c>
      <c r="G32" s="9" t="s">
        <v>312</v>
      </c>
      <c r="H32" s="9" t="s">
        <v>318</v>
      </c>
      <c r="I32" s="9" t="s">
        <v>319</v>
      </c>
      <c r="J32" s="9" t="s">
        <v>515</v>
      </c>
      <c r="K32" s="10"/>
      <c r="L32" s="11">
        <v>65.0</v>
      </c>
      <c r="M32" s="53"/>
      <c r="N32" s="9">
        <v>750.0</v>
      </c>
      <c r="O32" s="9"/>
      <c r="P32" s="9"/>
      <c r="R32" s="10"/>
      <c r="S32" s="23" t="s">
        <v>727</v>
      </c>
      <c r="T32" s="55">
        <f>SUMIF(O:O,"=1500", B:B)</f>
        <v>0</v>
      </c>
      <c r="U32" s="10"/>
      <c r="V32" s="10"/>
      <c r="W32" s="10"/>
      <c r="X32" s="10"/>
    </row>
    <row r="33">
      <c r="A33" s="9">
        <v>1.0</v>
      </c>
      <c r="B33" s="9">
        <v>2019.0</v>
      </c>
      <c r="C33" s="9" t="s">
        <v>437</v>
      </c>
      <c r="D33" s="9" t="s">
        <v>35</v>
      </c>
      <c r="E33" s="9" t="s">
        <v>35</v>
      </c>
      <c r="F33" s="9" t="s">
        <v>311</v>
      </c>
      <c r="G33" s="9" t="s">
        <v>347</v>
      </c>
      <c r="H33" s="9" t="s">
        <v>318</v>
      </c>
      <c r="I33" s="9" t="s">
        <v>319</v>
      </c>
      <c r="J33" s="9" t="s">
        <v>435</v>
      </c>
      <c r="K33" s="9" t="s">
        <v>438</v>
      </c>
      <c r="L33" s="11">
        <v>80.0</v>
      </c>
      <c r="M33" s="49"/>
      <c r="N33" s="9">
        <v>750.0</v>
      </c>
      <c r="O33" s="9" t="s">
        <v>719</v>
      </c>
      <c r="P33" s="9"/>
      <c r="R33" s="10"/>
      <c r="S33" s="17"/>
      <c r="T33" s="12"/>
      <c r="U33" s="10"/>
      <c r="V33" s="10"/>
      <c r="W33" s="10"/>
      <c r="X33" s="10"/>
    </row>
    <row r="34">
      <c r="A34" s="9">
        <v>2.0</v>
      </c>
      <c r="B34" s="9">
        <v>2019.0</v>
      </c>
      <c r="C34" s="9" t="s">
        <v>378</v>
      </c>
      <c r="D34" s="9" t="s">
        <v>339</v>
      </c>
      <c r="E34" s="9" t="s">
        <v>35</v>
      </c>
      <c r="F34" s="9" t="s">
        <v>311</v>
      </c>
      <c r="G34" s="9" t="s">
        <v>312</v>
      </c>
      <c r="H34" s="9" t="s">
        <v>318</v>
      </c>
      <c r="I34" s="9" t="s">
        <v>319</v>
      </c>
      <c r="J34" s="10"/>
      <c r="K34" s="10"/>
      <c r="L34" s="11">
        <v>80.0</v>
      </c>
      <c r="M34" s="49"/>
      <c r="N34" s="9">
        <v>750.0</v>
      </c>
      <c r="O34" s="10"/>
      <c r="P34" s="10"/>
      <c r="R34" s="10"/>
      <c r="S34" s="17"/>
      <c r="T34" s="12"/>
      <c r="U34" s="10"/>
      <c r="V34" s="10"/>
      <c r="W34" s="10"/>
      <c r="X34" s="10"/>
    </row>
    <row r="35">
      <c r="A35" s="45"/>
      <c r="B35" s="45"/>
      <c r="C35" s="54"/>
      <c r="D35" s="45"/>
      <c r="E35" s="45"/>
      <c r="F35" s="45"/>
      <c r="G35" s="51"/>
      <c r="H35" s="45"/>
      <c r="I35" s="52"/>
      <c r="J35" s="45"/>
      <c r="K35" s="45"/>
      <c r="L35" s="45"/>
    </row>
    <row r="36">
      <c r="A36" s="9">
        <v>1.0</v>
      </c>
      <c r="B36" s="9">
        <v>2019.0</v>
      </c>
      <c r="C36" s="9" t="s">
        <v>198</v>
      </c>
      <c r="D36" s="9" t="s">
        <v>200</v>
      </c>
      <c r="E36" s="9" t="s">
        <v>200</v>
      </c>
      <c r="F36" s="9" t="s">
        <v>311</v>
      </c>
      <c r="G36" s="9" t="s">
        <v>347</v>
      </c>
      <c r="H36" s="9" t="s">
        <v>318</v>
      </c>
      <c r="I36" s="9" t="s">
        <v>358</v>
      </c>
      <c r="J36" s="9" t="s">
        <v>386</v>
      </c>
      <c r="K36" s="9" t="s">
        <v>418</v>
      </c>
      <c r="L36" s="11">
        <v>34.0</v>
      </c>
      <c r="M36" s="53">
        <v>0.138</v>
      </c>
      <c r="N36" s="9">
        <v>750.0</v>
      </c>
      <c r="O36" s="9">
        <v>19.0</v>
      </c>
      <c r="P36" s="9" t="s">
        <v>725</v>
      </c>
      <c r="R36" s="10"/>
      <c r="S36" s="20"/>
      <c r="T36" s="22"/>
      <c r="U36" s="10"/>
      <c r="V36" s="10"/>
      <c r="W36" s="10"/>
      <c r="X36" s="10"/>
    </row>
    <row r="37">
      <c r="A37" s="9">
        <v>1.0</v>
      </c>
      <c r="B37" s="9">
        <v>2019.0</v>
      </c>
      <c r="C37" s="9" t="s">
        <v>198</v>
      </c>
      <c r="D37" s="9" t="s">
        <v>395</v>
      </c>
      <c r="E37" s="9" t="s">
        <v>39</v>
      </c>
      <c r="F37" s="9" t="s">
        <v>311</v>
      </c>
      <c r="G37" s="9" t="s">
        <v>347</v>
      </c>
      <c r="H37" s="9" t="s">
        <v>348</v>
      </c>
      <c r="I37" s="9" t="s">
        <v>335</v>
      </c>
      <c r="J37" s="9" t="s">
        <v>417</v>
      </c>
      <c r="K37" s="9" t="s">
        <v>234</v>
      </c>
      <c r="L37" s="11">
        <v>70.0</v>
      </c>
      <c r="M37" s="53">
        <v>0.138</v>
      </c>
      <c r="N37" s="9">
        <v>750.0</v>
      </c>
      <c r="O37" s="9">
        <v>17.0</v>
      </c>
      <c r="P37" s="9" t="s">
        <v>725</v>
      </c>
      <c r="R37" s="10"/>
      <c r="S37" s="20"/>
      <c r="T37" s="22"/>
      <c r="U37" s="10"/>
      <c r="V37" s="10"/>
      <c r="W37" s="10"/>
      <c r="X37" s="10"/>
    </row>
    <row r="38">
      <c r="A38" s="9">
        <v>1.0</v>
      </c>
      <c r="B38" s="9">
        <v>2019.0</v>
      </c>
      <c r="C38" s="9" t="s">
        <v>198</v>
      </c>
      <c r="D38" s="9" t="s">
        <v>395</v>
      </c>
      <c r="E38" s="9" t="s">
        <v>39</v>
      </c>
      <c r="F38" s="9" t="s">
        <v>311</v>
      </c>
      <c r="G38" s="9" t="s">
        <v>347</v>
      </c>
      <c r="H38" s="9" t="s">
        <v>348</v>
      </c>
      <c r="I38" s="9" t="s">
        <v>335</v>
      </c>
      <c r="J38" s="9" t="s">
        <v>417</v>
      </c>
      <c r="K38" s="9" t="s">
        <v>234</v>
      </c>
      <c r="L38" s="11">
        <v>143.0</v>
      </c>
      <c r="M38" s="53">
        <v>0.138</v>
      </c>
      <c r="N38" s="9">
        <v>1500.0</v>
      </c>
      <c r="O38" s="9" t="s">
        <v>725</v>
      </c>
      <c r="P38" s="9"/>
      <c r="R38" s="10"/>
      <c r="S38" s="20"/>
      <c r="T38" s="22"/>
      <c r="U38" s="10"/>
      <c r="V38" s="10"/>
      <c r="W38" s="10"/>
      <c r="X38" s="10"/>
    </row>
    <row r="39">
      <c r="G39" s="37"/>
      <c r="I39" s="41"/>
    </row>
    <row r="40">
      <c r="G40" s="37"/>
      <c r="I40" s="41"/>
    </row>
    <row r="41">
      <c r="G41" s="37"/>
      <c r="I41" s="41"/>
    </row>
    <row r="42">
      <c r="G42" s="37"/>
      <c r="I42" s="41"/>
    </row>
    <row r="43">
      <c r="H43" s="37"/>
      <c r="J43" s="41"/>
    </row>
    <row r="44">
      <c r="H44" s="37"/>
      <c r="J44" s="41"/>
    </row>
    <row r="45">
      <c r="H45" s="37"/>
      <c r="J45" s="41"/>
    </row>
    <row r="46">
      <c r="H46" s="37"/>
      <c r="J46" s="41"/>
    </row>
    <row r="47">
      <c r="H47" s="37"/>
      <c r="J47" s="41"/>
    </row>
    <row r="48">
      <c r="H48" s="37"/>
      <c r="J48" s="41"/>
    </row>
    <row r="49">
      <c r="H49" s="37"/>
      <c r="J49" s="41"/>
    </row>
    <row r="50">
      <c r="H50" s="37"/>
      <c r="J50" s="41"/>
    </row>
    <row r="51">
      <c r="H51" s="37"/>
      <c r="J51" s="41"/>
    </row>
    <row r="52">
      <c r="H52" s="37"/>
      <c r="J52" s="41"/>
    </row>
    <row r="53">
      <c r="H53" s="37"/>
      <c r="J53" s="41"/>
    </row>
    <row r="54">
      <c r="H54" s="37"/>
      <c r="J54" s="41"/>
    </row>
    <row r="55">
      <c r="H55" s="37"/>
      <c r="J55" s="41"/>
    </row>
    <row r="56">
      <c r="H56" s="37"/>
      <c r="J56" s="41"/>
    </row>
    <row r="57">
      <c r="H57" s="37"/>
      <c r="J57" s="41"/>
    </row>
    <row r="58">
      <c r="H58" s="37"/>
      <c r="J58" s="41"/>
    </row>
    <row r="59">
      <c r="H59" s="37"/>
      <c r="J59" s="41"/>
    </row>
    <row r="60">
      <c r="H60" s="37"/>
      <c r="J60" s="41"/>
    </row>
    <row r="61">
      <c r="H61" s="37"/>
      <c r="J61" s="41"/>
    </row>
    <row r="62">
      <c r="H62" s="37"/>
      <c r="J62" s="41"/>
    </row>
    <row r="63">
      <c r="H63" s="37"/>
      <c r="J63" s="41"/>
    </row>
    <row r="64">
      <c r="H64" s="37"/>
      <c r="J64" s="41"/>
    </row>
    <row r="65">
      <c r="H65" s="37"/>
      <c r="J65" s="41"/>
    </row>
    <row r="66">
      <c r="H66" s="37"/>
      <c r="J66" s="41"/>
    </row>
    <row r="67">
      <c r="H67" s="37"/>
      <c r="J67" s="41"/>
    </row>
    <row r="68">
      <c r="H68" s="37"/>
      <c r="J68" s="41"/>
    </row>
    <row r="69">
      <c r="H69" s="37"/>
      <c r="J69" s="41"/>
    </row>
    <row r="70">
      <c r="H70" s="37"/>
      <c r="J70" s="41"/>
    </row>
    <row r="71">
      <c r="H71" s="37"/>
      <c r="J71" s="41"/>
    </row>
    <row r="72">
      <c r="H72" s="37"/>
      <c r="J72" s="41"/>
    </row>
    <row r="73">
      <c r="H73" s="37"/>
      <c r="J73" s="41"/>
    </row>
    <row r="74">
      <c r="H74" s="37"/>
      <c r="J74" s="41"/>
    </row>
    <row r="75">
      <c r="H75" s="37"/>
      <c r="J75" s="41"/>
    </row>
    <row r="76">
      <c r="H76" s="37"/>
      <c r="J76" s="41"/>
    </row>
    <row r="77">
      <c r="H77" s="37"/>
      <c r="J77" s="41"/>
    </row>
    <row r="78">
      <c r="H78" s="37"/>
      <c r="J78" s="41"/>
    </row>
    <row r="79">
      <c r="H79" s="37"/>
      <c r="J79" s="41"/>
    </row>
    <row r="80">
      <c r="H80" s="37"/>
      <c r="J80" s="41"/>
    </row>
    <row r="81">
      <c r="H81" s="37"/>
      <c r="J81" s="41"/>
    </row>
    <row r="82">
      <c r="H82" s="37"/>
      <c r="J82" s="41"/>
    </row>
    <row r="83">
      <c r="H83" s="37"/>
      <c r="J83" s="41"/>
    </row>
    <row r="84">
      <c r="H84" s="37"/>
      <c r="J84" s="41"/>
    </row>
    <row r="85">
      <c r="H85" s="37"/>
      <c r="J85" s="41"/>
    </row>
    <row r="86">
      <c r="H86" s="37"/>
      <c r="J86" s="41"/>
    </row>
    <row r="87">
      <c r="H87" s="37"/>
      <c r="J87" s="41"/>
    </row>
    <row r="88">
      <c r="H88" s="37"/>
      <c r="J88" s="41"/>
    </row>
    <row r="89">
      <c r="H89" s="37"/>
      <c r="J89" s="41"/>
    </row>
    <row r="90">
      <c r="H90" s="37"/>
      <c r="J90" s="41"/>
    </row>
    <row r="91">
      <c r="H91" s="37"/>
      <c r="J91" s="41"/>
    </row>
    <row r="92">
      <c r="H92" s="37"/>
      <c r="J92" s="41"/>
    </row>
    <row r="93">
      <c r="H93" s="37"/>
      <c r="J93" s="41"/>
    </row>
    <row r="94">
      <c r="H94" s="37"/>
      <c r="J94" s="41"/>
    </row>
    <row r="95">
      <c r="H95" s="37"/>
      <c r="J95" s="41"/>
    </row>
    <row r="96">
      <c r="H96" s="37"/>
      <c r="J96" s="41"/>
    </row>
    <row r="97">
      <c r="H97" s="37"/>
      <c r="J97" s="41"/>
    </row>
    <row r="98">
      <c r="H98" s="37"/>
      <c r="J98" s="41"/>
    </row>
    <row r="99">
      <c r="H99" s="37"/>
      <c r="J99" s="41"/>
    </row>
    <row r="100">
      <c r="H100" s="37"/>
      <c r="J100" s="41"/>
    </row>
    <row r="101">
      <c r="H101" s="37"/>
      <c r="J101" s="41"/>
    </row>
    <row r="102">
      <c r="H102" s="37"/>
      <c r="J102" s="41"/>
    </row>
    <row r="103">
      <c r="H103" s="37"/>
      <c r="J103" s="41"/>
    </row>
    <row r="104">
      <c r="H104" s="37"/>
      <c r="J104" s="41"/>
    </row>
    <row r="105">
      <c r="H105" s="37"/>
      <c r="J105" s="41"/>
    </row>
    <row r="106">
      <c r="H106" s="37"/>
      <c r="J106" s="41"/>
    </row>
    <row r="107">
      <c r="H107" s="37"/>
      <c r="J107" s="41"/>
    </row>
    <row r="108">
      <c r="H108" s="37"/>
      <c r="J108" s="41"/>
    </row>
    <row r="109">
      <c r="H109" s="37"/>
      <c r="J109" s="41"/>
    </row>
    <row r="110">
      <c r="H110" s="37"/>
      <c r="J110" s="41"/>
    </row>
    <row r="111">
      <c r="H111" s="37"/>
      <c r="J111" s="41"/>
    </row>
    <row r="112">
      <c r="H112" s="37"/>
      <c r="J112" s="41"/>
    </row>
    <row r="113">
      <c r="H113" s="37"/>
      <c r="J113" s="41"/>
    </row>
    <row r="114">
      <c r="H114" s="37"/>
      <c r="J114" s="41"/>
    </row>
    <row r="115">
      <c r="H115" s="37"/>
      <c r="J115" s="41"/>
    </row>
    <row r="116">
      <c r="H116" s="37"/>
      <c r="J116" s="41"/>
    </row>
    <row r="117">
      <c r="H117" s="37"/>
      <c r="J117" s="41"/>
    </row>
    <row r="118">
      <c r="H118" s="37"/>
      <c r="J118" s="41"/>
    </row>
    <row r="119">
      <c r="H119" s="37"/>
      <c r="J119" s="41"/>
    </row>
    <row r="120">
      <c r="H120" s="37"/>
      <c r="J120" s="41"/>
    </row>
    <row r="121">
      <c r="H121" s="37"/>
      <c r="J121" s="41"/>
    </row>
    <row r="122">
      <c r="H122" s="37"/>
      <c r="J122" s="41"/>
    </row>
    <row r="123">
      <c r="H123" s="37"/>
      <c r="J123" s="41"/>
    </row>
    <row r="124">
      <c r="H124" s="37"/>
      <c r="J124" s="41"/>
    </row>
    <row r="125">
      <c r="H125" s="37"/>
      <c r="J125" s="41"/>
    </row>
    <row r="126">
      <c r="H126" s="37"/>
      <c r="J126" s="41"/>
    </row>
    <row r="127">
      <c r="H127" s="37"/>
      <c r="J127" s="41"/>
    </row>
    <row r="128">
      <c r="H128" s="37"/>
      <c r="J128" s="41"/>
    </row>
    <row r="129">
      <c r="H129" s="37"/>
      <c r="J129" s="41"/>
    </row>
    <row r="130">
      <c r="H130" s="37"/>
      <c r="J130" s="41"/>
    </row>
    <row r="131">
      <c r="H131" s="37"/>
      <c r="J131" s="41"/>
    </row>
    <row r="132">
      <c r="H132" s="37"/>
      <c r="J132" s="41"/>
    </row>
    <row r="133">
      <c r="H133" s="37"/>
      <c r="J133" s="41"/>
    </row>
    <row r="134">
      <c r="H134" s="37"/>
      <c r="J134" s="41"/>
    </row>
    <row r="135">
      <c r="H135" s="37"/>
      <c r="J135" s="41"/>
    </row>
    <row r="136">
      <c r="H136" s="37"/>
      <c r="J136" s="41"/>
    </row>
    <row r="137">
      <c r="H137" s="37"/>
      <c r="J137" s="41"/>
    </row>
    <row r="138">
      <c r="H138" s="37"/>
      <c r="J138" s="41"/>
    </row>
    <row r="139">
      <c r="H139" s="37"/>
      <c r="J139" s="41"/>
    </row>
    <row r="140">
      <c r="H140" s="37"/>
      <c r="J140" s="41"/>
    </row>
    <row r="141">
      <c r="H141" s="37"/>
      <c r="J141" s="41"/>
    </row>
    <row r="142">
      <c r="H142" s="37"/>
      <c r="J142" s="41"/>
    </row>
    <row r="143">
      <c r="H143" s="37"/>
      <c r="J143" s="41"/>
    </row>
    <row r="144">
      <c r="H144" s="37"/>
      <c r="J144" s="41"/>
    </row>
    <row r="145">
      <c r="H145" s="37"/>
      <c r="J145" s="41"/>
    </row>
    <row r="146">
      <c r="H146" s="37"/>
      <c r="J146" s="41"/>
    </row>
    <row r="147">
      <c r="H147" s="37"/>
      <c r="J147" s="41"/>
    </row>
    <row r="148">
      <c r="H148" s="37"/>
      <c r="J148" s="41"/>
    </row>
    <row r="149">
      <c r="H149" s="37"/>
      <c r="J149" s="41"/>
    </row>
    <row r="150">
      <c r="H150" s="37"/>
      <c r="J150" s="41"/>
    </row>
    <row r="151">
      <c r="H151" s="37"/>
      <c r="J151" s="41"/>
    </row>
    <row r="152">
      <c r="H152" s="37"/>
      <c r="J152" s="41"/>
    </row>
    <row r="153">
      <c r="H153" s="37"/>
      <c r="J153" s="41"/>
    </row>
    <row r="154">
      <c r="H154" s="37"/>
      <c r="J154" s="41"/>
    </row>
    <row r="155">
      <c r="H155" s="37"/>
      <c r="J155" s="41"/>
    </row>
    <row r="156">
      <c r="H156" s="37"/>
      <c r="J156" s="41"/>
    </row>
    <row r="157">
      <c r="H157" s="37"/>
      <c r="J157" s="41"/>
    </row>
    <row r="158">
      <c r="H158" s="37"/>
      <c r="J158" s="41"/>
    </row>
    <row r="159">
      <c r="H159" s="37"/>
      <c r="J159" s="41"/>
    </row>
    <row r="160">
      <c r="H160" s="37"/>
      <c r="J160" s="41"/>
    </row>
    <row r="161">
      <c r="H161" s="37"/>
      <c r="J161" s="41"/>
    </row>
    <row r="162">
      <c r="H162" s="37"/>
      <c r="J162" s="41"/>
    </row>
    <row r="163">
      <c r="H163" s="37"/>
      <c r="J163" s="41"/>
    </row>
    <row r="164">
      <c r="H164" s="37"/>
      <c r="J164" s="41"/>
    </row>
    <row r="165">
      <c r="H165" s="37"/>
      <c r="J165" s="41"/>
    </row>
    <row r="166">
      <c r="H166" s="37"/>
      <c r="J166" s="41"/>
    </row>
    <row r="167">
      <c r="H167" s="37"/>
      <c r="J167" s="41"/>
    </row>
    <row r="168">
      <c r="H168" s="37"/>
      <c r="J168" s="41"/>
    </row>
    <row r="169">
      <c r="H169" s="37"/>
      <c r="J169" s="41"/>
    </row>
    <row r="170">
      <c r="H170" s="37"/>
      <c r="J170" s="41"/>
    </row>
    <row r="171">
      <c r="H171" s="37"/>
      <c r="J171" s="41"/>
    </row>
    <row r="172">
      <c r="H172" s="37"/>
      <c r="J172" s="41"/>
    </row>
    <row r="173">
      <c r="H173" s="37"/>
      <c r="J173" s="41"/>
    </row>
    <row r="174">
      <c r="H174" s="37"/>
      <c r="J174" s="41"/>
    </row>
    <row r="175">
      <c r="H175" s="37"/>
      <c r="J175" s="41"/>
    </row>
    <row r="176">
      <c r="H176" s="37"/>
      <c r="J176" s="41"/>
    </row>
    <row r="177">
      <c r="H177" s="37"/>
      <c r="J177" s="41"/>
    </row>
    <row r="178">
      <c r="H178" s="37"/>
      <c r="J178" s="41"/>
    </row>
    <row r="179">
      <c r="H179" s="37"/>
      <c r="J179" s="41"/>
    </row>
    <row r="180">
      <c r="H180" s="37"/>
      <c r="J180" s="41"/>
    </row>
    <row r="181">
      <c r="H181" s="37"/>
      <c r="J181" s="41"/>
    </row>
    <row r="182">
      <c r="H182" s="37"/>
      <c r="J182" s="41"/>
    </row>
    <row r="183">
      <c r="H183" s="37"/>
      <c r="J183" s="41"/>
    </row>
    <row r="184">
      <c r="H184" s="37"/>
      <c r="J184" s="41"/>
    </row>
    <row r="185">
      <c r="H185" s="37"/>
      <c r="J185" s="41"/>
    </row>
    <row r="186">
      <c r="H186" s="37"/>
      <c r="J186" s="41"/>
    </row>
    <row r="187">
      <c r="H187" s="37"/>
      <c r="J187" s="41"/>
    </row>
    <row r="188">
      <c r="H188" s="37"/>
      <c r="J188" s="41"/>
    </row>
    <row r="189">
      <c r="H189" s="37"/>
      <c r="J189" s="41"/>
    </row>
    <row r="190">
      <c r="H190" s="37"/>
      <c r="J190" s="41"/>
    </row>
    <row r="191">
      <c r="H191" s="37"/>
      <c r="J191" s="41"/>
    </row>
    <row r="192">
      <c r="H192" s="37"/>
      <c r="J192" s="41"/>
    </row>
    <row r="193">
      <c r="H193" s="37"/>
      <c r="J193" s="41"/>
    </row>
    <row r="194">
      <c r="H194" s="37"/>
      <c r="J194" s="41"/>
    </row>
    <row r="195">
      <c r="H195" s="37"/>
      <c r="J195" s="41"/>
    </row>
    <row r="196">
      <c r="H196" s="37"/>
      <c r="J196" s="41"/>
    </row>
    <row r="197">
      <c r="H197" s="37"/>
      <c r="J197" s="41"/>
    </row>
    <row r="198">
      <c r="H198" s="37"/>
      <c r="J198" s="41"/>
    </row>
    <row r="199">
      <c r="H199" s="37"/>
      <c r="J199" s="41"/>
    </row>
    <row r="200">
      <c r="H200" s="37"/>
      <c r="J200" s="41"/>
    </row>
    <row r="201">
      <c r="H201" s="37"/>
      <c r="J201" s="41"/>
    </row>
    <row r="202">
      <c r="H202" s="37"/>
      <c r="J202" s="41"/>
    </row>
    <row r="203">
      <c r="H203" s="37"/>
      <c r="J203" s="41"/>
    </row>
    <row r="204">
      <c r="H204" s="37"/>
      <c r="J204" s="41"/>
    </row>
    <row r="205">
      <c r="H205" s="37"/>
      <c r="J205" s="41"/>
    </row>
    <row r="206">
      <c r="H206" s="37"/>
      <c r="J206" s="41"/>
    </row>
    <row r="207">
      <c r="H207" s="37"/>
      <c r="J207" s="41"/>
    </row>
    <row r="208">
      <c r="H208" s="37"/>
      <c r="J208" s="41"/>
    </row>
    <row r="209">
      <c r="H209" s="37"/>
      <c r="J209" s="41"/>
    </row>
    <row r="210">
      <c r="H210" s="37"/>
      <c r="J210" s="41"/>
    </row>
    <row r="211">
      <c r="H211" s="37"/>
      <c r="J211" s="41"/>
    </row>
    <row r="212">
      <c r="H212" s="37"/>
      <c r="J212" s="41"/>
    </row>
    <row r="213">
      <c r="H213" s="37"/>
      <c r="J213" s="41"/>
    </row>
    <row r="214">
      <c r="H214" s="37"/>
      <c r="J214" s="41"/>
    </row>
    <row r="215">
      <c r="H215" s="37"/>
      <c r="J215" s="41"/>
    </row>
    <row r="216">
      <c r="H216" s="37"/>
      <c r="J216" s="41"/>
    </row>
    <row r="217">
      <c r="H217" s="37"/>
      <c r="J217" s="41"/>
    </row>
    <row r="218">
      <c r="H218" s="37"/>
      <c r="J218" s="41"/>
    </row>
    <row r="219">
      <c r="H219" s="37"/>
      <c r="J219" s="41"/>
    </row>
    <row r="220">
      <c r="H220" s="37"/>
      <c r="J220" s="41"/>
    </row>
    <row r="221">
      <c r="H221" s="37"/>
      <c r="J221" s="41"/>
    </row>
    <row r="222">
      <c r="H222" s="37"/>
      <c r="J222" s="41"/>
    </row>
    <row r="223">
      <c r="H223" s="37"/>
      <c r="J223" s="41"/>
    </row>
    <row r="224">
      <c r="H224" s="37"/>
      <c r="J224" s="41"/>
    </row>
    <row r="225">
      <c r="H225" s="37"/>
      <c r="J225" s="41"/>
    </row>
    <row r="226">
      <c r="H226" s="37"/>
      <c r="J226" s="41"/>
    </row>
    <row r="227">
      <c r="H227" s="37"/>
      <c r="J227" s="41"/>
    </row>
    <row r="228">
      <c r="H228" s="37"/>
      <c r="J228" s="41"/>
    </row>
    <row r="229">
      <c r="H229" s="37"/>
      <c r="J229" s="41"/>
    </row>
    <row r="230">
      <c r="H230" s="37"/>
      <c r="J230" s="41"/>
    </row>
    <row r="231">
      <c r="H231" s="37"/>
      <c r="J231" s="41"/>
    </row>
    <row r="232">
      <c r="H232" s="37"/>
      <c r="J232" s="41"/>
    </row>
    <row r="233">
      <c r="H233" s="37"/>
      <c r="J233" s="41"/>
    </row>
    <row r="234">
      <c r="H234" s="37"/>
      <c r="J234" s="41"/>
    </row>
    <row r="235">
      <c r="H235" s="37"/>
      <c r="J235" s="41"/>
    </row>
    <row r="236">
      <c r="H236" s="37"/>
      <c r="J236" s="41"/>
    </row>
    <row r="237">
      <c r="H237" s="37"/>
      <c r="J237" s="41"/>
    </row>
    <row r="238">
      <c r="H238" s="37"/>
      <c r="J238" s="41"/>
    </row>
    <row r="239">
      <c r="H239" s="37"/>
      <c r="J239" s="41"/>
    </row>
    <row r="240">
      <c r="H240" s="37"/>
      <c r="J240" s="41"/>
    </row>
    <row r="241">
      <c r="H241" s="37"/>
      <c r="J241" s="41"/>
    </row>
    <row r="242">
      <c r="H242" s="37"/>
      <c r="J242" s="41"/>
    </row>
    <row r="243">
      <c r="H243" s="37"/>
      <c r="J243" s="41"/>
    </row>
    <row r="244">
      <c r="H244" s="37"/>
      <c r="J244" s="41"/>
    </row>
    <row r="245">
      <c r="H245" s="37"/>
      <c r="J245" s="41"/>
    </row>
    <row r="246">
      <c r="H246" s="37"/>
      <c r="J246" s="41"/>
    </row>
    <row r="247">
      <c r="H247" s="37"/>
      <c r="J247" s="41"/>
    </row>
    <row r="248">
      <c r="H248" s="37"/>
      <c r="J248" s="41"/>
    </row>
    <row r="249">
      <c r="H249" s="37"/>
      <c r="J249" s="41"/>
    </row>
    <row r="250">
      <c r="H250" s="37"/>
      <c r="J250" s="41"/>
    </row>
    <row r="251">
      <c r="H251" s="37"/>
      <c r="J251" s="41"/>
    </row>
    <row r="252">
      <c r="H252" s="37"/>
      <c r="J252" s="41"/>
    </row>
    <row r="253">
      <c r="H253" s="37"/>
      <c r="J253" s="41"/>
    </row>
    <row r="254">
      <c r="H254" s="37"/>
      <c r="J254" s="41"/>
    </row>
    <row r="255">
      <c r="H255" s="37"/>
      <c r="J255" s="41"/>
    </row>
    <row r="256">
      <c r="H256" s="37"/>
      <c r="J256" s="41"/>
    </row>
    <row r="257">
      <c r="H257" s="37"/>
      <c r="J257" s="41"/>
    </row>
    <row r="258">
      <c r="H258" s="37"/>
      <c r="J258" s="41"/>
    </row>
    <row r="259">
      <c r="H259" s="37"/>
      <c r="J259" s="41"/>
    </row>
    <row r="260">
      <c r="H260" s="37"/>
      <c r="J260" s="41"/>
    </row>
    <row r="261">
      <c r="H261" s="37"/>
      <c r="J261" s="41"/>
    </row>
    <row r="262">
      <c r="H262" s="37"/>
      <c r="J262" s="41"/>
    </row>
    <row r="263">
      <c r="H263" s="37"/>
      <c r="J263" s="41"/>
    </row>
    <row r="264">
      <c r="H264" s="37"/>
      <c r="J264" s="41"/>
    </row>
    <row r="265">
      <c r="H265" s="37"/>
      <c r="J265" s="41"/>
    </row>
    <row r="266">
      <c r="H266" s="37"/>
      <c r="J266" s="41"/>
    </row>
    <row r="267">
      <c r="H267" s="37"/>
      <c r="J267" s="41"/>
    </row>
    <row r="268">
      <c r="H268" s="37"/>
      <c r="J268" s="41"/>
    </row>
    <row r="269">
      <c r="H269" s="37"/>
      <c r="J269" s="41"/>
    </row>
    <row r="270">
      <c r="H270" s="37"/>
      <c r="J270" s="41"/>
    </row>
    <row r="271">
      <c r="H271" s="37"/>
      <c r="J271" s="41"/>
    </row>
    <row r="272">
      <c r="H272" s="37"/>
      <c r="J272" s="41"/>
    </row>
    <row r="273">
      <c r="H273" s="37"/>
      <c r="J273" s="41"/>
    </row>
    <row r="274">
      <c r="H274" s="37"/>
      <c r="J274" s="41"/>
    </row>
    <row r="275">
      <c r="H275" s="37"/>
      <c r="J275" s="41"/>
    </row>
    <row r="276">
      <c r="H276" s="37"/>
      <c r="J276" s="41"/>
    </row>
    <row r="277">
      <c r="H277" s="37"/>
      <c r="J277" s="41"/>
    </row>
    <row r="278">
      <c r="H278" s="37"/>
      <c r="J278" s="41"/>
    </row>
    <row r="279">
      <c r="H279" s="37"/>
      <c r="J279" s="41"/>
    </row>
    <row r="280">
      <c r="H280" s="37"/>
      <c r="J280" s="41"/>
    </row>
    <row r="281">
      <c r="H281" s="37"/>
      <c r="J281" s="41"/>
    </row>
    <row r="282">
      <c r="H282" s="37"/>
      <c r="J282" s="41"/>
    </row>
    <row r="283">
      <c r="H283" s="37"/>
      <c r="J283" s="41"/>
    </row>
    <row r="284">
      <c r="H284" s="37"/>
      <c r="J284" s="41"/>
    </row>
    <row r="285">
      <c r="H285" s="37"/>
      <c r="J285" s="41"/>
    </row>
    <row r="286">
      <c r="H286" s="37"/>
      <c r="J286" s="41"/>
    </row>
    <row r="287">
      <c r="H287" s="37"/>
      <c r="J287" s="41"/>
    </row>
    <row r="288">
      <c r="H288" s="37"/>
      <c r="J288" s="41"/>
    </row>
    <row r="289">
      <c r="H289" s="37"/>
      <c r="J289" s="41"/>
    </row>
    <row r="290">
      <c r="H290" s="37"/>
      <c r="J290" s="41"/>
    </row>
    <row r="291">
      <c r="H291" s="37"/>
      <c r="J291" s="41"/>
    </row>
    <row r="292">
      <c r="H292" s="37"/>
      <c r="J292" s="41"/>
    </row>
    <row r="293">
      <c r="H293" s="37"/>
      <c r="J293" s="41"/>
    </row>
    <row r="294">
      <c r="H294" s="37"/>
      <c r="J294" s="41"/>
    </row>
    <row r="295">
      <c r="H295" s="37"/>
      <c r="J295" s="41"/>
    </row>
    <row r="296">
      <c r="H296" s="37"/>
      <c r="J296" s="41"/>
    </row>
    <row r="297">
      <c r="H297" s="37"/>
      <c r="J297" s="41"/>
    </row>
    <row r="298">
      <c r="H298" s="37"/>
      <c r="J298" s="41"/>
    </row>
    <row r="299">
      <c r="H299" s="37"/>
      <c r="J299" s="41"/>
    </row>
    <row r="300">
      <c r="H300" s="37"/>
      <c r="J300" s="41"/>
    </row>
    <row r="301">
      <c r="H301" s="37"/>
      <c r="J301" s="41"/>
    </row>
    <row r="302">
      <c r="H302" s="37"/>
      <c r="J302" s="41"/>
    </row>
    <row r="303">
      <c r="H303" s="37"/>
      <c r="J303" s="41"/>
    </row>
    <row r="304">
      <c r="H304" s="37"/>
      <c r="J304" s="41"/>
    </row>
    <row r="305">
      <c r="H305" s="37"/>
      <c r="J305" s="41"/>
    </row>
    <row r="306">
      <c r="H306" s="37"/>
      <c r="J306" s="41"/>
    </row>
    <row r="307">
      <c r="H307" s="37"/>
      <c r="J307" s="41"/>
    </row>
    <row r="308">
      <c r="H308" s="37"/>
      <c r="J308" s="41"/>
    </row>
    <row r="309">
      <c r="H309" s="37"/>
      <c r="J309" s="41"/>
    </row>
    <row r="310">
      <c r="H310" s="37"/>
      <c r="J310" s="41"/>
    </row>
    <row r="311">
      <c r="H311" s="37"/>
      <c r="J311" s="41"/>
    </row>
    <row r="312">
      <c r="H312" s="37"/>
      <c r="J312" s="41"/>
    </row>
    <row r="313">
      <c r="H313" s="37"/>
      <c r="J313" s="41"/>
    </row>
    <row r="314">
      <c r="H314" s="37"/>
      <c r="J314" s="41"/>
    </row>
    <row r="315">
      <c r="H315" s="37"/>
      <c r="J315" s="41"/>
    </row>
    <row r="316">
      <c r="H316" s="37"/>
      <c r="J316" s="41"/>
    </row>
    <row r="317">
      <c r="H317" s="37"/>
      <c r="J317" s="41"/>
    </row>
    <row r="318">
      <c r="H318" s="37"/>
      <c r="J318" s="41"/>
    </row>
    <row r="319">
      <c r="H319" s="37"/>
      <c r="J319" s="41"/>
    </row>
    <row r="320">
      <c r="H320" s="37"/>
      <c r="J320" s="41"/>
    </row>
    <row r="321">
      <c r="H321" s="37"/>
      <c r="J321" s="41"/>
    </row>
    <row r="322">
      <c r="H322" s="37"/>
      <c r="J322" s="41"/>
    </row>
    <row r="323">
      <c r="H323" s="37"/>
      <c r="J323" s="41"/>
    </row>
    <row r="324">
      <c r="H324" s="37"/>
      <c r="J324" s="41"/>
    </row>
    <row r="325">
      <c r="H325" s="37"/>
      <c r="J325" s="41"/>
    </row>
    <row r="326">
      <c r="H326" s="37"/>
      <c r="J326" s="41"/>
    </row>
    <row r="327">
      <c r="H327" s="37"/>
      <c r="J327" s="41"/>
    </row>
    <row r="328">
      <c r="H328" s="37"/>
      <c r="J328" s="41"/>
    </row>
    <row r="329">
      <c r="H329" s="37"/>
      <c r="J329" s="41"/>
    </row>
    <row r="330">
      <c r="H330" s="37"/>
      <c r="J330" s="41"/>
    </row>
    <row r="331">
      <c r="H331" s="37"/>
      <c r="J331" s="41"/>
    </row>
    <row r="332">
      <c r="H332" s="37"/>
      <c r="J332" s="41"/>
    </row>
    <row r="333">
      <c r="H333" s="37"/>
      <c r="J333" s="41"/>
    </row>
    <row r="334">
      <c r="H334" s="37"/>
      <c r="J334" s="41"/>
    </row>
    <row r="335">
      <c r="H335" s="37"/>
      <c r="J335" s="41"/>
    </row>
    <row r="336">
      <c r="H336" s="37"/>
      <c r="J336" s="41"/>
    </row>
    <row r="337">
      <c r="H337" s="37"/>
      <c r="J337" s="41"/>
    </row>
    <row r="338">
      <c r="H338" s="37"/>
      <c r="J338" s="41"/>
    </row>
    <row r="339">
      <c r="H339" s="37"/>
      <c r="J339" s="41"/>
    </row>
    <row r="340">
      <c r="H340" s="37"/>
      <c r="J340" s="41"/>
    </row>
    <row r="341">
      <c r="H341" s="37"/>
      <c r="J341" s="41"/>
    </row>
    <row r="342">
      <c r="H342" s="37"/>
      <c r="J342" s="41"/>
    </row>
    <row r="343">
      <c r="H343" s="37"/>
      <c r="J343" s="41"/>
    </row>
    <row r="344">
      <c r="H344" s="37"/>
      <c r="J344" s="41"/>
    </row>
    <row r="345">
      <c r="H345" s="37"/>
      <c r="J345" s="41"/>
    </row>
    <row r="346">
      <c r="H346" s="37"/>
      <c r="J346" s="41"/>
    </row>
    <row r="347">
      <c r="H347" s="37"/>
      <c r="J347" s="41"/>
    </row>
    <row r="348">
      <c r="H348" s="37"/>
      <c r="J348" s="41"/>
    </row>
    <row r="349">
      <c r="H349" s="37"/>
      <c r="J349" s="41"/>
    </row>
    <row r="350">
      <c r="H350" s="37"/>
      <c r="J350" s="41"/>
    </row>
    <row r="351">
      <c r="H351" s="37"/>
      <c r="J351" s="41"/>
    </row>
    <row r="352">
      <c r="H352" s="37"/>
      <c r="J352" s="41"/>
    </row>
    <row r="353">
      <c r="H353" s="37"/>
      <c r="J353" s="41"/>
    </row>
    <row r="354">
      <c r="H354" s="37"/>
      <c r="J354" s="41"/>
    </row>
    <row r="355">
      <c r="H355" s="37"/>
      <c r="J355" s="41"/>
    </row>
    <row r="356">
      <c r="H356" s="37"/>
      <c r="J356" s="41"/>
    </row>
    <row r="357">
      <c r="H357" s="37"/>
      <c r="J357" s="41"/>
    </row>
    <row r="358">
      <c r="H358" s="37"/>
      <c r="J358" s="41"/>
    </row>
    <row r="359">
      <c r="H359" s="37"/>
      <c r="J359" s="41"/>
    </row>
    <row r="360">
      <c r="H360" s="37"/>
      <c r="J360" s="41"/>
    </row>
    <row r="361">
      <c r="H361" s="37"/>
      <c r="J361" s="41"/>
    </row>
    <row r="362">
      <c r="H362" s="37"/>
      <c r="J362" s="41"/>
    </row>
    <row r="363">
      <c r="H363" s="37"/>
      <c r="J363" s="41"/>
    </row>
    <row r="364">
      <c r="H364" s="37"/>
      <c r="J364" s="41"/>
    </row>
    <row r="365">
      <c r="H365" s="37"/>
      <c r="J365" s="41"/>
    </row>
    <row r="366">
      <c r="H366" s="37"/>
      <c r="J366" s="41"/>
    </row>
    <row r="367">
      <c r="H367" s="37"/>
      <c r="J367" s="41"/>
    </row>
    <row r="368">
      <c r="H368" s="37"/>
      <c r="J368" s="41"/>
    </row>
    <row r="369">
      <c r="H369" s="37"/>
      <c r="J369" s="41"/>
    </row>
    <row r="370">
      <c r="H370" s="37"/>
      <c r="J370" s="41"/>
    </row>
    <row r="371">
      <c r="H371" s="37"/>
      <c r="J371" s="41"/>
    </row>
    <row r="372">
      <c r="H372" s="37"/>
      <c r="J372" s="41"/>
    </row>
    <row r="373">
      <c r="H373" s="37"/>
      <c r="J373" s="41"/>
    </row>
    <row r="374">
      <c r="H374" s="37"/>
      <c r="J374" s="41"/>
    </row>
    <row r="375">
      <c r="H375" s="37"/>
      <c r="J375" s="41"/>
    </row>
    <row r="376">
      <c r="H376" s="37"/>
      <c r="J376" s="41"/>
    </row>
    <row r="377">
      <c r="H377" s="37"/>
      <c r="J377" s="41"/>
    </row>
    <row r="378">
      <c r="H378" s="37"/>
      <c r="J378" s="41"/>
    </row>
    <row r="379">
      <c r="H379" s="37"/>
      <c r="J379" s="41"/>
    </row>
    <row r="380">
      <c r="H380" s="37"/>
      <c r="J380" s="41"/>
    </row>
    <row r="381">
      <c r="H381" s="37"/>
      <c r="J381" s="41"/>
    </row>
    <row r="382">
      <c r="H382" s="37"/>
      <c r="J382" s="41"/>
    </row>
    <row r="383">
      <c r="H383" s="37"/>
      <c r="J383" s="41"/>
    </row>
    <row r="384">
      <c r="H384" s="37"/>
      <c r="J384" s="41"/>
    </row>
    <row r="385">
      <c r="H385" s="37"/>
      <c r="J385" s="41"/>
    </row>
    <row r="386">
      <c r="H386" s="37"/>
      <c r="J386" s="41"/>
    </row>
    <row r="387">
      <c r="H387" s="37"/>
      <c r="J387" s="41"/>
    </row>
    <row r="388">
      <c r="H388" s="37"/>
      <c r="J388" s="41"/>
    </row>
    <row r="389">
      <c r="H389" s="37"/>
      <c r="J389" s="41"/>
    </row>
    <row r="390">
      <c r="H390" s="37"/>
      <c r="J390" s="41"/>
    </row>
    <row r="391">
      <c r="H391" s="37"/>
      <c r="J391" s="41"/>
    </row>
    <row r="392">
      <c r="H392" s="37"/>
      <c r="J392" s="41"/>
    </row>
    <row r="393">
      <c r="H393" s="37"/>
      <c r="J393" s="41"/>
    </row>
    <row r="394">
      <c r="H394" s="37"/>
      <c r="J394" s="41"/>
    </row>
    <row r="395">
      <c r="H395" s="37"/>
      <c r="J395" s="41"/>
    </row>
    <row r="396">
      <c r="H396" s="37"/>
      <c r="J396" s="41"/>
    </row>
    <row r="397">
      <c r="H397" s="37"/>
      <c r="J397" s="41"/>
    </row>
    <row r="398">
      <c r="H398" s="37"/>
      <c r="J398" s="41"/>
    </row>
    <row r="399">
      <c r="H399" s="37"/>
      <c r="J399" s="41"/>
    </row>
    <row r="400">
      <c r="H400" s="37"/>
      <c r="J400" s="41"/>
    </row>
    <row r="401">
      <c r="H401" s="37"/>
      <c r="J401" s="41"/>
    </row>
    <row r="402">
      <c r="H402" s="37"/>
      <c r="J402" s="41"/>
    </row>
    <row r="403">
      <c r="H403" s="37"/>
      <c r="J403" s="41"/>
    </row>
    <row r="404">
      <c r="H404" s="37"/>
      <c r="J404" s="41"/>
    </row>
    <row r="405">
      <c r="H405" s="37"/>
      <c r="J405" s="41"/>
    </row>
    <row r="406">
      <c r="H406" s="37"/>
      <c r="J406" s="41"/>
    </row>
    <row r="407">
      <c r="H407" s="37"/>
      <c r="J407" s="41"/>
    </row>
    <row r="408">
      <c r="H408" s="37"/>
      <c r="J408" s="41"/>
    </row>
    <row r="409">
      <c r="H409" s="37"/>
      <c r="J409" s="41"/>
    </row>
    <row r="410">
      <c r="H410" s="37"/>
      <c r="J410" s="41"/>
    </row>
    <row r="411">
      <c r="H411" s="37"/>
      <c r="J411" s="41"/>
    </row>
    <row r="412">
      <c r="H412" s="37"/>
      <c r="J412" s="41"/>
    </row>
    <row r="413">
      <c r="H413" s="37"/>
      <c r="J413" s="41"/>
    </row>
    <row r="414">
      <c r="H414" s="37"/>
      <c r="J414" s="41"/>
    </row>
    <row r="415">
      <c r="H415" s="37"/>
      <c r="J415" s="41"/>
    </row>
    <row r="416">
      <c r="H416" s="37"/>
      <c r="J416" s="41"/>
    </row>
    <row r="417">
      <c r="H417" s="37"/>
      <c r="J417" s="41"/>
    </row>
    <row r="418">
      <c r="H418" s="37"/>
      <c r="J418" s="41"/>
    </row>
    <row r="419">
      <c r="H419" s="37"/>
      <c r="J419" s="41"/>
    </row>
    <row r="420">
      <c r="H420" s="37"/>
      <c r="J420" s="41"/>
    </row>
    <row r="421">
      <c r="H421" s="37"/>
      <c r="J421" s="41"/>
    </row>
    <row r="422">
      <c r="H422" s="37"/>
      <c r="J422" s="41"/>
    </row>
    <row r="423">
      <c r="H423" s="37"/>
      <c r="J423" s="41"/>
    </row>
    <row r="424">
      <c r="H424" s="37"/>
      <c r="J424" s="41"/>
    </row>
    <row r="425">
      <c r="H425" s="37"/>
      <c r="J425" s="41"/>
    </row>
    <row r="426">
      <c r="H426" s="37"/>
      <c r="J426" s="41"/>
    </row>
    <row r="427">
      <c r="H427" s="37"/>
      <c r="J427" s="41"/>
    </row>
    <row r="428">
      <c r="H428" s="37"/>
      <c r="J428" s="41"/>
    </row>
    <row r="429">
      <c r="H429" s="37"/>
      <c r="J429" s="41"/>
    </row>
    <row r="430">
      <c r="H430" s="37"/>
      <c r="J430" s="41"/>
    </row>
    <row r="431">
      <c r="H431" s="37"/>
      <c r="J431" s="41"/>
    </row>
    <row r="432">
      <c r="H432" s="37"/>
      <c r="J432" s="41"/>
    </row>
    <row r="433">
      <c r="H433" s="37"/>
      <c r="J433" s="41"/>
    </row>
    <row r="434">
      <c r="H434" s="37"/>
      <c r="J434" s="41"/>
    </row>
    <row r="435">
      <c r="H435" s="37"/>
      <c r="J435" s="41"/>
    </row>
    <row r="436">
      <c r="H436" s="37"/>
      <c r="J436" s="41"/>
    </row>
    <row r="437">
      <c r="H437" s="37"/>
      <c r="J437" s="41"/>
    </row>
    <row r="438">
      <c r="H438" s="37"/>
      <c r="J438" s="41"/>
    </row>
    <row r="439">
      <c r="H439" s="37"/>
      <c r="J439" s="41"/>
    </row>
    <row r="440">
      <c r="H440" s="37"/>
      <c r="J440" s="41"/>
    </row>
    <row r="441">
      <c r="H441" s="37"/>
      <c r="J441" s="41"/>
    </row>
    <row r="442">
      <c r="H442" s="37"/>
      <c r="J442" s="41"/>
    </row>
    <row r="443">
      <c r="H443" s="37"/>
      <c r="J443" s="41"/>
    </row>
    <row r="444">
      <c r="H444" s="37"/>
      <c r="J444" s="41"/>
    </row>
    <row r="445">
      <c r="H445" s="37"/>
      <c r="J445" s="41"/>
    </row>
    <row r="446">
      <c r="H446" s="37"/>
      <c r="J446" s="41"/>
    </row>
    <row r="447">
      <c r="H447" s="37"/>
      <c r="J447" s="41"/>
    </row>
    <row r="448">
      <c r="H448" s="37"/>
      <c r="J448" s="41"/>
    </row>
    <row r="449">
      <c r="H449" s="37"/>
      <c r="J449" s="41"/>
    </row>
    <row r="450">
      <c r="H450" s="37"/>
      <c r="J450" s="41"/>
    </row>
    <row r="451">
      <c r="H451" s="37"/>
      <c r="J451" s="41"/>
    </row>
    <row r="452">
      <c r="H452" s="37"/>
      <c r="J452" s="41"/>
    </row>
    <row r="453">
      <c r="H453" s="37"/>
      <c r="J453" s="41"/>
    </row>
    <row r="454">
      <c r="H454" s="37"/>
      <c r="J454" s="41"/>
    </row>
    <row r="455">
      <c r="H455" s="37"/>
      <c r="J455" s="41"/>
    </row>
    <row r="456">
      <c r="H456" s="37"/>
      <c r="J456" s="41"/>
    </row>
    <row r="457">
      <c r="H457" s="37"/>
      <c r="J457" s="41"/>
    </row>
    <row r="458">
      <c r="H458" s="37"/>
      <c r="J458" s="41"/>
    </row>
    <row r="459">
      <c r="H459" s="37"/>
      <c r="J459" s="41"/>
    </row>
    <row r="460">
      <c r="H460" s="37"/>
      <c r="J460" s="41"/>
    </row>
    <row r="461">
      <c r="H461" s="37"/>
      <c r="J461" s="41"/>
    </row>
    <row r="462">
      <c r="H462" s="37"/>
      <c r="J462" s="41"/>
    </row>
    <row r="463">
      <c r="H463" s="37"/>
      <c r="J463" s="41"/>
    </row>
    <row r="464">
      <c r="H464" s="37"/>
      <c r="J464" s="41"/>
    </row>
    <row r="465">
      <c r="H465" s="37"/>
      <c r="J465" s="41"/>
    </row>
    <row r="466">
      <c r="H466" s="37"/>
      <c r="J466" s="41"/>
    </row>
    <row r="467">
      <c r="H467" s="37"/>
      <c r="J467" s="41"/>
    </row>
    <row r="468">
      <c r="H468" s="37"/>
      <c r="J468" s="41"/>
    </row>
    <row r="469">
      <c r="H469" s="37"/>
      <c r="J469" s="41"/>
    </row>
    <row r="470">
      <c r="H470" s="37"/>
      <c r="J470" s="41"/>
    </row>
    <row r="471">
      <c r="H471" s="37"/>
      <c r="J471" s="41"/>
    </row>
    <row r="472">
      <c r="H472" s="37"/>
      <c r="J472" s="41"/>
    </row>
    <row r="473">
      <c r="H473" s="37"/>
      <c r="J473" s="41"/>
    </row>
    <row r="474">
      <c r="H474" s="37"/>
      <c r="J474" s="41"/>
    </row>
    <row r="475">
      <c r="H475" s="37"/>
      <c r="J475" s="41"/>
    </row>
    <row r="476">
      <c r="H476" s="37"/>
      <c r="J476" s="41"/>
    </row>
    <row r="477">
      <c r="H477" s="37"/>
      <c r="J477" s="41"/>
    </row>
    <row r="478">
      <c r="H478" s="37"/>
      <c r="J478" s="41"/>
    </row>
    <row r="479">
      <c r="H479" s="37"/>
      <c r="J479" s="41"/>
    </row>
    <row r="480">
      <c r="H480" s="37"/>
      <c r="J480" s="41"/>
    </row>
    <row r="481">
      <c r="H481" s="37"/>
      <c r="J481" s="41"/>
    </row>
    <row r="482">
      <c r="H482" s="37"/>
      <c r="J482" s="41"/>
    </row>
    <row r="483">
      <c r="H483" s="37"/>
      <c r="J483" s="41"/>
    </row>
    <row r="484">
      <c r="H484" s="37"/>
      <c r="J484" s="41"/>
    </row>
    <row r="485">
      <c r="H485" s="37"/>
      <c r="J485" s="41"/>
    </row>
    <row r="486">
      <c r="H486" s="37"/>
      <c r="J486" s="41"/>
    </row>
    <row r="487">
      <c r="H487" s="37"/>
      <c r="J487" s="41"/>
    </row>
    <row r="488">
      <c r="H488" s="37"/>
      <c r="J488" s="41"/>
    </row>
    <row r="489">
      <c r="H489" s="37"/>
      <c r="J489" s="41"/>
    </row>
    <row r="490">
      <c r="H490" s="37"/>
      <c r="J490" s="41"/>
    </row>
    <row r="491">
      <c r="H491" s="37"/>
      <c r="J491" s="41"/>
    </row>
    <row r="492">
      <c r="H492" s="37"/>
      <c r="J492" s="41"/>
    </row>
    <row r="493">
      <c r="H493" s="37"/>
      <c r="J493" s="41"/>
    </row>
    <row r="494">
      <c r="H494" s="37"/>
      <c r="J494" s="41"/>
    </row>
    <row r="495">
      <c r="H495" s="37"/>
      <c r="J495" s="41"/>
    </row>
    <row r="496">
      <c r="H496" s="37"/>
      <c r="J496" s="41"/>
    </row>
    <row r="497">
      <c r="H497" s="37"/>
      <c r="J497" s="41"/>
    </row>
    <row r="498">
      <c r="H498" s="37"/>
      <c r="J498" s="41"/>
    </row>
    <row r="499">
      <c r="H499" s="37"/>
      <c r="J499" s="41"/>
    </row>
    <row r="500">
      <c r="H500" s="37"/>
      <c r="J500" s="41"/>
    </row>
    <row r="501">
      <c r="H501" s="37"/>
      <c r="J501" s="41"/>
    </row>
    <row r="502">
      <c r="H502" s="37"/>
      <c r="J502" s="41"/>
    </row>
    <row r="503">
      <c r="H503" s="37"/>
      <c r="J503" s="41"/>
    </row>
    <row r="504">
      <c r="H504" s="37"/>
      <c r="J504" s="41"/>
    </row>
    <row r="505">
      <c r="H505" s="37"/>
      <c r="J505" s="41"/>
    </row>
    <row r="506">
      <c r="H506" s="37"/>
      <c r="J506" s="41"/>
    </row>
    <row r="507">
      <c r="H507" s="37"/>
      <c r="J507" s="41"/>
    </row>
    <row r="508">
      <c r="H508" s="37"/>
      <c r="J508" s="41"/>
    </row>
    <row r="509">
      <c r="H509" s="37"/>
      <c r="J509" s="41"/>
    </row>
    <row r="510">
      <c r="H510" s="37"/>
      <c r="J510" s="41"/>
    </row>
    <row r="511">
      <c r="H511" s="37"/>
      <c r="J511" s="41"/>
    </row>
    <row r="512">
      <c r="H512" s="37"/>
      <c r="J512" s="41"/>
    </row>
    <row r="513">
      <c r="H513" s="37"/>
      <c r="J513" s="41"/>
    </row>
    <row r="514">
      <c r="H514" s="37"/>
      <c r="J514" s="41"/>
    </row>
    <row r="515">
      <c r="H515" s="37"/>
      <c r="J515" s="41"/>
    </row>
    <row r="516">
      <c r="H516" s="37"/>
      <c r="J516" s="41"/>
    </row>
    <row r="517">
      <c r="H517" s="37"/>
      <c r="J517" s="41"/>
    </row>
    <row r="518">
      <c r="H518" s="37"/>
      <c r="J518" s="41"/>
    </row>
    <row r="519">
      <c r="H519" s="37"/>
      <c r="J519" s="41"/>
    </row>
    <row r="520">
      <c r="H520" s="37"/>
      <c r="J520" s="41"/>
    </row>
    <row r="521">
      <c r="H521" s="37"/>
      <c r="J521" s="41"/>
    </row>
    <row r="522">
      <c r="H522" s="37"/>
      <c r="J522" s="41"/>
    </row>
    <row r="523">
      <c r="H523" s="37"/>
      <c r="J523" s="41"/>
    </row>
    <row r="524">
      <c r="H524" s="37"/>
      <c r="J524" s="41"/>
    </row>
    <row r="525">
      <c r="H525" s="37"/>
      <c r="J525" s="41"/>
    </row>
    <row r="526">
      <c r="H526" s="37"/>
      <c r="J526" s="41"/>
    </row>
    <row r="527">
      <c r="H527" s="37"/>
      <c r="J527" s="41"/>
    </row>
    <row r="528">
      <c r="H528" s="37"/>
      <c r="J528" s="41"/>
    </row>
    <row r="529">
      <c r="H529" s="37"/>
      <c r="J529" s="41"/>
    </row>
    <row r="530">
      <c r="H530" s="37"/>
      <c r="J530" s="41"/>
    </row>
    <row r="531">
      <c r="H531" s="37"/>
      <c r="J531" s="41"/>
    </row>
    <row r="532">
      <c r="H532" s="37"/>
      <c r="J532" s="41"/>
    </row>
    <row r="533">
      <c r="H533" s="37"/>
      <c r="J533" s="41"/>
    </row>
    <row r="534">
      <c r="H534" s="37"/>
      <c r="J534" s="41"/>
    </row>
    <row r="535">
      <c r="H535" s="37"/>
      <c r="J535" s="41"/>
    </row>
    <row r="536">
      <c r="H536" s="37"/>
      <c r="J536" s="41"/>
    </row>
    <row r="537">
      <c r="H537" s="37"/>
      <c r="J537" s="41"/>
    </row>
    <row r="538">
      <c r="H538" s="37"/>
      <c r="J538" s="41"/>
    </row>
    <row r="539">
      <c r="H539" s="37"/>
      <c r="J539" s="41"/>
    </row>
    <row r="540">
      <c r="H540" s="37"/>
      <c r="J540" s="41"/>
    </row>
    <row r="541">
      <c r="H541" s="37"/>
      <c r="J541" s="41"/>
    </row>
    <row r="542">
      <c r="H542" s="37"/>
      <c r="J542" s="41"/>
    </row>
    <row r="543">
      <c r="H543" s="37"/>
      <c r="J543" s="41"/>
    </row>
    <row r="544">
      <c r="H544" s="37"/>
      <c r="J544" s="41"/>
    </row>
    <row r="545">
      <c r="H545" s="37"/>
      <c r="J545" s="41"/>
    </row>
    <row r="546">
      <c r="H546" s="37"/>
      <c r="J546" s="41"/>
    </row>
    <row r="547">
      <c r="H547" s="37"/>
      <c r="J547" s="41"/>
    </row>
    <row r="548">
      <c r="H548" s="37"/>
      <c r="J548" s="41"/>
    </row>
    <row r="549">
      <c r="H549" s="37"/>
      <c r="J549" s="41"/>
    </row>
    <row r="550">
      <c r="H550" s="37"/>
      <c r="J550" s="41"/>
    </row>
    <row r="551">
      <c r="H551" s="37"/>
      <c r="J551" s="41"/>
    </row>
    <row r="552">
      <c r="H552" s="37"/>
      <c r="J552" s="41"/>
    </row>
    <row r="553">
      <c r="H553" s="37"/>
      <c r="J553" s="41"/>
    </row>
    <row r="554">
      <c r="H554" s="37"/>
      <c r="J554" s="41"/>
    </row>
    <row r="555">
      <c r="H555" s="37"/>
      <c r="J555" s="41"/>
    </row>
    <row r="556">
      <c r="H556" s="37"/>
      <c r="J556" s="41"/>
    </row>
    <row r="557">
      <c r="H557" s="37"/>
      <c r="J557" s="41"/>
    </row>
    <row r="558">
      <c r="H558" s="37"/>
      <c r="J558" s="41"/>
    </row>
    <row r="559">
      <c r="H559" s="37"/>
      <c r="J559" s="41"/>
    </row>
    <row r="560">
      <c r="H560" s="37"/>
      <c r="J560" s="41"/>
    </row>
    <row r="561">
      <c r="H561" s="37"/>
      <c r="J561" s="41"/>
    </row>
    <row r="562">
      <c r="H562" s="37"/>
      <c r="J562" s="41"/>
    </row>
    <row r="563">
      <c r="H563" s="37"/>
      <c r="J563" s="41"/>
    </row>
    <row r="564">
      <c r="H564" s="37"/>
      <c r="J564" s="41"/>
    </row>
    <row r="565">
      <c r="H565" s="37"/>
      <c r="J565" s="41"/>
    </row>
    <row r="566">
      <c r="H566" s="37"/>
      <c r="J566" s="41"/>
    </row>
    <row r="567">
      <c r="H567" s="37"/>
      <c r="J567" s="41"/>
    </row>
    <row r="568">
      <c r="H568" s="37"/>
      <c r="J568" s="41"/>
    </row>
    <row r="569">
      <c r="H569" s="37"/>
      <c r="J569" s="41"/>
    </row>
    <row r="570">
      <c r="H570" s="37"/>
      <c r="J570" s="41"/>
    </row>
    <row r="571">
      <c r="H571" s="37"/>
      <c r="J571" s="41"/>
    </row>
    <row r="572">
      <c r="H572" s="37"/>
      <c r="J572" s="41"/>
    </row>
    <row r="573">
      <c r="H573" s="37"/>
      <c r="J573" s="41"/>
    </row>
    <row r="574">
      <c r="H574" s="37"/>
      <c r="J574" s="41"/>
    </row>
    <row r="575">
      <c r="H575" s="37"/>
      <c r="J575" s="41"/>
    </row>
    <row r="576">
      <c r="H576" s="37"/>
      <c r="J576" s="41"/>
    </row>
    <row r="577">
      <c r="H577" s="37"/>
      <c r="J577" s="41"/>
    </row>
    <row r="578">
      <c r="H578" s="37"/>
      <c r="J578" s="41"/>
    </row>
    <row r="579">
      <c r="H579" s="37"/>
      <c r="J579" s="41"/>
    </row>
    <row r="580">
      <c r="H580" s="37"/>
      <c r="J580" s="41"/>
    </row>
    <row r="581">
      <c r="H581" s="37"/>
      <c r="J581" s="41"/>
    </row>
    <row r="582">
      <c r="H582" s="37"/>
      <c r="J582" s="41"/>
    </row>
    <row r="583">
      <c r="H583" s="37"/>
      <c r="J583" s="41"/>
    </row>
    <row r="584">
      <c r="H584" s="37"/>
      <c r="J584" s="41"/>
    </row>
    <row r="585">
      <c r="H585" s="37"/>
      <c r="J585" s="41"/>
    </row>
    <row r="586">
      <c r="H586" s="37"/>
      <c r="J586" s="41"/>
    </row>
    <row r="587">
      <c r="H587" s="37"/>
      <c r="J587" s="41"/>
    </row>
    <row r="588">
      <c r="H588" s="37"/>
      <c r="J588" s="41"/>
    </row>
    <row r="589">
      <c r="H589" s="37"/>
      <c r="J589" s="41"/>
    </row>
    <row r="590">
      <c r="H590" s="37"/>
      <c r="J590" s="41"/>
    </row>
    <row r="591">
      <c r="H591" s="37"/>
      <c r="J591" s="41"/>
    </row>
    <row r="592">
      <c r="H592" s="37"/>
      <c r="J592" s="41"/>
    </row>
    <row r="593">
      <c r="H593" s="37"/>
      <c r="J593" s="41"/>
    </row>
    <row r="594">
      <c r="H594" s="37"/>
      <c r="J594" s="41"/>
    </row>
    <row r="595">
      <c r="H595" s="37"/>
      <c r="J595" s="41"/>
    </row>
    <row r="596">
      <c r="H596" s="37"/>
      <c r="J596" s="41"/>
    </row>
    <row r="597">
      <c r="H597" s="37"/>
      <c r="J597" s="41"/>
    </row>
    <row r="598">
      <c r="H598" s="37"/>
      <c r="J598" s="41"/>
    </row>
    <row r="599">
      <c r="H599" s="37"/>
      <c r="J599" s="41"/>
    </row>
    <row r="600">
      <c r="H600" s="37"/>
      <c r="J600" s="41"/>
    </row>
    <row r="601">
      <c r="H601" s="37"/>
      <c r="J601" s="41"/>
    </row>
    <row r="602">
      <c r="H602" s="37"/>
      <c r="J602" s="41"/>
    </row>
    <row r="603">
      <c r="H603" s="37"/>
      <c r="J603" s="41"/>
    </row>
    <row r="604">
      <c r="H604" s="37"/>
      <c r="J604" s="41"/>
    </row>
    <row r="605">
      <c r="H605" s="37"/>
      <c r="J605" s="41"/>
    </row>
    <row r="606">
      <c r="H606" s="37"/>
      <c r="J606" s="41"/>
    </row>
    <row r="607">
      <c r="H607" s="37"/>
      <c r="J607" s="41"/>
    </row>
    <row r="608">
      <c r="H608" s="37"/>
      <c r="J608" s="41"/>
    </row>
    <row r="609">
      <c r="H609" s="37"/>
      <c r="J609" s="41"/>
    </row>
    <row r="610">
      <c r="H610" s="37"/>
      <c r="J610" s="41"/>
    </row>
    <row r="611">
      <c r="H611" s="37"/>
      <c r="J611" s="41"/>
    </row>
    <row r="612">
      <c r="H612" s="37"/>
      <c r="J612" s="41"/>
    </row>
    <row r="613">
      <c r="H613" s="37"/>
      <c r="J613" s="41"/>
    </row>
    <row r="614">
      <c r="H614" s="37"/>
      <c r="J614" s="41"/>
    </row>
    <row r="615">
      <c r="H615" s="37"/>
      <c r="J615" s="41"/>
    </row>
    <row r="616">
      <c r="H616" s="37"/>
      <c r="J616" s="41"/>
    </row>
    <row r="617">
      <c r="H617" s="37"/>
      <c r="J617" s="41"/>
    </row>
    <row r="618">
      <c r="H618" s="37"/>
      <c r="J618" s="41"/>
    </row>
    <row r="619">
      <c r="H619" s="37"/>
      <c r="J619" s="41"/>
    </row>
    <row r="620">
      <c r="H620" s="37"/>
      <c r="J620" s="41"/>
    </row>
    <row r="621">
      <c r="H621" s="37"/>
      <c r="J621" s="41"/>
    </row>
    <row r="622">
      <c r="H622" s="37"/>
      <c r="J622" s="41"/>
    </row>
    <row r="623">
      <c r="H623" s="37"/>
      <c r="J623" s="41"/>
    </row>
    <row r="624">
      <c r="H624" s="37"/>
      <c r="J624" s="41"/>
    </row>
    <row r="625">
      <c r="H625" s="37"/>
      <c r="J625" s="41"/>
    </row>
    <row r="626">
      <c r="H626" s="37"/>
      <c r="J626" s="41"/>
    </row>
    <row r="627">
      <c r="H627" s="37"/>
      <c r="J627" s="41"/>
    </row>
    <row r="628">
      <c r="H628" s="37"/>
      <c r="J628" s="41"/>
    </row>
    <row r="629">
      <c r="H629" s="37"/>
      <c r="J629" s="41"/>
    </row>
    <row r="630">
      <c r="H630" s="37"/>
      <c r="J630" s="41"/>
    </row>
    <row r="631">
      <c r="H631" s="37"/>
      <c r="J631" s="41"/>
    </row>
    <row r="632">
      <c r="H632" s="37"/>
      <c r="J632" s="41"/>
    </row>
    <row r="633">
      <c r="H633" s="37"/>
      <c r="J633" s="41"/>
    </row>
    <row r="634">
      <c r="H634" s="37"/>
      <c r="J634" s="41"/>
    </row>
    <row r="635">
      <c r="H635" s="37"/>
      <c r="J635" s="41"/>
    </row>
    <row r="636">
      <c r="H636" s="37"/>
      <c r="J636" s="41"/>
    </row>
    <row r="637">
      <c r="H637" s="37"/>
      <c r="J637" s="41"/>
    </row>
    <row r="638">
      <c r="H638" s="37"/>
      <c r="J638" s="41"/>
    </row>
    <row r="639">
      <c r="H639" s="37"/>
      <c r="J639" s="41"/>
    </row>
    <row r="640">
      <c r="H640" s="37"/>
      <c r="J640" s="41"/>
    </row>
    <row r="641">
      <c r="H641" s="37"/>
      <c r="J641" s="41"/>
    </row>
    <row r="642">
      <c r="H642" s="37"/>
      <c r="J642" s="41"/>
    </row>
    <row r="643">
      <c r="H643" s="37"/>
      <c r="J643" s="41"/>
    </row>
    <row r="644">
      <c r="H644" s="37"/>
      <c r="J644" s="41"/>
    </row>
    <row r="645">
      <c r="H645" s="37"/>
      <c r="J645" s="41"/>
    </row>
    <row r="646">
      <c r="H646" s="37"/>
      <c r="J646" s="41"/>
    </row>
    <row r="647">
      <c r="H647" s="37"/>
      <c r="J647" s="41"/>
    </row>
    <row r="648">
      <c r="H648" s="37"/>
      <c r="J648" s="41"/>
    </row>
    <row r="649">
      <c r="H649" s="37"/>
      <c r="J649" s="41"/>
    </row>
    <row r="650">
      <c r="H650" s="37"/>
      <c r="J650" s="41"/>
    </row>
    <row r="651">
      <c r="H651" s="37"/>
      <c r="J651" s="41"/>
    </row>
    <row r="652">
      <c r="H652" s="37"/>
      <c r="J652" s="41"/>
    </row>
    <row r="653">
      <c r="H653" s="37"/>
      <c r="J653" s="41"/>
    </row>
    <row r="654">
      <c r="H654" s="37"/>
      <c r="J654" s="41"/>
    </row>
    <row r="655">
      <c r="H655" s="37"/>
      <c r="J655" s="41"/>
    </row>
    <row r="656">
      <c r="H656" s="37"/>
      <c r="J656" s="41"/>
    </row>
    <row r="657">
      <c r="H657" s="37"/>
      <c r="J657" s="41"/>
    </row>
    <row r="658">
      <c r="H658" s="37"/>
      <c r="J658" s="41"/>
    </row>
    <row r="659">
      <c r="H659" s="37"/>
      <c r="J659" s="41"/>
    </row>
    <row r="660">
      <c r="H660" s="37"/>
      <c r="J660" s="41"/>
    </row>
    <row r="661">
      <c r="H661" s="37"/>
      <c r="J661" s="41"/>
    </row>
    <row r="662">
      <c r="H662" s="37"/>
      <c r="J662" s="41"/>
    </row>
    <row r="663">
      <c r="H663" s="37"/>
      <c r="J663" s="41"/>
    </row>
    <row r="664">
      <c r="H664" s="37"/>
      <c r="J664" s="41"/>
    </row>
    <row r="665">
      <c r="H665" s="37"/>
      <c r="J665" s="41"/>
    </row>
    <row r="666">
      <c r="H666" s="37"/>
      <c r="J666" s="41"/>
    </row>
    <row r="667">
      <c r="H667" s="37"/>
      <c r="J667" s="41"/>
    </row>
    <row r="668">
      <c r="H668" s="37"/>
      <c r="J668" s="41"/>
    </row>
    <row r="669">
      <c r="H669" s="37"/>
      <c r="J669" s="41"/>
    </row>
    <row r="670">
      <c r="H670" s="37"/>
      <c r="J670" s="41"/>
    </row>
    <row r="671">
      <c r="H671" s="37"/>
      <c r="J671" s="41"/>
    </row>
    <row r="672">
      <c r="H672" s="37"/>
      <c r="J672" s="41"/>
    </row>
    <row r="673">
      <c r="H673" s="37"/>
      <c r="J673" s="41"/>
    </row>
    <row r="674">
      <c r="H674" s="37"/>
      <c r="J674" s="41"/>
    </row>
    <row r="675">
      <c r="H675" s="37"/>
      <c r="J675" s="41"/>
    </row>
    <row r="676">
      <c r="H676" s="37"/>
      <c r="J676" s="41"/>
    </row>
    <row r="677">
      <c r="H677" s="37"/>
      <c r="J677" s="41"/>
    </row>
    <row r="678">
      <c r="H678" s="37"/>
      <c r="J678" s="41"/>
    </row>
    <row r="679">
      <c r="H679" s="37"/>
      <c r="J679" s="41"/>
    </row>
    <row r="680">
      <c r="H680" s="37"/>
      <c r="J680" s="41"/>
    </row>
    <row r="681">
      <c r="H681" s="37"/>
      <c r="J681" s="41"/>
    </row>
    <row r="682">
      <c r="H682" s="37"/>
      <c r="J682" s="41"/>
    </row>
    <row r="683">
      <c r="H683" s="37"/>
      <c r="J683" s="41"/>
    </row>
    <row r="684">
      <c r="H684" s="37"/>
      <c r="J684" s="41"/>
    </row>
    <row r="685">
      <c r="H685" s="37"/>
      <c r="J685" s="41"/>
    </row>
    <row r="686">
      <c r="H686" s="37"/>
      <c r="J686" s="41"/>
    </row>
    <row r="687">
      <c r="H687" s="37"/>
      <c r="J687" s="41"/>
    </row>
    <row r="688">
      <c r="H688" s="37"/>
      <c r="J688" s="41"/>
    </row>
    <row r="689">
      <c r="H689" s="37"/>
      <c r="J689" s="41"/>
    </row>
    <row r="690">
      <c r="H690" s="37"/>
      <c r="J690" s="41"/>
    </row>
    <row r="691">
      <c r="H691" s="37"/>
      <c r="J691" s="41"/>
    </row>
    <row r="692">
      <c r="H692" s="37"/>
      <c r="J692" s="41"/>
    </row>
    <row r="693">
      <c r="H693" s="37"/>
      <c r="J693" s="41"/>
    </row>
    <row r="694">
      <c r="H694" s="37"/>
      <c r="J694" s="41"/>
    </row>
    <row r="695">
      <c r="H695" s="37"/>
      <c r="J695" s="41"/>
    </row>
    <row r="696">
      <c r="H696" s="37"/>
      <c r="J696" s="41"/>
    </row>
    <row r="697">
      <c r="H697" s="37"/>
      <c r="J697" s="41"/>
    </row>
    <row r="698">
      <c r="H698" s="37"/>
      <c r="J698" s="41"/>
    </row>
    <row r="699">
      <c r="H699" s="37"/>
      <c r="J699" s="41"/>
    </row>
    <row r="700">
      <c r="H700" s="37"/>
      <c r="J700" s="41"/>
    </row>
    <row r="701">
      <c r="H701" s="37"/>
      <c r="J701" s="41"/>
    </row>
    <row r="702">
      <c r="H702" s="37"/>
      <c r="J702" s="41"/>
    </row>
    <row r="703">
      <c r="H703" s="37"/>
      <c r="J703" s="41"/>
    </row>
    <row r="704">
      <c r="H704" s="37"/>
      <c r="J704" s="41"/>
    </row>
    <row r="705">
      <c r="H705" s="37"/>
      <c r="J705" s="41"/>
    </row>
    <row r="706">
      <c r="H706" s="37"/>
      <c r="J706" s="41"/>
    </row>
    <row r="707">
      <c r="H707" s="37"/>
      <c r="J707" s="41"/>
    </row>
    <row r="708">
      <c r="H708" s="37"/>
      <c r="J708" s="41"/>
    </row>
    <row r="709">
      <c r="H709" s="37"/>
      <c r="J709" s="41"/>
    </row>
    <row r="710">
      <c r="H710" s="37"/>
      <c r="J710" s="41"/>
    </row>
    <row r="711">
      <c r="H711" s="37"/>
      <c r="J711" s="41"/>
    </row>
    <row r="712">
      <c r="H712" s="37"/>
      <c r="J712" s="41"/>
    </row>
    <row r="713">
      <c r="H713" s="37"/>
      <c r="J713" s="41"/>
    </row>
    <row r="714">
      <c r="H714" s="37"/>
      <c r="J714" s="41"/>
    </row>
    <row r="715">
      <c r="H715" s="37"/>
      <c r="J715" s="41"/>
    </row>
    <row r="716">
      <c r="H716" s="37"/>
      <c r="J716" s="41"/>
    </row>
    <row r="717">
      <c r="H717" s="37"/>
      <c r="J717" s="41"/>
    </row>
    <row r="718">
      <c r="H718" s="37"/>
      <c r="J718" s="41"/>
    </row>
    <row r="719">
      <c r="H719" s="37"/>
      <c r="J719" s="41"/>
    </row>
    <row r="720">
      <c r="H720" s="37"/>
      <c r="J720" s="41"/>
    </row>
    <row r="721">
      <c r="H721" s="37"/>
      <c r="J721" s="41"/>
    </row>
    <row r="722">
      <c r="H722" s="37"/>
      <c r="J722" s="41"/>
    </row>
    <row r="723">
      <c r="H723" s="37"/>
      <c r="J723" s="41"/>
    </row>
    <row r="724">
      <c r="H724" s="37"/>
      <c r="J724" s="41"/>
    </row>
    <row r="725">
      <c r="H725" s="37"/>
      <c r="J725" s="41"/>
    </row>
    <row r="726">
      <c r="H726" s="37"/>
      <c r="J726" s="41"/>
    </row>
    <row r="727">
      <c r="H727" s="37"/>
      <c r="J727" s="41"/>
    </row>
    <row r="728">
      <c r="H728" s="37"/>
      <c r="J728" s="41"/>
    </row>
    <row r="729">
      <c r="H729" s="37"/>
      <c r="J729" s="41"/>
    </row>
    <row r="730">
      <c r="H730" s="37"/>
      <c r="J730" s="41"/>
    </row>
    <row r="731">
      <c r="H731" s="37"/>
      <c r="J731" s="41"/>
    </row>
    <row r="732">
      <c r="H732" s="37"/>
      <c r="J732" s="41"/>
    </row>
    <row r="733">
      <c r="H733" s="37"/>
      <c r="J733" s="41"/>
    </row>
    <row r="734">
      <c r="H734" s="37"/>
      <c r="J734" s="41"/>
    </row>
    <row r="735">
      <c r="H735" s="37"/>
      <c r="J735" s="41"/>
    </row>
    <row r="736">
      <c r="H736" s="37"/>
      <c r="J736" s="41"/>
    </row>
    <row r="737">
      <c r="H737" s="37"/>
      <c r="J737" s="41"/>
    </row>
    <row r="738">
      <c r="H738" s="37"/>
      <c r="J738" s="41"/>
    </row>
    <row r="739">
      <c r="H739" s="37"/>
      <c r="J739" s="41"/>
    </row>
    <row r="740">
      <c r="H740" s="37"/>
      <c r="J740" s="41"/>
    </row>
    <row r="741">
      <c r="H741" s="37"/>
      <c r="J741" s="41"/>
    </row>
    <row r="742">
      <c r="H742" s="37"/>
      <c r="J742" s="41"/>
    </row>
    <row r="743">
      <c r="H743" s="37"/>
      <c r="J743" s="41"/>
    </row>
    <row r="744">
      <c r="H744" s="37"/>
      <c r="J744" s="41"/>
    </row>
    <row r="745">
      <c r="H745" s="37"/>
      <c r="J745" s="41"/>
    </row>
    <row r="746">
      <c r="H746" s="37"/>
      <c r="J746" s="41"/>
    </row>
    <row r="747">
      <c r="H747" s="37"/>
      <c r="J747" s="41"/>
    </row>
    <row r="748">
      <c r="H748" s="37"/>
      <c r="J748" s="41"/>
    </row>
    <row r="749">
      <c r="H749" s="37"/>
      <c r="J749" s="41"/>
    </row>
    <row r="750">
      <c r="H750" s="37"/>
      <c r="J750" s="41"/>
    </row>
    <row r="751">
      <c r="H751" s="37"/>
      <c r="J751" s="41"/>
    </row>
    <row r="752">
      <c r="H752" s="37"/>
      <c r="J752" s="41"/>
    </row>
    <row r="753">
      <c r="H753" s="37"/>
      <c r="J753" s="41"/>
    </row>
    <row r="754">
      <c r="H754" s="37"/>
      <c r="J754" s="41"/>
    </row>
    <row r="755">
      <c r="H755" s="37"/>
      <c r="J755" s="41"/>
    </row>
    <row r="756">
      <c r="H756" s="37"/>
      <c r="J756" s="41"/>
    </row>
    <row r="757">
      <c r="H757" s="37"/>
      <c r="J757" s="41"/>
    </row>
    <row r="758">
      <c r="H758" s="37"/>
      <c r="J758" s="41"/>
    </row>
    <row r="759">
      <c r="H759" s="37"/>
      <c r="J759" s="41"/>
    </row>
    <row r="760">
      <c r="H760" s="37"/>
      <c r="J760" s="41"/>
    </row>
    <row r="761">
      <c r="H761" s="37"/>
      <c r="J761" s="41"/>
    </row>
    <row r="762">
      <c r="H762" s="37"/>
      <c r="J762" s="41"/>
    </row>
    <row r="763">
      <c r="H763" s="37"/>
      <c r="J763" s="41"/>
    </row>
    <row r="764">
      <c r="H764" s="37"/>
      <c r="J764" s="41"/>
    </row>
    <row r="765">
      <c r="H765" s="37"/>
      <c r="J765" s="41"/>
    </row>
    <row r="766">
      <c r="H766" s="37"/>
      <c r="J766" s="41"/>
    </row>
    <row r="767">
      <c r="H767" s="37"/>
      <c r="J767" s="41"/>
    </row>
    <row r="768">
      <c r="H768" s="37"/>
      <c r="J768" s="41"/>
    </row>
    <row r="769">
      <c r="H769" s="37"/>
      <c r="J769" s="41"/>
    </row>
    <row r="770">
      <c r="H770" s="37"/>
      <c r="J770" s="41"/>
    </row>
    <row r="771">
      <c r="H771" s="37"/>
      <c r="J771" s="41"/>
    </row>
    <row r="772">
      <c r="H772" s="37"/>
      <c r="J772" s="41"/>
    </row>
    <row r="773">
      <c r="H773" s="37"/>
      <c r="J773" s="41"/>
    </row>
    <row r="774">
      <c r="H774" s="37"/>
      <c r="J774" s="41"/>
    </row>
    <row r="775">
      <c r="H775" s="37"/>
      <c r="J775" s="41"/>
    </row>
    <row r="776">
      <c r="H776" s="37"/>
      <c r="J776" s="41"/>
    </row>
    <row r="777">
      <c r="H777" s="37"/>
      <c r="J777" s="41"/>
    </row>
    <row r="778">
      <c r="H778" s="37"/>
      <c r="J778" s="41"/>
    </row>
    <row r="779">
      <c r="H779" s="37"/>
      <c r="J779" s="41"/>
    </row>
    <row r="780">
      <c r="H780" s="37"/>
      <c r="J780" s="41"/>
    </row>
    <row r="781">
      <c r="H781" s="37"/>
      <c r="J781" s="41"/>
    </row>
    <row r="782">
      <c r="H782" s="37"/>
      <c r="J782" s="41"/>
    </row>
    <row r="783">
      <c r="H783" s="37"/>
      <c r="J783" s="41"/>
    </row>
    <row r="784">
      <c r="H784" s="37"/>
      <c r="J784" s="41"/>
    </row>
    <row r="785">
      <c r="H785" s="37"/>
      <c r="J785" s="41"/>
    </row>
    <row r="786">
      <c r="H786" s="37"/>
      <c r="J786" s="41"/>
    </row>
    <row r="787">
      <c r="H787" s="37"/>
      <c r="J787" s="41"/>
    </row>
    <row r="788">
      <c r="H788" s="37"/>
      <c r="J788" s="41"/>
    </row>
    <row r="789">
      <c r="H789" s="37"/>
      <c r="J789" s="41"/>
    </row>
    <row r="790">
      <c r="H790" s="37"/>
      <c r="J790" s="41"/>
    </row>
    <row r="791">
      <c r="H791" s="37"/>
      <c r="J791" s="41"/>
    </row>
    <row r="792">
      <c r="H792" s="37"/>
      <c r="J792" s="41"/>
    </row>
    <row r="793">
      <c r="H793" s="37"/>
      <c r="J793" s="41"/>
    </row>
    <row r="794">
      <c r="H794" s="37"/>
      <c r="J794" s="41"/>
    </row>
    <row r="795">
      <c r="H795" s="37"/>
      <c r="J795" s="41"/>
    </row>
    <row r="796">
      <c r="H796" s="37"/>
      <c r="J796" s="41"/>
    </row>
    <row r="797">
      <c r="H797" s="37"/>
      <c r="J797" s="41"/>
    </row>
    <row r="798">
      <c r="H798" s="37"/>
      <c r="J798" s="41"/>
    </row>
    <row r="799">
      <c r="H799" s="37"/>
      <c r="J799" s="41"/>
    </row>
    <row r="800">
      <c r="H800" s="37"/>
      <c r="J800" s="41"/>
    </row>
    <row r="801">
      <c r="H801" s="37"/>
      <c r="J801" s="41"/>
    </row>
    <row r="802">
      <c r="H802" s="37"/>
      <c r="J802" s="41"/>
    </row>
    <row r="803">
      <c r="H803" s="37"/>
      <c r="J803" s="41"/>
    </row>
    <row r="804">
      <c r="H804" s="37"/>
      <c r="J804" s="41"/>
    </row>
    <row r="805">
      <c r="H805" s="37"/>
      <c r="J805" s="41"/>
    </row>
    <row r="806">
      <c r="H806" s="37"/>
      <c r="J806" s="41"/>
    </row>
    <row r="807">
      <c r="H807" s="37"/>
      <c r="J807" s="41"/>
    </row>
    <row r="808">
      <c r="H808" s="37"/>
      <c r="J808" s="41"/>
    </row>
    <row r="809">
      <c r="H809" s="37"/>
      <c r="J809" s="41"/>
    </row>
    <row r="810">
      <c r="H810" s="37"/>
      <c r="J810" s="41"/>
    </row>
    <row r="811">
      <c r="H811" s="37"/>
      <c r="J811" s="41"/>
    </row>
    <row r="812">
      <c r="H812" s="37"/>
      <c r="J812" s="41"/>
    </row>
    <row r="813">
      <c r="H813" s="37"/>
      <c r="J813" s="41"/>
    </row>
    <row r="814">
      <c r="H814" s="37"/>
      <c r="J814" s="41"/>
    </row>
    <row r="815">
      <c r="H815" s="37"/>
      <c r="J815" s="41"/>
    </row>
    <row r="816">
      <c r="H816" s="37"/>
      <c r="J816" s="41"/>
    </row>
    <row r="817">
      <c r="H817" s="37"/>
      <c r="J817" s="41"/>
    </row>
    <row r="818">
      <c r="H818" s="37"/>
      <c r="J818" s="41"/>
    </row>
    <row r="819">
      <c r="H819" s="37"/>
      <c r="J819" s="41"/>
    </row>
    <row r="820">
      <c r="H820" s="37"/>
      <c r="J820" s="41"/>
    </row>
    <row r="821">
      <c r="H821" s="37"/>
      <c r="J821" s="41"/>
    </row>
    <row r="822">
      <c r="H822" s="37"/>
      <c r="J822" s="41"/>
    </row>
    <row r="823">
      <c r="H823" s="37"/>
      <c r="J823" s="41"/>
    </row>
    <row r="824">
      <c r="H824" s="37"/>
      <c r="J824" s="41"/>
    </row>
    <row r="825">
      <c r="H825" s="37"/>
      <c r="J825" s="41"/>
    </row>
    <row r="826">
      <c r="H826" s="37"/>
      <c r="J826" s="41"/>
    </row>
    <row r="827">
      <c r="H827" s="37"/>
      <c r="J827" s="41"/>
    </row>
    <row r="828">
      <c r="H828" s="37"/>
      <c r="J828" s="41"/>
    </row>
    <row r="829">
      <c r="H829" s="37"/>
      <c r="J829" s="41"/>
    </row>
    <row r="830">
      <c r="H830" s="37"/>
      <c r="J830" s="41"/>
    </row>
    <row r="831">
      <c r="H831" s="37"/>
      <c r="J831" s="41"/>
    </row>
    <row r="832">
      <c r="H832" s="37"/>
      <c r="J832" s="41"/>
    </row>
    <row r="833">
      <c r="H833" s="37"/>
      <c r="J833" s="41"/>
    </row>
    <row r="834">
      <c r="H834" s="37"/>
      <c r="J834" s="41"/>
    </row>
    <row r="835">
      <c r="H835" s="37"/>
      <c r="J835" s="41"/>
    </row>
    <row r="836">
      <c r="H836" s="37"/>
      <c r="J836" s="41"/>
    </row>
    <row r="837">
      <c r="H837" s="37"/>
      <c r="J837" s="41"/>
    </row>
    <row r="838">
      <c r="H838" s="37"/>
      <c r="J838" s="41"/>
    </row>
    <row r="839">
      <c r="H839" s="37"/>
      <c r="J839" s="41"/>
    </row>
    <row r="840">
      <c r="H840" s="37"/>
      <c r="J840" s="41"/>
    </row>
    <row r="841">
      <c r="H841" s="37"/>
      <c r="J841" s="41"/>
    </row>
    <row r="842">
      <c r="H842" s="37"/>
      <c r="J842" s="41"/>
    </row>
    <row r="843">
      <c r="H843" s="37"/>
      <c r="J843" s="41"/>
    </row>
    <row r="844">
      <c r="H844" s="37"/>
      <c r="J844" s="41"/>
    </row>
    <row r="845">
      <c r="H845" s="37"/>
      <c r="J845" s="41"/>
    </row>
    <row r="846">
      <c r="H846" s="37"/>
      <c r="J846" s="41"/>
    </row>
    <row r="847">
      <c r="H847" s="37"/>
      <c r="J847" s="41"/>
    </row>
    <row r="848">
      <c r="H848" s="37"/>
      <c r="J848" s="41"/>
    </row>
    <row r="849">
      <c r="H849" s="37"/>
      <c r="J849" s="41"/>
    </row>
    <row r="850">
      <c r="H850" s="37"/>
      <c r="J850" s="41"/>
    </row>
    <row r="851">
      <c r="H851" s="37"/>
      <c r="J851" s="41"/>
    </row>
    <row r="852">
      <c r="H852" s="37"/>
      <c r="J852" s="41"/>
    </row>
    <row r="853">
      <c r="H853" s="37"/>
      <c r="J853" s="41"/>
    </row>
    <row r="854">
      <c r="H854" s="37"/>
      <c r="J854" s="41"/>
    </row>
    <row r="855">
      <c r="H855" s="37"/>
      <c r="J855" s="41"/>
    </row>
    <row r="856">
      <c r="H856" s="37"/>
      <c r="J856" s="41"/>
    </row>
    <row r="857">
      <c r="H857" s="37"/>
      <c r="J857" s="41"/>
    </row>
    <row r="858">
      <c r="H858" s="37"/>
      <c r="J858" s="41"/>
    </row>
    <row r="859">
      <c r="H859" s="37"/>
      <c r="J859" s="41"/>
    </row>
    <row r="860">
      <c r="H860" s="37"/>
      <c r="J860" s="41"/>
    </row>
    <row r="861">
      <c r="H861" s="37"/>
      <c r="J861" s="41"/>
    </row>
    <row r="862">
      <c r="H862" s="37"/>
      <c r="J862" s="41"/>
    </row>
    <row r="863">
      <c r="H863" s="37"/>
      <c r="J863" s="41"/>
    </row>
    <row r="864">
      <c r="H864" s="37"/>
      <c r="J864" s="41"/>
    </row>
    <row r="865">
      <c r="H865" s="37"/>
      <c r="J865" s="41"/>
    </row>
    <row r="866">
      <c r="H866" s="37"/>
      <c r="J866" s="41"/>
    </row>
    <row r="867">
      <c r="H867" s="37"/>
      <c r="J867" s="41"/>
    </row>
    <row r="868">
      <c r="H868" s="37"/>
      <c r="J868" s="41"/>
    </row>
    <row r="869">
      <c r="H869" s="37"/>
      <c r="J869" s="41"/>
    </row>
    <row r="870">
      <c r="H870" s="37"/>
      <c r="J870" s="41"/>
    </row>
    <row r="871">
      <c r="H871" s="37"/>
      <c r="J871" s="41"/>
    </row>
    <row r="872">
      <c r="H872" s="37"/>
      <c r="J872" s="41"/>
    </row>
    <row r="873">
      <c r="H873" s="37"/>
      <c r="J873" s="41"/>
    </row>
    <row r="874">
      <c r="H874" s="37"/>
      <c r="J874" s="41"/>
    </row>
    <row r="875">
      <c r="H875" s="37"/>
      <c r="J875" s="41"/>
    </row>
    <row r="876">
      <c r="H876" s="37"/>
      <c r="J876" s="41"/>
    </row>
    <row r="877">
      <c r="H877" s="37"/>
      <c r="J877" s="41"/>
    </row>
    <row r="878">
      <c r="H878" s="37"/>
      <c r="J878" s="41"/>
    </row>
    <row r="879">
      <c r="H879" s="37"/>
      <c r="J879" s="41"/>
    </row>
    <row r="880">
      <c r="H880" s="37"/>
      <c r="J880" s="41"/>
    </row>
    <row r="881">
      <c r="H881" s="37"/>
      <c r="J881" s="41"/>
    </row>
    <row r="882">
      <c r="H882" s="37"/>
      <c r="J882" s="41"/>
    </row>
    <row r="883">
      <c r="H883" s="37"/>
      <c r="J883" s="41"/>
    </row>
    <row r="884">
      <c r="H884" s="37"/>
      <c r="J884" s="41"/>
    </row>
    <row r="885">
      <c r="H885" s="37"/>
      <c r="J885" s="41"/>
    </row>
    <row r="886">
      <c r="H886" s="37"/>
      <c r="J886" s="41"/>
    </row>
    <row r="887">
      <c r="H887" s="37"/>
      <c r="J887" s="41"/>
    </row>
    <row r="888">
      <c r="H888" s="37"/>
      <c r="J888" s="41"/>
    </row>
    <row r="889">
      <c r="H889" s="37"/>
      <c r="J889" s="41"/>
    </row>
    <row r="890">
      <c r="H890" s="37"/>
      <c r="J890" s="41"/>
    </row>
    <row r="891">
      <c r="H891" s="37"/>
      <c r="J891" s="41"/>
    </row>
    <row r="892">
      <c r="H892" s="37"/>
      <c r="J892" s="41"/>
    </row>
    <row r="893">
      <c r="H893" s="37"/>
      <c r="J893" s="41"/>
    </row>
    <row r="894">
      <c r="H894" s="37"/>
      <c r="J894" s="41"/>
    </row>
    <row r="895">
      <c r="H895" s="37"/>
      <c r="J895" s="41"/>
    </row>
    <row r="896">
      <c r="H896" s="37"/>
      <c r="J896" s="41"/>
    </row>
    <row r="897">
      <c r="H897" s="37"/>
      <c r="J897" s="41"/>
    </row>
    <row r="898">
      <c r="H898" s="37"/>
      <c r="J898" s="41"/>
    </row>
    <row r="899">
      <c r="H899" s="37"/>
      <c r="J899" s="41"/>
    </row>
    <row r="900">
      <c r="H900" s="37"/>
      <c r="J900" s="41"/>
    </row>
    <row r="901">
      <c r="H901" s="37"/>
      <c r="J901" s="41"/>
    </row>
    <row r="902">
      <c r="H902" s="37"/>
      <c r="J902" s="41"/>
    </row>
    <row r="903">
      <c r="H903" s="37"/>
      <c r="J903" s="41"/>
    </row>
    <row r="904">
      <c r="H904" s="37"/>
      <c r="J904" s="41"/>
    </row>
    <row r="905">
      <c r="H905" s="37"/>
      <c r="J905" s="41"/>
    </row>
    <row r="906">
      <c r="H906" s="37"/>
      <c r="J906" s="41"/>
    </row>
    <row r="907">
      <c r="H907" s="37"/>
      <c r="J907" s="41"/>
    </row>
    <row r="908">
      <c r="H908" s="37"/>
      <c r="J908" s="41"/>
    </row>
    <row r="909">
      <c r="H909" s="37"/>
      <c r="J909" s="41"/>
    </row>
    <row r="910">
      <c r="H910" s="37"/>
      <c r="J910" s="41"/>
    </row>
    <row r="911">
      <c r="H911" s="37"/>
      <c r="J911" s="41"/>
    </row>
    <row r="912">
      <c r="H912" s="37"/>
      <c r="J912" s="41"/>
    </row>
    <row r="913">
      <c r="H913" s="37"/>
      <c r="J913" s="41"/>
    </row>
    <row r="914">
      <c r="H914" s="37"/>
      <c r="J914" s="41"/>
    </row>
    <row r="915">
      <c r="H915" s="37"/>
      <c r="J915" s="41"/>
    </row>
    <row r="916">
      <c r="H916" s="37"/>
      <c r="J916" s="41"/>
    </row>
    <row r="917">
      <c r="H917" s="37"/>
      <c r="J917" s="41"/>
    </row>
    <row r="918">
      <c r="H918" s="37"/>
      <c r="J918" s="41"/>
    </row>
    <row r="919">
      <c r="H919" s="37"/>
      <c r="J919" s="41"/>
    </row>
    <row r="920">
      <c r="H920" s="37"/>
      <c r="J920" s="41"/>
    </row>
    <row r="921">
      <c r="H921" s="37"/>
      <c r="J921" s="41"/>
    </row>
    <row r="922">
      <c r="H922" s="37"/>
      <c r="J922" s="41"/>
    </row>
    <row r="923">
      <c r="H923" s="37"/>
      <c r="J923" s="41"/>
    </row>
    <row r="924">
      <c r="H924" s="37"/>
      <c r="J924" s="41"/>
    </row>
    <row r="925">
      <c r="H925" s="37"/>
      <c r="J925" s="41"/>
    </row>
    <row r="926">
      <c r="H926" s="37"/>
      <c r="J926" s="41"/>
    </row>
    <row r="927">
      <c r="H927" s="37"/>
      <c r="J927" s="41"/>
    </row>
    <row r="928">
      <c r="H928" s="37"/>
      <c r="J928" s="41"/>
    </row>
    <row r="929">
      <c r="H929" s="37"/>
      <c r="J929" s="41"/>
    </row>
    <row r="930">
      <c r="H930" s="37"/>
      <c r="J930" s="41"/>
    </row>
    <row r="931">
      <c r="H931" s="37"/>
      <c r="J931" s="41"/>
    </row>
    <row r="932">
      <c r="H932" s="37"/>
      <c r="J932" s="41"/>
    </row>
    <row r="933">
      <c r="H933" s="37"/>
      <c r="J933" s="41"/>
    </row>
    <row r="934">
      <c r="H934" s="37"/>
      <c r="J934" s="41"/>
    </row>
    <row r="935">
      <c r="H935" s="37"/>
      <c r="J935" s="41"/>
    </row>
    <row r="936">
      <c r="H936" s="37"/>
      <c r="J936" s="41"/>
    </row>
    <row r="937">
      <c r="H937" s="37"/>
      <c r="J937" s="41"/>
    </row>
    <row r="938">
      <c r="H938" s="37"/>
      <c r="J938" s="41"/>
    </row>
    <row r="939">
      <c r="H939" s="37"/>
      <c r="J939" s="41"/>
    </row>
    <row r="940">
      <c r="H940" s="37"/>
      <c r="J940" s="41"/>
    </row>
    <row r="941">
      <c r="H941" s="37"/>
      <c r="J941" s="41"/>
    </row>
    <row r="942">
      <c r="H942" s="37"/>
      <c r="J942" s="41"/>
    </row>
    <row r="943">
      <c r="H943" s="37"/>
      <c r="J943" s="41"/>
    </row>
    <row r="944">
      <c r="H944" s="37"/>
      <c r="J944" s="41"/>
    </row>
    <row r="945">
      <c r="H945" s="37"/>
      <c r="J945" s="41"/>
    </row>
    <row r="946">
      <c r="H946" s="37"/>
      <c r="J946" s="41"/>
    </row>
    <row r="947">
      <c r="H947" s="37"/>
      <c r="J947" s="41"/>
    </row>
    <row r="948">
      <c r="H948" s="37"/>
      <c r="J948" s="41"/>
    </row>
    <row r="949">
      <c r="H949" s="37"/>
      <c r="J949" s="41"/>
    </row>
    <row r="950">
      <c r="H950" s="37"/>
      <c r="J950" s="41"/>
    </row>
    <row r="951">
      <c r="H951" s="37"/>
      <c r="J951" s="41"/>
    </row>
    <row r="952">
      <c r="H952" s="37"/>
      <c r="J952" s="41"/>
    </row>
    <row r="953">
      <c r="H953" s="37"/>
      <c r="J953" s="41"/>
    </row>
    <row r="954">
      <c r="H954" s="37"/>
      <c r="J954" s="41"/>
    </row>
    <row r="955">
      <c r="H955" s="37"/>
      <c r="J955" s="41"/>
    </row>
    <row r="956">
      <c r="H956" s="37"/>
      <c r="J956" s="41"/>
    </row>
    <row r="957">
      <c r="H957" s="37"/>
      <c r="J957" s="41"/>
    </row>
    <row r="958">
      <c r="H958" s="37"/>
      <c r="J958" s="41"/>
    </row>
    <row r="959">
      <c r="H959" s="37"/>
      <c r="J959" s="41"/>
    </row>
    <row r="960">
      <c r="H960" s="37"/>
      <c r="J960" s="41"/>
    </row>
    <row r="961">
      <c r="H961" s="37"/>
      <c r="J961" s="41"/>
    </row>
    <row r="962">
      <c r="H962" s="37"/>
      <c r="J962" s="41"/>
    </row>
    <row r="963">
      <c r="H963" s="37"/>
      <c r="J963" s="41"/>
    </row>
    <row r="964">
      <c r="H964" s="37"/>
      <c r="J964" s="41"/>
    </row>
    <row r="965">
      <c r="H965" s="37"/>
      <c r="J965" s="41"/>
    </row>
    <row r="966">
      <c r="H966" s="37"/>
      <c r="J966" s="41"/>
    </row>
    <row r="967">
      <c r="H967" s="37"/>
      <c r="J967" s="41"/>
    </row>
    <row r="968">
      <c r="H968" s="37"/>
      <c r="J968" s="41"/>
    </row>
    <row r="969">
      <c r="H969" s="37"/>
      <c r="J969" s="41"/>
    </row>
    <row r="970">
      <c r="H970" s="37"/>
      <c r="J970" s="41"/>
    </row>
    <row r="971">
      <c r="H971" s="37"/>
      <c r="J971" s="41"/>
    </row>
    <row r="972">
      <c r="H972" s="37"/>
      <c r="J972" s="41"/>
    </row>
    <row r="973">
      <c r="H973" s="37"/>
      <c r="J973" s="41"/>
    </row>
    <row r="974">
      <c r="H974" s="37"/>
      <c r="J974" s="41"/>
    </row>
    <row r="975">
      <c r="H975" s="37"/>
      <c r="J975" s="41"/>
    </row>
    <row r="976">
      <c r="H976" s="37"/>
      <c r="J976" s="41"/>
    </row>
  </sheetData>
  <hyperlinks>
    <hyperlink r:id="rId1" ref="O7"/>
    <hyperlink r:id="rId2" ref="J9"/>
    <hyperlink r:id="rId3" ref="J10"/>
    <hyperlink r:id="rId4" ref="M13"/>
    <hyperlink r:id="rId5" ref="M14"/>
  </hyperlinks>
  <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12.88"/>
    <col customWidth="1" min="3" max="3" width="24.75"/>
    <col customWidth="1" min="4" max="6" width="10.88"/>
    <col customWidth="1" min="7" max="7" width="74.75"/>
    <col customWidth="1" min="8" max="26" width="10.88"/>
  </cols>
  <sheetData>
    <row r="1">
      <c r="A1" s="56" t="s">
        <v>728</v>
      </c>
      <c r="B1" s="56" t="s">
        <v>729</v>
      </c>
      <c r="C1" s="56" t="s">
        <v>730</v>
      </c>
      <c r="D1" s="57" t="s">
        <v>731</v>
      </c>
      <c r="E1" s="56" t="s">
        <v>269</v>
      </c>
      <c r="F1" s="58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60" t="s">
        <v>732</v>
      </c>
      <c r="B2" s="58" t="s">
        <v>733</v>
      </c>
      <c r="C2" s="58" t="s">
        <v>734</v>
      </c>
      <c r="D2" s="61" t="s">
        <v>735</v>
      </c>
      <c r="E2" s="58">
        <v>1.0</v>
      </c>
      <c r="F2" s="62" t="s">
        <v>736</v>
      </c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>
      <c r="A3" s="60" t="s">
        <v>732</v>
      </c>
      <c r="B3" s="58" t="s">
        <v>733</v>
      </c>
      <c r="C3" s="58" t="s">
        <v>146</v>
      </c>
      <c r="D3" s="61" t="s">
        <v>737</v>
      </c>
      <c r="E3" s="62">
        <v>2.0</v>
      </c>
      <c r="F3" s="62" t="s">
        <v>736</v>
      </c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>
      <c r="A4" s="63" t="s">
        <v>732</v>
      </c>
      <c r="B4" s="64" t="s">
        <v>738</v>
      </c>
      <c r="C4" s="65" t="s">
        <v>739</v>
      </c>
      <c r="D4" s="66" t="s">
        <v>740</v>
      </c>
      <c r="E4" s="64">
        <v>2.0</v>
      </c>
      <c r="F4" s="64" t="s">
        <v>741</v>
      </c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>
      <c r="A5" s="63" t="s">
        <v>732</v>
      </c>
      <c r="B5" s="67"/>
      <c r="C5" s="67" t="s">
        <v>585</v>
      </c>
      <c r="D5" s="68"/>
      <c r="E5" s="67">
        <v>4.0</v>
      </c>
      <c r="F5" s="67" t="s">
        <v>742</v>
      </c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>
      <c r="A6" s="60" t="s">
        <v>732</v>
      </c>
      <c r="B6" s="69" t="s">
        <v>743</v>
      </c>
      <c r="C6" s="69" t="s">
        <v>744</v>
      </c>
      <c r="D6" s="70"/>
      <c r="E6" s="69">
        <v>4.0</v>
      </c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>
      <c r="A7" s="60" t="s">
        <v>732</v>
      </c>
      <c r="B7" s="58" t="s">
        <v>745</v>
      </c>
      <c r="C7" s="62" t="s">
        <v>746</v>
      </c>
      <c r="D7" s="61" t="s">
        <v>747</v>
      </c>
      <c r="E7" s="58">
        <v>6.0</v>
      </c>
      <c r="F7" s="58" t="s">
        <v>748</v>
      </c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>
      <c r="A8" s="63" t="s">
        <v>732</v>
      </c>
      <c r="B8" s="64" t="s">
        <v>749</v>
      </c>
      <c r="C8" s="65" t="s">
        <v>750</v>
      </c>
      <c r="D8" s="71" t="s">
        <v>751</v>
      </c>
      <c r="E8" s="65">
        <v>6.0</v>
      </c>
      <c r="F8" s="65" t="s">
        <v>752</v>
      </c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>
      <c r="A9" s="60" t="s">
        <v>732</v>
      </c>
      <c r="B9" s="58" t="s">
        <v>749</v>
      </c>
      <c r="C9" s="62" t="s">
        <v>753</v>
      </c>
      <c r="D9" s="61" t="s">
        <v>754</v>
      </c>
      <c r="E9" s="58">
        <v>8.0</v>
      </c>
      <c r="F9" s="62" t="s">
        <v>755</v>
      </c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>
      <c r="A10" s="60" t="s">
        <v>732</v>
      </c>
      <c r="B10" s="58" t="s">
        <v>756</v>
      </c>
      <c r="C10" s="58" t="s">
        <v>757</v>
      </c>
      <c r="D10" s="61" t="s">
        <v>758</v>
      </c>
      <c r="E10" s="58">
        <v>8.0</v>
      </c>
      <c r="F10" s="62" t="s">
        <v>759</v>
      </c>
      <c r="G10" s="69" t="s">
        <v>760</v>
      </c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>
      <c r="A11" s="60" t="s">
        <v>732</v>
      </c>
      <c r="B11" s="62" t="s">
        <v>761</v>
      </c>
      <c r="C11" s="62" t="s">
        <v>762</v>
      </c>
      <c r="D11" s="72" t="s">
        <v>763</v>
      </c>
      <c r="E11" s="62">
        <v>11.0</v>
      </c>
      <c r="F11" s="62"/>
      <c r="G11" s="6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>
      <c r="A12" s="60" t="s">
        <v>732</v>
      </c>
      <c r="B12" s="58" t="s">
        <v>738</v>
      </c>
      <c r="C12" s="58" t="s">
        <v>746</v>
      </c>
      <c r="D12" s="73" t="s">
        <v>764</v>
      </c>
      <c r="E12" s="62">
        <v>12.0</v>
      </c>
      <c r="F12" s="62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>
      <c r="A13" s="60" t="s">
        <v>732</v>
      </c>
      <c r="B13" s="58" t="s">
        <v>765</v>
      </c>
      <c r="C13" s="62" t="s">
        <v>669</v>
      </c>
      <c r="D13" s="61" t="s">
        <v>766</v>
      </c>
      <c r="E13" s="62">
        <v>12.0</v>
      </c>
      <c r="F13" s="62"/>
      <c r="G13" s="6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>
      <c r="A14" s="60" t="s">
        <v>732</v>
      </c>
      <c r="B14" s="58" t="s">
        <v>738</v>
      </c>
      <c r="C14" s="62" t="s">
        <v>585</v>
      </c>
      <c r="D14" s="61" t="s">
        <v>767</v>
      </c>
      <c r="E14" s="62">
        <v>13.0</v>
      </c>
      <c r="F14" s="58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>
      <c r="A15" s="60" t="s">
        <v>732</v>
      </c>
      <c r="B15" s="58" t="s">
        <v>761</v>
      </c>
      <c r="C15" s="62" t="s">
        <v>768</v>
      </c>
      <c r="D15" s="72" t="s">
        <v>769</v>
      </c>
      <c r="E15" s="62">
        <v>13.0</v>
      </c>
      <c r="F15" s="62"/>
      <c r="G15" s="6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>
      <c r="A16" s="60" t="s">
        <v>732</v>
      </c>
      <c r="B16" s="58" t="s">
        <v>738</v>
      </c>
      <c r="C16" s="62" t="s">
        <v>770</v>
      </c>
      <c r="D16" s="61" t="s">
        <v>771</v>
      </c>
      <c r="E16" s="62">
        <v>16.0</v>
      </c>
      <c r="F16" s="62" t="s">
        <v>736</v>
      </c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>
      <c r="A17" s="69" t="s">
        <v>732</v>
      </c>
      <c r="B17" s="62" t="s">
        <v>761</v>
      </c>
      <c r="C17" s="69" t="s">
        <v>772</v>
      </c>
      <c r="D17" s="74" t="s">
        <v>773</v>
      </c>
      <c r="E17" s="69">
        <v>23.0</v>
      </c>
      <c r="F17" s="62" t="s">
        <v>736</v>
      </c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>
      <c r="A18" s="60" t="s">
        <v>732</v>
      </c>
      <c r="B18" s="60" t="s">
        <v>774</v>
      </c>
      <c r="C18" s="58" t="s">
        <v>291</v>
      </c>
      <c r="D18" s="61" t="s">
        <v>775</v>
      </c>
      <c r="E18" s="62">
        <v>36.0</v>
      </c>
      <c r="F18" s="62" t="s">
        <v>776</v>
      </c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>
      <c r="A19" s="59"/>
      <c r="B19" s="59"/>
      <c r="C19" s="59"/>
      <c r="D19" s="70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>
      <c r="A20" s="59"/>
      <c r="B20" s="59"/>
      <c r="C20" s="59"/>
      <c r="D20" s="70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>
      <c r="A21" s="59"/>
      <c r="B21" s="59"/>
      <c r="C21" s="59"/>
      <c r="D21" s="70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>
      <c r="A22" s="59"/>
      <c r="B22" s="59"/>
      <c r="C22" s="59"/>
      <c r="D22" s="70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>
      <c r="A23" s="59"/>
      <c r="B23" s="59"/>
      <c r="C23" s="59"/>
      <c r="D23" s="70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>
      <c r="A24" s="59"/>
      <c r="B24" s="59"/>
      <c r="C24" s="59"/>
      <c r="D24" s="70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>
      <c r="A25" s="59"/>
      <c r="B25" s="59"/>
      <c r="C25" s="59"/>
      <c r="D25" s="70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>
      <c r="A26" s="59"/>
      <c r="B26" s="59"/>
      <c r="C26" s="59"/>
      <c r="D26" s="70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>
      <c r="A27" s="59"/>
      <c r="B27" s="59"/>
      <c r="C27" s="59"/>
      <c r="D27" s="70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>
      <c r="A28" s="59"/>
      <c r="B28" s="59"/>
      <c r="C28" s="59"/>
      <c r="D28" s="70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>
      <c r="A29" s="59"/>
      <c r="B29" s="59"/>
      <c r="C29" s="59"/>
      <c r="D29" s="70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>
      <c r="A30" s="59"/>
      <c r="B30" s="59"/>
      <c r="C30" s="59"/>
      <c r="D30" s="70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>
      <c r="A31" s="59"/>
      <c r="B31" s="59"/>
      <c r="C31" s="59"/>
      <c r="D31" s="70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>
      <c r="A32" s="59"/>
      <c r="B32" s="59"/>
      <c r="C32" s="59"/>
      <c r="D32" s="70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>
      <c r="A33" s="59"/>
      <c r="B33" s="59"/>
      <c r="C33" s="59"/>
      <c r="D33" s="70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>
      <c r="A34" s="59"/>
      <c r="B34" s="59"/>
      <c r="C34" s="59"/>
      <c r="D34" s="70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>
      <c r="A35" s="59"/>
      <c r="B35" s="59"/>
      <c r="C35" s="59"/>
      <c r="D35" s="70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>
      <c r="A36" s="59"/>
      <c r="B36" s="59"/>
      <c r="C36" s="59"/>
      <c r="D36" s="70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>
      <c r="A37" s="59"/>
      <c r="B37" s="59"/>
      <c r="C37" s="59"/>
      <c r="D37" s="70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>
      <c r="A38" s="59"/>
      <c r="B38" s="59"/>
      <c r="C38" s="59"/>
      <c r="D38" s="70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>
      <c r="A39" s="59"/>
      <c r="B39" s="59"/>
      <c r="C39" s="59"/>
      <c r="D39" s="70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>
      <c r="A40" s="59"/>
      <c r="B40" s="59"/>
      <c r="C40" s="59"/>
      <c r="D40" s="70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>
      <c r="A41" s="59"/>
      <c r="B41" s="59"/>
      <c r="C41" s="59"/>
      <c r="D41" s="70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>
      <c r="A42" s="59"/>
      <c r="B42" s="59"/>
      <c r="C42" s="59"/>
      <c r="D42" s="70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>
      <c r="A43" s="59"/>
      <c r="B43" s="59"/>
      <c r="C43" s="59"/>
      <c r="D43" s="70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>
      <c r="A44" s="59"/>
      <c r="B44" s="59"/>
      <c r="C44" s="59"/>
      <c r="D44" s="70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>
      <c r="A45" s="59"/>
      <c r="B45" s="59"/>
      <c r="C45" s="59"/>
      <c r="D45" s="70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>
      <c r="A46" s="59"/>
      <c r="B46" s="59"/>
      <c r="C46" s="59"/>
      <c r="D46" s="70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>
      <c r="A47" s="59"/>
      <c r="B47" s="59"/>
      <c r="C47" s="59"/>
      <c r="D47" s="70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>
      <c r="A48" s="59"/>
      <c r="B48" s="59"/>
      <c r="C48" s="59"/>
      <c r="D48" s="70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>
      <c r="A49" s="59"/>
      <c r="B49" s="59"/>
      <c r="C49" s="59"/>
      <c r="D49" s="70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>
      <c r="A50" s="59"/>
      <c r="B50" s="59"/>
      <c r="C50" s="59"/>
      <c r="D50" s="70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>
      <c r="A51" s="59"/>
      <c r="B51" s="59"/>
      <c r="C51" s="59"/>
      <c r="D51" s="70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>
      <c r="A52" s="59"/>
      <c r="B52" s="59"/>
      <c r="C52" s="59"/>
      <c r="D52" s="70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>
      <c r="A53" s="59"/>
      <c r="B53" s="59"/>
      <c r="C53" s="59"/>
      <c r="D53" s="70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>
      <c r="A54" s="59"/>
      <c r="B54" s="59"/>
      <c r="C54" s="59"/>
      <c r="D54" s="70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>
      <c r="A55" s="59"/>
      <c r="B55" s="59"/>
      <c r="C55" s="59"/>
      <c r="D55" s="70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>
      <c r="A56" s="59"/>
      <c r="B56" s="59"/>
      <c r="C56" s="59"/>
      <c r="D56" s="70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>
      <c r="A57" s="59"/>
      <c r="B57" s="59"/>
      <c r="C57" s="59"/>
      <c r="D57" s="70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>
      <c r="A58" s="59"/>
      <c r="B58" s="59"/>
      <c r="C58" s="59"/>
      <c r="D58" s="70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>
      <c r="A59" s="59"/>
      <c r="B59" s="59"/>
      <c r="C59" s="59"/>
      <c r="D59" s="70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>
      <c r="A60" s="59"/>
      <c r="B60" s="59"/>
      <c r="C60" s="59"/>
      <c r="D60" s="70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>
      <c r="A61" s="59"/>
      <c r="B61" s="59"/>
      <c r="C61" s="59"/>
      <c r="D61" s="70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>
      <c r="A62" s="59"/>
      <c r="B62" s="59"/>
      <c r="C62" s="59"/>
      <c r="D62" s="70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>
      <c r="A63" s="59"/>
      <c r="B63" s="59"/>
      <c r="C63" s="59"/>
      <c r="D63" s="70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>
      <c r="A64" s="59"/>
      <c r="B64" s="59"/>
      <c r="C64" s="59"/>
      <c r="D64" s="70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>
      <c r="A65" s="59"/>
      <c r="B65" s="59"/>
      <c r="C65" s="59"/>
      <c r="D65" s="70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>
      <c r="A66" s="59"/>
      <c r="B66" s="59"/>
      <c r="C66" s="59"/>
      <c r="D66" s="70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>
      <c r="A67" s="59"/>
      <c r="B67" s="59"/>
      <c r="C67" s="59"/>
      <c r="D67" s="70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>
      <c r="A68" s="59"/>
      <c r="B68" s="59"/>
      <c r="C68" s="59"/>
      <c r="D68" s="70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>
      <c r="A69" s="59"/>
      <c r="B69" s="59"/>
      <c r="C69" s="59"/>
      <c r="D69" s="70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>
      <c r="A70" s="59"/>
      <c r="B70" s="59"/>
      <c r="C70" s="59"/>
      <c r="D70" s="70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>
      <c r="A71" s="59"/>
      <c r="B71" s="59"/>
      <c r="C71" s="59"/>
      <c r="D71" s="70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>
      <c r="A72" s="59"/>
      <c r="B72" s="59"/>
      <c r="C72" s="59"/>
      <c r="D72" s="70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>
      <c r="A73" s="59"/>
      <c r="B73" s="59"/>
      <c r="C73" s="59"/>
      <c r="D73" s="70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>
      <c r="A74" s="59"/>
      <c r="B74" s="59"/>
      <c r="C74" s="59"/>
      <c r="D74" s="70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>
      <c r="A75" s="59"/>
      <c r="B75" s="59"/>
      <c r="C75" s="59"/>
      <c r="D75" s="70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>
      <c r="A76" s="59"/>
      <c r="B76" s="59"/>
      <c r="C76" s="59"/>
      <c r="D76" s="70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>
      <c r="A77" s="59"/>
      <c r="B77" s="59"/>
      <c r="C77" s="59"/>
      <c r="D77" s="70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59"/>
      <c r="B78" s="59"/>
      <c r="C78" s="59"/>
      <c r="D78" s="70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>
      <c r="A79" s="59"/>
      <c r="B79" s="59"/>
      <c r="C79" s="59"/>
      <c r="D79" s="70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>
      <c r="A80" s="59"/>
      <c r="B80" s="59"/>
      <c r="C80" s="59"/>
      <c r="D80" s="70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>
      <c r="A81" s="59"/>
      <c r="B81" s="59"/>
      <c r="C81" s="59"/>
      <c r="D81" s="70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>
      <c r="A82" s="59"/>
      <c r="B82" s="59"/>
      <c r="C82" s="59"/>
      <c r="D82" s="70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>
      <c r="A83" s="59"/>
      <c r="B83" s="59"/>
      <c r="C83" s="59"/>
      <c r="D83" s="70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>
      <c r="A84" s="59"/>
      <c r="B84" s="59"/>
      <c r="C84" s="59"/>
      <c r="D84" s="70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>
      <c r="A85" s="59"/>
      <c r="B85" s="59"/>
      <c r="C85" s="59"/>
      <c r="D85" s="70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>
      <c r="A86" s="59"/>
      <c r="B86" s="59"/>
      <c r="C86" s="59"/>
      <c r="D86" s="70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>
      <c r="A87" s="59"/>
      <c r="B87" s="59"/>
      <c r="C87" s="59"/>
      <c r="D87" s="70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>
      <c r="A88" s="59"/>
      <c r="B88" s="59"/>
      <c r="C88" s="59"/>
      <c r="D88" s="70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>
      <c r="A89" s="59"/>
      <c r="B89" s="59"/>
      <c r="C89" s="59"/>
      <c r="D89" s="70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>
      <c r="A90" s="59"/>
      <c r="B90" s="59"/>
      <c r="C90" s="59"/>
      <c r="D90" s="70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>
      <c r="A91" s="59"/>
      <c r="B91" s="59"/>
      <c r="C91" s="59"/>
      <c r="D91" s="70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>
      <c r="A92" s="59"/>
      <c r="B92" s="59"/>
      <c r="C92" s="59"/>
      <c r="D92" s="70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>
      <c r="A93" s="59"/>
      <c r="B93" s="59"/>
      <c r="C93" s="59"/>
      <c r="D93" s="70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>
      <c r="A94" s="59"/>
      <c r="B94" s="59"/>
      <c r="C94" s="59"/>
      <c r="D94" s="70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>
      <c r="A95" s="59"/>
      <c r="B95" s="59"/>
      <c r="C95" s="59"/>
      <c r="D95" s="70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>
      <c r="A96" s="59"/>
      <c r="B96" s="59"/>
      <c r="C96" s="59"/>
      <c r="D96" s="70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>
      <c r="A97" s="59"/>
      <c r="B97" s="59"/>
      <c r="C97" s="59"/>
      <c r="D97" s="70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>
      <c r="A98" s="59"/>
      <c r="B98" s="59"/>
      <c r="C98" s="59"/>
      <c r="D98" s="70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>
      <c r="A99" s="59"/>
      <c r="B99" s="59"/>
      <c r="C99" s="59"/>
      <c r="D99" s="70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>
      <c r="A100" s="59"/>
      <c r="B100" s="59"/>
      <c r="C100" s="59"/>
      <c r="D100" s="70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>
      <c r="A101" s="59"/>
      <c r="B101" s="59"/>
      <c r="C101" s="59"/>
      <c r="D101" s="70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>
      <c r="A102" s="59"/>
      <c r="B102" s="59"/>
      <c r="C102" s="59"/>
      <c r="D102" s="70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>
      <c r="A103" s="59"/>
      <c r="B103" s="59"/>
      <c r="C103" s="59"/>
      <c r="D103" s="70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>
      <c r="A104" s="59"/>
      <c r="B104" s="59"/>
      <c r="C104" s="59"/>
      <c r="D104" s="70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>
      <c r="A105" s="59"/>
      <c r="B105" s="59"/>
      <c r="C105" s="59"/>
      <c r="D105" s="70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>
      <c r="A106" s="59"/>
      <c r="B106" s="59"/>
      <c r="C106" s="59"/>
      <c r="D106" s="70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>
      <c r="A107" s="59"/>
      <c r="B107" s="59"/>
      <c r="C107" s="59"/>
      <c r="D107" s="70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>
      <c r="A108" s="59"/>
      <c r="B108" s="59"/>
      <c r="C108" s="59"/>
      <c r="D108" s="70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>
      <c r="A109" s="59"/>
      <c r="B109" s="59"/>
      <c r="C109" s="59"/>
      <c r="D109" s="70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>
      <c r="A110" s="59"/>
      <c r="B110" s="59"/>
      <c r="C110" s="59"/>
      <c r="D110" s="70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>
      <c r="A111" s="59"/>
      <c r="B111" s="59"/>
      <c r="C111" s="59"/>
      <c r="D111" s="70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>
      <c r="A112" s="59"/>
      <c r="B112" s="59"/>
      <c r="C112" s="59"/>
      <c r="D112" s="70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>
      <c r="A113" s="59"/>
      <c r="B113" s="59"/>
      <c r="C113" s="59"/>
      <c r="D113" s="70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>
      <c r="A114" s="59"/>
      <c r="B114" s="59"/>
      <c r="C114" s="59"/>
      <c r="D114" s="70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>
      <c r="A115" s="59"/>
      <c r="B115" s="59"/>
      <c r="C115" s="59"/>
      <c r="D115" s="70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>
      <c r="A116" s="59"/>
      <c r="B116" s="59"/>
      <c r="C116" s="59"/>
      <c r="D116" s="70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>
      <c r="A117" s="59"/>
      <c r="B117" s="59"/>
      <c r="C117" s="59"/>
      <c r="D117" s="70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>
      <c r="A118" s="59"/>
      <c r="B118" s="59"/>
      <c r="C118" s="59"/>
      <c r="D118" s="70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>
      <c r="A119" s="59"/>
      <c r="B119" s="59"/>
      <c r="C119" s="59"/>
      <c r="D119" s="70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>
      <c r="A120" s="59"/>
      <c r="B120" s="59"/>
      <c r="C120" s="59"/>
      <c r="D120" s="70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>
      <c r="A121" s="59"/>
      <c r="B121" s="59"/>
      <c r="C121" s="59"/>
      <c r="D121" s="70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>
      <c r="A122" s="59"/>
      <c r="B122" s="59"/>
      <c r="C122" s="59"/>
      <c r="D122" s="70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>
      <c r="A123" s="59"/>
      <c r="B123" s="59"/>
      <c r="C123" s="59"/>
      <c r="D123" s="70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>
      <c r="A124" s="59"/>
      <c r="B124" s="59"/>
      <c r="C124" s="59"/>
      <c r="D124" s="70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>
      <c r="A125" s="59"/>
      <c r="B125" s="59"/>
      <c r="C125" s="59"/>
      <c r="D125" s="70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>
      <c r="A126" s="59"/>
      <c r="B126" s="59"/>
      <c r="C126" s="59"/>
      <c r="D126" s="70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>
      <c r="A127" s="59"/>
      <c r="B127" s="59"/>
      <c r="C127" s="59"/>
      <c r="D127" s="70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>
      <c r="A128" s="59"/>
      <c r="B128" s="59"/>
      <c r="C128" s="59"/>
      <c r="D128" s="70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>
      <c r="A129" s="59"/>
      <c r="B129" s="59"/>
      <c r="C129" s="59"/>
      <c r="D129" s="70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>
      <c r="A130" s="59"/>
      <c r="B130" s="59"/>
      <c r="C130" s="59"/>
      <c r="D130" s="70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>
      <c r="A131" s="59"/>
      <c r="B131" s="59"/>
      <c r="C131" s="59"/>
      <c r="D131" s="70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>
      <c r="A132" s="59"/>
      <c r="B132" s="59"/>
      <c r="C132" s="59"/>
      <c r="D132" s="70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>
      <c r="A133" s="59"/>
      <c r="B133" s="59"/>
      <c r="C133" s="59"/>
      <c r="D133" s="70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>
      <c r="A134" s="59"/>
      <c r="B134" s="59"/>
      <c r="C134" s="59"/>
      <c r="D134" s="70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>
      <c r="A135" s="59"/>
      <c r="B135" s="59"/>
      <c r="C135" s="59"/>
      <c r="D135" s="70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>
      <c r="A136" s="59"/>
      <c r="B136" s="59"/>
      <c r="C136" s="59"/>
      <c r="D136" s="70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>
      <c r="A137" s="59"/>
      <c r="B137" s="59"/>
      <c r="C137" s="59"/>
      <c r="D137" s="70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>
      <c r="A138" s="59"/>
      <c r="B138" s="59"/>
      <c r="C138" s="59"/>
      <c r="D138" s="70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>
      <c r="A139" s="59"/>
      <c r="B139" s="59"/>
      <c r="C139" s="59"/>
      <c r="D139" s="70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>
      <c r="A140" s="59"/>
      <c r="B140" s="59"/>
      <c r="C140" s="59"/>
      <c r="D140" s="70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>
      <c r="A141" s="59"/>
      <c r="B141" s="59"/>
      <c r="C141" s="59"/>
      <c r="D141" s="70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>
      <c r="A142" s="59"/>
      <c r="B142" s="59"/>
      <c r="C142" s="59"/>
      <c r="D142" s="70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>
      <c r="A143" s="59"/>
      <c r="B143" s="59"/>
      <c r="C143" s="59"/>
      <c r="D143" s="70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>
      <c r="A144" s="59"/>
      <c r="B144" s="59"/>
      <c r="C144" s="59"/>
      <c r="D144" s="70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>
      <c r="A145" s="59"/>
      <c r="B145" s="59"/>
      <c r="C145" s="59"/>
      <c r="D145" s="70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>
      <c r="A146" s="59"/>
      <c r="B146" s="59"/>
      <c r="C146" s="59"/>
      <c r="D146" s="70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>
      <c r="A147" s="59"/>
      <c r="B147" s="59"/>
      <c r="C147" s="59"/>
      <c r="D147" s="70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>
      <c r="A148" s="59"/>
      <c r="B148" s="59"/>
      <c r="C148" s="59"/>
      <c r="D148" s="70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>
      <c r="A149" s="59"/>
      <c r="B149" s="59"/>
      <c r="C149" s="59"/>
      <c r="D149" s="70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>
      <c r="A150" s="59"/>
      <c r="B150" s="59"/>
      <c r="C150" s="59"/>
      <c r="D150" s="70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>
      <c r="A151" s="59"/>
      <c r="B151" s="59"/>
      <c r="C151" s="59"/>
      <c r="D151" s="70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>
      <c r="A152" s="59"/>
      <c r="B152" s="59"/>
      <c r="C152" s="59"/>
      <c r="D152" s="70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>
      <c r="A153" s="59"/>
      <c r="B153" s="59"/>
      <c r="C153" s="59"/>
      <c r="D153" s="70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>
      <c r="A154" s="59"/>
      <c r="B154" s="59"/>
      <c r="C154" s="59"/>
      <c r="D154" s="70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>
      <c r="A155" s="59"/>
      <c r="B155" s="59"/>
      <c r="C155" s="59"/>
      <c r="D155" s="70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>
      <c r="A156" s="59"/>
      <c r="B156" s="59"/>
      <c r="C156" s="59"/>
      <c r="D156" s="70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>
      <c r="A157" s="59"/>
      <c r="B157" s="59"/>
      <c r="C157" s="59"/>
      <c r="D157" s="70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>
      <c r="A158" s="59"/>
      <c r="B158" s="59"/>
      <c r="C158" s="59"/>
      <c r="D158" s="70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>
      <c r="A159" s="59"/>
      <c r="B159" s="59"/>
      <c r="C159" s="59"/>
      <c r="D159" s="70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>
      <c r="A160" s="59"/>
      <c r="B160" s="59"/>
      <c r="C160" s="59"/>
      <c r="D160" s="70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>
      <c r="A161" s="59"/>
      <c r="B161" s="59"/>
      <c r="C161" s="59"/>
      <c r="D161" s="70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>
      <c r="A162" s="59"/>
      <c r="B162" s="59"/>
      <c r="C162" s="59"/>
      <c r="D162" s="70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>
      <c r="A163" s="59"/>
      <c r="B163" s="59"/>
      <c r="C163" s="59"/>
      <c r="D163" s="70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>
      <c r="A164" s="59"/>
      <c r="B164" s="59"/>
      <c r="C164" s="59"/>
      <c r="D164" s="70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>
      <c r="A165" s="59"/>
      <c r="B165" s="59"/>
      <c r="C165" s="59"/>
      <c r="D165" s="70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>
      <c r="A166" s="59"/>
      <c r="B166" s="59"/>
      <c r="C166" s="59"/>
      <c r="D166" s="70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>
      <c r="A167" s="59"/>
      <c r="B167" s="59"/>
      <c r="C167" s="59"/>
      <c r="D167" s="70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>
      <c r="A168" s="59"/>
      <c r="B168" s="59"/>
      <c r="C168" s="59"/>
      <c r="D168" s="70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>
      <c r="A169" s="59"/>
      <c r="B169" s="59"/>
      <c r="C169" s="59"/>
      <c r="D169" s="70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>
      <c r="A170" s="59"/>
      <c r="B170" s="59"/>
      <c r="C170" s="59"/>
      <c r="D170" s="70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>
      <c r="A171" s="59"/>
      <c r="B171" s="59"/>
      <c r="C171" s="59"/>
      <c r="D171" s="70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>
      <c r="A172" s="59"/>
      <c r="B172" s="59"/>
      <c r="C172" s="59"/>
      <c r="D172" s="70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>
      <c r="A173" s="59"/>
      <c r="B173" s="59"/>
      <c r="C173" s="59"/>
      <c r="D173" s="70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>
      <c r="A174" s="59"/>
      <c r="B174" s="59"/>
      <c r="C174" s="59"/>
      <c r="D174" s="70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>
      <c r="A175" s="59"/>
      <c r="B175" s="59"/>
      <c r="C175" s="59"/>
      <c r="D175" s="70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>
      <c r="A176" s="59"/>
      <c r="B176" s="59"/>
      <c r="C176" s="59"/>
      <c r="D176" s="70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>
      <c r="A177" s="59"/>
      <c r="B177" s="59"/>
      <c r="C177" s="59"/>
      <c r="D177" s="70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>
      <c r="A178" s="59"/>
      <c r="B178" s="59"/>
      <c r="C178" s="59"/>
      <c r="D178" s="70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>
      <c r="A179" s="59"/>
      <c r="B179" s="59"/>
      <c r="C179" s="59"/>
      <c r="D179" s="70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>
      <c r="A180" s="59"/>
      <c r="B180" s="59"/>
      <c r="C180" s="59"/>
      <c r="D180" s="70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>
      <c r="A181" s="59"/>
      <c r="B181" s="59"/>
      <c r="C181" s="59"/>
      <c r="D181" s="70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>
      <c r="A182" s="59"/>
      <c r="B182" s="59"/>
      <c r="C182" s="59"/>
      <c r="D182" s="70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>
      <c r="A183" s="59"/>
      <c r="B183" s="59"/>
      <c r="C183" s="59"/>
      <c r="D183" s="70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>
      <c r="A184" s="59"/>
      <c r="B184" s="59"/>
      <c r="C184" s="59"/>
      <c r="D184" s="70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>
      <c r="A185" s="59"/>
      <c r="B185" s="59"/>
      <c r="C185" s="59"/>
      <c r="D185" s="70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>
      <c r="A186" s="59"/>
      <c r="B186" s="59"/>
      <c r="C186" s="59"/>
      <c r="D186" s="70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>
      <c r="A187" s="59"/>
      <c r="B187" s="59"/>
      <c r="C187" s="59"/>
      <c r="D187" s="70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>
      <c r="A188" s="59"/>
      <c r="B188" s="59"/>
      <c r="C188" s="59"/>
      <c r="D188" s="70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>
      <c r="A189" s="59"/>
      <c r="B189" s="59"/>
      <c r="C189" s="59"/>
      <c r="D189" s="70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>
      <c r="A190" s="59"/>
      <c r="B190" s="59"/>
      <c r="C190" s="59"/>
      <c r="D190" s="70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>
      <c r="A191" s="59"/>
      <c r="B191" s="59"/>
      <c r="C191" s="59"/>
      <c r="D191" s="70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>
      <c r="A192" s="59"/>
      <c r="B192" s="59"/>
      <c r="C192" s="59"/>
      <c r="D192" s="70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>
      <c r="A193" s="59"/>
      <c r="B193" s="59"/>
      <c r="C193" s="59"/>
      <c r="D193" s="70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>
      <c r="A194" s="59"/>
      <c r="B194" s="59"/>
      <c r="C194" s="59"/>
      <c r="D194" s="70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>
      <c r="A195" s="59"/>
      <c r="B195" s="59"/>
      <c r="C195" s="59"/>
      <c r="D195" s="70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>
      <c r="A196" s="59"/>
      <c r="B196" s="59"/>
      <c r="C196" s="59"/>
      <c r="D196" s="70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>
      <c r="A197" s="59"/>
      <c r="B197" s="59"/>
      <c r="C197" s="59"/>
      <c r="D197" s="70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>
      <c r="A198" s="59"/>
      <c r="B198" s="59"/>
      <c r="C198" s="59"/>
      <c r="D198" s="70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>
      <c r="A199" s="59"/>
      <c r="B199" s="59"/>
      <c r="C199" s="59"/>
      <c r="D199" s="70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>
      <c r="A200" s="59"/>
      <c r="B200" s="59"/>
      <c r="C200" s="59"/>
      <c r="D200" s="70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>
      <c r="A201" s="59"/>
      <c r="B201" s="59"/>
      <c r="C201" s="59"/>
      <c r="D201" s="70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>
      <c r="A202" s="59"/>
      <c r="B202" s="59"/>
      <c r="C202" s="59"/>
      <c r="D202" s="70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>
      <c r="A203" s="59"/>
      <c r="B203" s="59"/>
      <c r="C203" s="59"/>
      <c r="D203" s="70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>
      <c r="A204" s="59"/>
      <c r="B204" s="59"/>
      <c r="C204" s="59"/>
      <c r="D204" s="70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>
      <c r="A205" s="59"/>
      <c r="B205" s="59"/>
      <c r="C205" s="59"/>
      <c r="D205" s="70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>
      <c r="A206" s="59"/>
      <c r="B206" s="59"/>
      <c r="C206" s="59"/>
      <c r="D206" s="70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>
      <c r="A207" s="59"/>
      <c r="B207" s="59"/>
      <c r="C207" s="59"/>
      <c r="D207" s="70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>
      <c r="A208" s="59"/>
      <c r="B208" s="59"/>
      <c r="C208" s="59"/>
      <c r="D208" s="70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>
      <c r="A209" s="59"/>
      <c r="B209" s="59"/>
      <c r="C209" s="59"/>
      <c r="D209" s="70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>
      <c r="A210" s="59"/>
      <c r="B210" s="59"/>
      <c r="C210" s="59"/>
      <c r="D210" s="70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>
      <c r="A211" s="59"/>
      <c r="B211" s="59"/>
      <c r="C211" s="59"/>
      <c r="D211" s="70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>
      <c r="A212" s="59"/>
      <c r="B212" s="59"/>
      <c r="C212" s="59"/>
      <c r="D212" s="70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>
      <c r="A213" s="59"/>
      <c r="B213" s="59"/>
      <c r="C213" s="59"/>
      <c r="D213" s="70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>
      <c r="A214" s="59"/>
      <c r="B214" s="59"/>
      <c r="C214" s="59"/>
      <c r="D214" s="70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>
      <c r="A215" s="59"/>
      <c r="B215" s="59"/>
      <c r="C215" s="59"/>
      <c r="D215" s="70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>
      <c r="A216" s="59"/>
      <c r="B216" s="59"/>
      <c r="C216" s="59"/>
      <c r="D216" s="70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>
      <c r="A217" s="59"/>
      <c r="B217" s="59"/>
      <c r="C217" s="59"/>
      <c r="D217" s="70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>
      <c r="A218" s="59"/>
      <c r="B218" s="59"/>
      <c r="C218" s="59"/>
      <c r="D218" s="70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>
      <c r="A219" s="59"/>
      <c r="B219" s="59"/>
      <c r="C219" s="59"/>
      <c r="D219" s="70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>
      <c r="A220" s="59"/>
      <c r="B220" s="59"/>
      <c r="C220" s="59"/>
      <c r="D220" s="70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>
      <c r="A221" s="59"/>
      <c r="B221" s="59"/>
      <c r="C221" s="59"/>
      <c r="D221" s="70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>
      <c r="A222" s="59"/>
      <c r="B222" s="59"/>
      <c r="C222" s="59"/>
      <c r="D222" s="70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>
      <c r="A223" s="59"/>
      <c r="B223" s="59"/>
      <c r="C223" s="59"/>
      <c r="D223" s="70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>
      <c r="A224" s="59"/>
      <c r="B224" s="59"/>
      <c r="C224" s="59"/>
      <c r="D224" s="70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>
      <c r="A225" s="59"/>
      <c r="B225" s="59"/>
      <c r="C225" s="59"/>
      <c r="D225" s="70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>
      <c r="A226" s="59"/>
      <c r="B226" s="59"/>
      <c r="C226" s="59"/>
      <c r="D226" s="70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>
      <c r="A227" s="59"/>
      <c r="B227" s="59"/>
      <c r="C227" s="59"/>
      <c r="D227" s="70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>
      <c r="A228" s="59"/>
      <c r="B228" s="59"/>
      <c r="C228" s="59"/>
      <c r="D228" s="70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>
      <c r="A229" s="59"/>
      <c r="B229" s="59"/>
      <c r="C229" s="59"/>
      <c r="D229" s="70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>
      <c r="A230" s="59"/>
      <c r="B230" s="59"/>
      <c r="C230" s="59"/>
      <c r="D230" s="70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>
      <c r="A231" s="59"/>
      <c r="B231" s="59"/>
      <c r="C231" s="59"/>
      <c r="D231" s="70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>
      <c r="A232" s="59"/>
      <c r="B232" s="59"/>
      <c r="C232" s="59"/>
      <c r="D232" s="70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>
      <c r="A233" s="59"/>
      <c r="B233" s="59"/>
      <c r="C233" s="59"/>
      <c r="D233" s="70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>
      <c r="A234" s="59"/>
      <c r="B234" s="59"/>
      <c r="C234" s="59"/>
      <c r="D234" s="70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>
      <c r="A235" s="59"/>
      <c r="B235" s="59"/>
      <c r="C235" s="59"/>
      <c r="D235" s="70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>
      <c r="A236" s="59"/>
      <c r="B236" s="59"/>
      <c r="C236" s="59"/>
      <c r="D236" s="70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>
      <c r="A237" s="59"/>
      <c r="B237" s="59"/>
      <c r="C237" s="59"/>
      <c r="D237" s="70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>
      <c r="A238" s="59"/>
      <c r="B238" s="59"/>
      <c r="C238" s="59"/>
      <c r="D238" s="70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>
      <c r="A239" s="59"/>
      <c r="B239" s="59"/>
      <c r="C239" s="59"/>
      <c r="D239" s="70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>
      <c r="A240" s="59"/>
      <c r="B240" s="59"/>
      <c r="C240" s="59"/>
      <c r="D240" s="70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>
      <c r="A241" s="59"/>
      <c r="B241" s="59"/>
      <c r="C241" s="59"/>
      <c r="D241" s="70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>
      <c r="A242" s="59"/>
      <c r="B242" s="59"/>
      <c r="C242" s="59"/>
      <c r="D242" s="70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>
      <c r="A243" s="59"/>
      <c r="B243" s="59"/>
      <c r="C243" s="59"/>
      <c r="D243" s="70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>
      <c r="A244" s="59"/>
      <c r="B244" s="59"/>
      <c r="C244" s="59"/>
      <c r="D244" s="70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>
      <c r="A245" s="59"/>
      <c r="B245" s="59"/>
      <c r="C245" s="59"/>
      <c r="D245" s="70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>
      <c r="A246" s="59"/>
      <c r="B246" s="59"/>
      <c r="C246" s="59"/>
      <c r="D246" s="70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>
      <c r="A247" s="59"/>
      <c r="B247" s="59"/>
      <c r="C247" s="59"/>
      <c r="D247" s="70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>
      <c r="A248" s="59"/>
      <c r="B248" s="59"/>
      <c r="C248" s="59"/>
      <c r="D248" s="70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>
      <c r="A249" s="59"/>
      <c r="B249" s="59"/>
      <c r="C249" s="59"/>
      <c r="D249" s="70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>
      <c r="A250" s="59"/>
      <c r="B250" s="59"/>
      <c r="C250" s="59"/>
      <c r="D250" s="70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>
      <c r="A251" s="59"/>
      <c r="B251" s="59"/>
      <c r="C251" s="59"/>
      <c r="D251" s="70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>
      <c r="A252" s="59"/>
      <c r="B252" s="59"/>
      <c r="C252" s="59"/>
      <c r="D252" s="70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>
      <c r="A253" s="59"/>
      <c r="B253" s="59"/>
      <c r="C253" s="59"/>
      <c r="D253" s="70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>
      <c r="A254" s="59"/>
      <c r="B254" s="59"/>
      <c r="C254" s="59"/>
      <c r="D254" s="70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>
      <c r="A255" s="59"/>
      <c r="B255" s="59"/>
      <c r="C255" s="59"/>
      <c r="D255" s="70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>
      <c r="A256" s="59"/>
      <c r="B256" s="59"/>
      <c r="C256" s="59"/>
      <c r="D256" s="70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>
      <c r="A257" s="59"/>
      <c r="B257" s="59"/>
      <c r="C257" s="59"/>
      <c r="D257" s="70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>
      <c r="A258" s="59"/>
      <c r="B258" s="59"/>
      <c r="C258" s="59"/>
      <c r="D258" s="70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>
      <c r="A259" s="59"/>
      <c r="B259" s="59"/>
      <c r="C259" s="59"/>
      <c r="D259" s="70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>
      <c r="A260" s="59"/>
      <c r="B260" s="59"/>
      <c r="C260" s="59"/>
      <c r="D260" s="70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>
      <c r="A261" s="59"/>
      <c r="B261" s="59"/>
      <c r="C261" s="59"/>
      <c r="D261" s="70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>
      <c r="A262" s="59"/>
      <c r="B262" s="59"/>
      <c r="C262" s="59"/>
      <c r="D262" s="70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>
      <c r="A263" s="59"/>
      <c r="B263" s="59"/>
      <c r="C263" s="59"/>
      <c r="D263" s="70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>
      <c r="A264" s="59"/>
      <c r="B264" s="59"/>
      <c r="C264" s="59"/>
      <c r="D264" s="70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>
      <c r="A265" s="59"/>
      <c r="B265" s="59"/>
      <c r="C265" s="59"/>
      <c r="D265" s="70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>
      <c r="A266" s="59"/>
      <c r="B266" s="59"/>
      <c r="C266" s="59"/>
      <c r="D266" s="70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>
      <c r="A267" s="59"/>
      <c r="B267" s="59"/>
      <c r="C267" s="59"/>
      <c r="D267" s="70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>
      <c r="A268" s="59"/>
      <c r="B268" s="59"/>
      <c r="C268" s="59"/>
      <c r="D268" s="70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>
      <c r="A269" s="59"/>
      <c r="B269" s="59"/>
      <c r="C269" s="59"/>
      <c r="D269" s="70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>
      <c r="A270" s="59"/>
      <c r="B270" s="59"/>
      <c r="C270" s="59"/>
      <c r="D270" s="70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>
      <c r="A271" s="59"/>
      <c r="B271" s="59"/>
      <c r="C271" s="59"/>
      <c r="D271" s="70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>
      <c r="A272" s="59"/>
      <c r="B272" s="59"/>
      <c r="C272" s="59"/>
      <c r="D272" s="70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>
      <c r="A273" s="59"/>
      <c r="B273" s="59"/>
      <c r="C273" s="59"/>
      <c r="D273" s="70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>
      <c r="A274" s="59"/>
      <c r="B274" s="59"/>
      <c r="C274" s="59"/>
      <c r="D274" s="70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>
      <c r="A275" s="59"/>
      <c r="B275" s="59"/>
      <c r="C275" s="59"/>
      <c r="D275" s="70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>
      <c r="A276" s="59"/>
      <c r="B276" s="59"/>
      <c r="C276" s="59"/>
      <c r="D276" s="70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>
      <c r="A277" s="59"/>
      <c r="B277" s="59"/>
      <c r="C277" s="59"/>
      <c r="D277" s="70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>
      <c r="A278" s="59"/>
      <c r="B278" s="59"/>
      <c r="C278" s="59"/>
      <c r="D278" s="70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>
      <c r="A279" s="59"/>
      <c r="B279" s="59"/>
      <c r="C279" s="59"/>
      <c r="D279" s="70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>
      <c r="A280" s="59"/>
      <c r="B280" s="59"/>
      <c r="C280" s="59"/>
      <c r="D280" s="70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>
      <c r="A281" s="59"/>
      <c r="B281" s="59"/>
      <c r="C281" s="59"/>
      <c r="D281" s="70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>
      <c r="A282" s="59"/>
      <c r="B282" s="59"/>
      <c r="C282" s="59"/>
      <c r="D282" s="70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>
      <c r="A283" s="59"/>
      <c r="B283" s="59"/>
      <c r="C283" s="59"/>
      <c r="D283" s="70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>
      <c r="A284" s="59"/>
      <c r="B284" s="59"/>
      <c r="C284" s="59"/>
      <c r="D284" s="70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>
      <c r="A285" s="59"/>
      <c r="B285" s="59"/>
      <c r="C285" s="59"/>
      <c r="D285" s="70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>
      <c r="A286" s="59"/>
      <c r="B286" s="59"/>
      <c r="C286" s="59"/>
      <c r="D286" s="70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>
      <c r="A287" s="59"/>
      <c r="B287" s="59"/>
      <c r="C287" s="59"/>
      <c r="D287" s="70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>
      <c r="A288" s="59"/>
      <c r="B288" s="59"/>
      <c r="C288" s="59"/>
      <c r="D288" s="70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>
      <c r="A289" s="59"/>
      <c r="B289" s="59"/>
      <c r="C289" s="59"/>
      <c r="D289" s="70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>
      <c r="A290" s="59"/>
      <c r="B290" s="59"/>
      <c r="C290" s="59"/>
      <c r="D290" s="70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>
      <c r="A291" s="59"/>
      <c r="B291" s="59"/>
      <c r="C291" s="59"/>
      <c r="D291" s="70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>
      <c r="A292" s="59"/>
      <c r="B292" s="59"/>
      <c r="C292" s="59"/>
      <c r="D292" s="70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>
      <c r="A293" s="59"/>
      <c r="B293" s="59"/>
      <c r="C293" s="59"/>
      <c r="D293" s="70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>
      <c r="A294" s="59"/>
      <c r="B294" s="59"/>
      <c r="C294" s="59"/>
      <c r="D294" s="70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>
      <c r="A295" s="59"/>
      <c r="B295" s="59"/>
      <c r="C295" s="59"/>
      <c r="D295" s="70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>
      <c r="A296" s="59"/>
      <c r="B296" s="59"/>
      <c r="C296" s="59"/>
      <c r="D296" s="70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>
      <c r="A297" s="59"/>
      <c r="B297" s="59"/>
      <c r="C297" s="59"/>
      <c r="D297" s="70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>
      <c r="A298" s="59"/>
      <c r="B298" s="59"/>
      <c r="C298" s="59"/>
      <c r="D298" s="70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>
      <c r="A299" s="59"/>
      <c r="B299" s="59"/>
      <c r="C299" s="59"/>
      <c r="D299" s="70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>
      <c r="A300" s="59"/>
      <c r="B300" s="59"/>
      <c r="C300" s="59"/>
      <c r="D300" s="70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>
      <c r="A301" s="59"/>
      <c r="B301" s="59"/>
      <c r="C301" s="59"/>
      <c r="D301" s="70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>
      <c r="A302" s="59"/>
      <c r="B302" s="59"/>
      <c r="C302" s="59"/>
      <c r="D302" s="70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>
      <c r="A303" s="59"/>
      <c r="B303" s="59"/>
      <c r="C303" s="59"/>
      <c r="D303" s="70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>
      <c r="A304" s="59"/>
      <c r="B304" s="59"/>
      <c r="C304" s="59"/>
      <c r="D304" s="70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>
      <c r="A305" s="59"/>
      <c r="B305" s="59"/>
      <c r="C305" s="59"/>
      <c r="D305" s="70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>
      <c r="A306" s="59"/>
      <c r="B306" s="59"/>
      <c r="C306" s="59"/>
      <c r="D306" s="70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>
      <c r="A307" s="59"/>
      <c r="B307" s="59"/>
      <c r="C307" s="59"/>
      <c r="D307" s="70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>
      <c r="A308" s="59"/>
      <c r="B308" s="59"/>
      <c r="C308" s="59"/>
      <c r="D308" s="70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>
      <c r="A309" s="59"/>
      <c r="B309" s="59"/>
      <c r="C309" s="59"/>
      <c r="D309" s="70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>
      <c r="A310" s="59"/>
      <c r="B310" s="59"/>
      <c r="C310" s="59"/>
      <c r="D310" s="70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>
      <c r="A311" s="59"/>
      <c r="B311" s="59"/>
      <c r="C311" s="59"/>
      <c r="D311" s="70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>
      <c r="A312" s="59"/>
      <c r="B312" s="59"/>
      <c r="C312" s="59"/>
      <c r="D312" s="70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>
      <c r="A313" s="59"/>
      <c r="B313" s="59"/>
      <c r="C313" s="59"/>
      <c r="D313" s="70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>
      <c r="A314" s="59"/>
      <c r="B314" s="59"/>
      <c r="C314" s="59"/>
      <c r="D314" s="70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>
      <c r="A315" s="59"/>
      <c r="B315" s="59"/>
      <c r="C315" s="59"/>
      <c r="D315" s="70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>
      <c r="A316" s="59"/>
      <c r="B316" s="59"/>
      <c r="C316" s="59"/>
      <c r="D316" s="70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>
      <c r="A317" s="59"/>
      <c r="B317" s="59"/>
      <c r="C317" s="59"/>
      <c r="D317" s="70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>
      <c r="A318" s="59"/>
      <c r="B318" s="59"/>
      <c r="C318" s="59"/>
      <c r="D318" s="70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>
      <c r="A319" s="59"/>
      <c r="B319" s="59"/>
      <c r="C319" s="59"/>
      <c r="D319" s="70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>
      <c r="A320" s="59"/>
      <c r="B320" s="59"/>
      <c r="C320" s="59"/>
      <c r="D320" s="70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>
      <c r="A321" s="59"/>
      <c r="B321" s="59"/>
      <c r="C321" s="59"/>
      <c r="D321" s="70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>
      <c r="A322" s="59"/>
      <c r="B322" s="59"/>
      <c r="C322" s="59"/>
      <c r="D322" s="70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>
      <c r="A323" s="59"/>
      <c r="B323" s="59"/>
      <c r="C323" s="59"/>
      <c r="D323" s="70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>
      <c r="A324" s="59"/>
      <c r="B324" s="59"/>
      <c r="C324" s="59"/>
      <c r="D324" s="70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>
      <c r="A325" s="59"/>
      <c r="B325" s="59"/>
      <c r="C325" s="59"/>
      <c r="D325" s="70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>
      <c r="A326" s="59"/>
      <c r="B326" s="59"/>
      <c r="C326" s="59"/>
      <c r="D326" s="70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>
      <c r="A327" s="59"/>
      <c r="B327" s="59"/>
      <c r="C327" s="59"/>
      <c r="D327" s="70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>
      <c r="A328" s="59"/>
      <c r="B328" s="59"/>
      <c r="C328" s="59"/>
      <c r="D328" s="70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>
      <c r="A329" s="59"/>
      <c r="B329" s="59"/>
      <c r="C329" s="59"/>
      <c r="D329" s="70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>
      <c r="A330" s="59"/>
      <c r="B330" s="59"/>
      <c r="C330" s="59"/>
      <c r="D330" s="70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>
      <c r="A331" s="59"/>
      <c r="B331" s="59"/>
      <c r="C331" s="59"/>
      <c r="D331" s="70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>
      <c r="A332" s="59"/>
      <c r="B332" s="59"/>
      <c r="C332" s="59"/>
      <c r="D332" s="70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>
      <c r="A333" s="59"/>
      <c r="B333" s="59"/>
      <c r="C333" s="59"/>
      <c r="D333" s="70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>
      <c r="A334" s="59"/>
      <c r="B334" s="59"/>
      <c r="C334" s="59"/>
      <c r="D334" s="70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>
      <c r="A335" s="59"/>
      <c r="B335" s="59"/>
      <c r="C335" s="59"/>
      <c r="D335" s="70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>
      <c r="A336" s="59"/>
      <c r="B336" s="59"/>
      <c r="C336" s="59"/>
      <c r="D336" s="70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>
      <c r="A337" s="59"/>
      <c r="B337" s="59"/>
      <c r="C337" s="59"/>
      <c r="D337" s="70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>
      <c r="A338" s="59"/>
      <c r="B338" s="59"/>
      <c r="C338" s="59"/>
      <c r="D338" s="70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>
      <c r="A339" s="59"/>
      <c r="B339" s="59"/>
      <c r="C339" s="59"/>
      <c r="D339" s="70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>
      <c r="A340" s="59"/>
      <c r="B340" s="59"/>
      <c r="C340" s="59"/>
      <c r="D340" s="70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>
      <c r="A341" s="59"/>
      <c r="B341" s="59"/>
      <c r="C341" s="59"/>
      <c r="D341" s="70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>
      <c r="A342" s="59"/>
      <c r="B342" s="59"/>
      <c r="C342" s="59"/>
      <c r="D342" s="70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>
      <c r="A343" s="59"/>
      <c r="B343" s="59"/>
      <c r="C343" s="59"/>
      <c r="D343" s="70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>
      <c r="A344" s="59"/>
      <c r="B344" s="59"/>
      <c r="C344" s="59"/>
      <c r="D344" s="70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>
      <c r="A345" s="59"/>
      <c r="B345" s="59"/>
      <c r="C345" s="59"/>
      <c r="D345" s="70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>
      <c r="A346" s="59"/>
      <c r="B346" s="59"/>
      <c r="C346" s="59"/>
      <c r="D346" s="70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>
      <c r="A347" s="59"/>
      <c r="B347" s="59"/>
      <c r="C347" s="59"/>
      <c r="D347" s="70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>
      <c r="A348" s="59"/>
      <c r="B348" s="59"/>
      <c r="C348" s="59"/>
      <c r="D348" s="70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>
      <c r="A349" s="59"/>
      <c r="B349" s="59"/>
      <c r="C349" s="59"/>
      <c r="D349" s="70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>
      <c r="A350" s="59"/>
      <c r="B350" s="59"/>
      <c r="C350" s="59"/>
      <c r="D350" s="70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>
      <c r="A351" s="59"/>
      <c r="B351" s="59"/>
      <c r="C351" s="59"/>
      <c r="D351" s="70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>
      <c r="A352" s="59"/>
      <c r="B352" s="59"/>
      <c r="C352" s="59"/>
      <c r="D352" s="70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>
      <c r="A353" s="59"/>
      <c r="B353" s="59"/>
      <c r="C353" s="59"/>
      <c r="D353" s="70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>
      <c r="A354" s="59"/>
      <c r="B354" s="59"/>
      <c r="C354" s="59"/>
      <c r="D354" s="70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>
      <c r="A355" s="59"/>
      <c r="B355" s="59"/>
      <c r="C355" s="59"/>
      <c r="D355" s="70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>
      <c r="A356" s="59"/>
      <c r="B356" s="59"/>
      <c r="C356" s="59"/>
      <c r="D356" s="70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>
      <c r="A357" s="59"/>
      <c r="B357" s="59"/>
      <c r="C357" s="59"/>
      <c r="D357" s="70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>
      <c r="A358" s="59"/>
      <c r="B358" s="59"/>
      <c r="C358" s="59"/>
      <c r="D358" s="70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>
      <c r="A359" s="59"/>
      <c r="B359" s="59"/>
      <c r="C359" s="59"/>
      <c r="D359" s="70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>
      <c r="A360" s="59"/>
      <c r="B360" s="59"/>
      <c r="C360" s="59"/>
      <c r="D360" s="70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>
      <c r="A361" s="59"/>
      <c r="B361" s="59"/>
      <c r="C361" s="59"/>
      <c r="D361" s="70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>
      <c r="A362" s="59"/>
      <c r="B362" s="59"/>
      <c r="C362" s="59"/>
      <c r="D362" s="70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>
      <c r="A363" s="59"/>
      <c r="B363" s="59"/>
      <c r="C363" s="59"/>
      <c r="D363" s="70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>
      <c r="A364" s="59"/>
      <c r="B364" s="59"/>
      <c r="C364" s="59"/>
      <c r="D364" s="70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>
      <c r="A365" s="59"/>
      <c r="B365" s="59"/>
      <c r="C365" s="59"/>
      <c r="D365" s="70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>
      <c r="A366" s="59"/>
      <c r="B366" s="59"/>
      <c r="C366" s="59"/>
      <c r="D366" s="70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>
      <c r="A367" s="59"/>
      <c r="B367" s="59"/>
      <c r="C367" s="59"/>
      <c r="D367" s="70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>
      <c r="A368" s="59"/>
      <c r="B368" s="59"/>
      <c r="C368" s="59"/>
      <c r="D368" s="70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>
      <c r="A369" s="59"/>
      <c r="B369" s="59"/>
      <c r="C369" s="59"/>
      <c r="D369" s="70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>
      <c r="A370" s="59"/>
      <c r="B370" s="59"/>
      <c r="C370" s="59"/>
      <c r="D370" s="70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>
      <c r="A371" s="59"/>
      <c r="B371" s="59"/>
      <c r="C371" s="59"/>
      <c r="D371" s="70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>
      <c r="A372" s="59"/>
      <c r="B372" s="59"/>
      <c r="C372" s="59"/>
      <c r="D372" s="70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>
      <c r="A373" s="59"/>
      <c r="B373" s="59"/>
      <c r="C373" s="59"/>
      <c r="D373" s="70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>
      <c r="A374" s="59"/>
      <c r="B374" s="59"/>
      <c r="C374" s="59"/>
      <c r="D374" s="70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>
      <c r="A375" s="59"/>
      <c r="B375" s="59"/>
      <c r="C375" s="59"/>
      <c r="D375" s="70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>
      <c r="A376" s="59"/>
      <c r="B376" s="59"/>
      <c r="C376" s="59"/>
      <c r="D376" s="70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>
      <c r="A377" s="59"/>
      <c r="B377" s="59"/>
      <c r="C377" s="59"/>
      <c r="D377" s="70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>
      <c r="A378" s="59"/>
      <c r="B378" s="59"/>
      <c r="C378" s="59"/>
      <c r="D378" s="70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>
      <c r="A379" s="59"/>
      <c r="B379" s="59"/>
      <c r="C379" s="59"/>
      <c r="D379" s="70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>
      <c r="A380" s="59"/>
      <c r="B380" s="59"/>
      <c r="C380" s="59"/>
      <c r="D380" s="70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>
      <c r="A381" s="59"/>
      <c r="B381" s="59"/>
      <c r="C381" s="59"/>
      <c r="D381" s="70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>
      <c r="A382" s="59"/>
      <c r="B382" s="59"/>
      <c r="C382" s="59"/>
      <c r="D382" s="70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>
      <c r="A383" s="59"/>
      <c r="B383" s="59"/>
      <c r="C383" s="59"/>
      <c r="D383" s="70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>
      <c r="A384" s="59"/>
      <c r="B384" s="59"/>
      <c r="C384" s="59"/>
      <c r="D384" s="70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>
      <c r="A385" s="59"/>
      <c r="B385" s="59"/>
      <c r="C385" s="59"/>
      <c r="D385" s="70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>
      <c r="A386" s="59"/>
      <c r="B386" s="59"/>
      <c r="C386" s="59"/>
      <c r="D386" s="70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>
      <c r="A387" s="59"/>
      <c r="B387" s="59"/>
      <c r="C387" s="59"/>
      <c r="D387" s="70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>
      <c r="A388" s="59"/>
      <c r="B388" s="59"/>
      <c r="C388" s="59"/>
      <c r="D388" s="70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>
      <c r="A389" s="59"/>
      <c r="B389" s="59"/>
      <c r="C389" s="59"/>
      <c r="D389" s="70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>
      <c r="A390" s="59"/>
      <c r="B390" s="59"/>
      <c r="C390" s="59"/>
      <c r="D390" s="70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>
      <c r="A391" s="59"/>
      <c r="B391" s="59"/>
      <c r="C391" s="59"/>
      <c r="D391" s="70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>
      <c r="A392" s="59"/>
      <c r="B392" s="59"/>
      <c r="C392" s="59"/>
      <c r="D392" s="70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>
      <c r="A393" s="59"/>
      <c r="B393" s="59"/>
      <c r="C393" s="59"/>
      <c r="D393" s="70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>
      <c r="A394" s="59"/>
      <c r="B394" s="59"/>
      <c r="C394" s="59"/>
      <c r="D394" s="70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>
      <c r="A395" s="59"/>
      <c r="B395" s="59"/>
      <c r="C395" s="59"/>
      <c r="D395" s="70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>
      <c r="A396" s="59"/>
      <c r="B396" s="59"/>
      <c r="C396" s="59"/>
      <c r="D396" s="70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>
      <c r="A397" s="59"/>
      <c r="B397" s="59"/>
      <c r="C397" s="59"/>
      <c r="D397" s="70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>
      <c r="A398" s="59"/>
      <c r="B398" s="59"/>
      <c r="C398" s="59"/>
      <c r="D398" s="70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>
      <c r="A399" s="59"/>
      <c r="B399" s="59"/>
      <c r="C399" s="59"/>
      <c r="D399" s="70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>
      <c r="A400" s="59"/>
      <c r="B400" s="59"/>
      <c r="C400" s="59"/>
      <c r="D400" s="70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>
      <c r="A401" s="59"/>
      <c r="B401" s="59"/>
      <c r="C401" s="59"/>
      <c r="D401" s="70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>
      <c r="A402" s="59"/>
      <c r="B402" s="59"/>
      <c r="C402" s="59"/>
      <c r="D402" s="70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>
      <c r="A403" s="59"/>
      <c r="B403" s="59"/>
      <c r="C403" s="59"/>
      <c r="D403" s="70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>
      <c r="A404" s="59"/>
      <c r="B404" s="59"/>
      <c r="C404" s="59"/>
      <c r="D404" s="70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>
      <c r="A405" s="59"/>
      <c r="B405" s="59"/>
      <c r="C405" s="59"/>
      <c r="D405" s="70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>
      <c r="A406" s="59"/>
      <c r="B406" s="59"/>
      <c r="C406" s="59"/>
      <c r="D406" s="70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>
      <c r="A407" s="59"/>
      <c r="B407" s="59"/>
      <c r="C407" s="59"/>
      <c r="D407" s="70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>
      <c r="A408" s="59"/>
      <c r="B408" s="59"/>
      <c r="C408" s="59"/>
      <c r="D408" s="70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>
      <c r="A409" s="59"/>
      <c r="B409" s="59"/>
      <c r="C409" s="59"/>
      <c r="D409" s="70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>
      <c r="A410" s="59"/>
      <c r="B410" s="59"/>
      <c r="C410" s="59"/>
      <c r="D410" s="70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>
      <c r="A411" s="59"/>
      <c r="B411" s="59"/>
      <c r="C411" s="59"/>
      <c r="D411" s="70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>
      <c r="A412" s="59"/>
      <c r="B412" s="59"/>
      <c r="C412" s="59"/>
      <c r="D412" s="70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>
      <c r="A413" s="59"/>
      <c r="B413" s="59"/>
      <c r="C413" s="59"/>
      <c r="D413" s="70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>
      <c r="A414" s="59"/>
      <c r="B414" s="59"/>
      <c r="C414" s="59"/>
      <c r="D414" s="70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>
      <c r="A415" s="59"/>
      <c r="B415" s="59"/>
      <c r="C415" s="59"/>
      <c r="D415" s="70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>
      <c r="A416" s="59"/>
      <c r="B416" s="59"/>
      <c r="C416" s="59"/>
      <c r="D416" s="70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>
      <c r="A417" s="59"/>
      <c r="B417" s="59"/>
      <c r="C417" s="59"/>
      <c r="D417" s="70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>
      <c r="A418" s="59"/>
      <c r="B418" s="59"/>
      <c r="C418" s="59"/>
      <c r="D418" s="70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>
      <c r="A419" s="59"/>
      <c r="B419" s="59"/>
      <c r="C419" s="59"/>
      <c r="D419" s="70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>
      <c r="A420" s="59"/>
      <c r="B420" s="59"/>
      <c r="C420" s="59"/>
      <c r="D420" s="70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>
      <c r="A421" s="59"/>
      <c r="B421" s="59"/>
      <c r="C421" s="59"/>
      <c r="D421" s="70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>
      <c r="A422" s="59"/>
      <c r="B422" s="59"/>
      <c r="C422" s="59"/>
      <c r="D422" s="70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>
      <c r="A423" s="59"/>
      <c r="B423" s="59"/>
      <c r="C423" s="59"/>
      <c r="D423" s="70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>
      <c r="A424" s="59"/>
      <c r="B424" s="59"/>
      <c r="C424" s="59"/>
      <c r="D424" s="70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>
      <c r="A425" s="59"/>
      <c r="B425" s="59"/>
      <c r="C425" s="59"/>
      <c r="D425" s="70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>
      <c r="A426" s="59"/>
      <c r="B426" s="59"/>
      <c r="C426" s="59"/>
      <c r="D426" s="70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>
      <c r="A427" s="59"/>
      <c r="B427" s="59"/>
      <c r="C427" s="59"/>
      <c r="D427" s="70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>
      <c r="A428" s="59"/>
      <c r="B428" s="59"/>
      <c r="C428" s="59"/>
      <c r="D428" s="70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>
      <c r="A429" s="59"/>
      <c r="B429" s="59"/>
      <c r="C429" s="59"/>
      <c r="D429" s="70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>
      <c r="A430" s="59"/>
      <c r="B430" s="59"/>
      <c r="C430" s="59"/>
      <c r="D430" s="70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>
      <c r="A431" s="59"/>
      <c r="B431" s="59"/>
      <c r="C431" s="59"/>
      <c r="D431" s="70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>
      <c r="A432" s="59"/>
      <c r="B432" s="59"/>
      <c r="C432" s="59"/>
      <c r="D432" s="70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>
      <c r="A433" s="59"/>
      <c r="B433" s="59"/>
      <c r="C433" s="59"/>
      <c r="D433" s="70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>
      <c r="A434" s="59"/>
      <c r="B434" s="59"/>
      <c r="C434" s="59"/>
      <c r="D434" s="70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>
      <c r="A435" s="59"/>
      <c r="B435" s="59"/>
      <c r="C435" s="59"/>
      <c r="D435" s="70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>
      <c r="A436" s="59"/>
      <c r="B436" s="59"/>
      <c r="C436" s="59"/>
      <c r="D436" s="70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>
      <c r="A437" s="59"/>
      <c r="B437" s="59"/>
      <c r="C437" s="59"/>
      <c r="D437" s="70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>
      <c r="A438" s="59"/>
      <c r="B438" s="59"/>
      <c r="C438" s="59"/>
      <c r="D438" s="70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>
      <c r="A439" s="59"/>
      <c r="B439" s="59"/>
      <c r="C439" s="59"/>
      <c r="D439" s="70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>
      <c r="A440" s="59"/>
      <c r="B440" s="59"/>
      <c r="C440" s="59"/>
      <c r="D440" s="70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>
      <c r="A441" s="59"/>
      <c r="B441" s="59"/>
      <c r="C441" s="59"/>
      <c r="D441" s="70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>
      <c r="A442" s="59"/>
      <c r="B442" s="59"/>
      <c r="C442" s="59"/>
      <c r="D442" s="70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>
      <c r="A443" s="59"/>
      <c r="B443" s="59"/>
      <c r="C443" s="59"/>
      <c r="D443" s="70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>
      <c r="A444" s="59"/>
      <c r="B444" s="59"/>
      <c r="C444" s="59"/>
      <c r="D444" s="70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>
      <c r="A445" s="59"/>
      <c r="B445" s="59"/>
      <c r="C445" s="59"/>
      <c r="D445" s="70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>
      <c r="A446" s="59"/>
      <c r="B446" s="59"/>
      <c r="C446" s="59"/>
      <c r="D446" s="70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>
      <c r="A447" s="59"/>
      <c r="B447" s="59"/>
      <c r="C447" s="59"/>
      <c r="D447" s="70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>
      <c r="A448" s="59"/>
      <c r="B448" s="59"/>
      <c r="C448" s="59"/>
      <c r="D448" s="70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>
      <c r="A449" s="59"/>
      <c r="B449" s="59"/>
      <c r="C449" s="59"/>
      <c r="D449" s="70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>
      <c r="A450" s="59"/>
      <c r="B450" s="59"/>
      <c r="C450" s="59"/>
      <c r="D450" s="70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>
      <c r="A451" s="59"/>
      <c r="B451" s="59"/>
      <c r="C451" s="59"/>
      <c r="D451" s="70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>
      <c r="A452" s="59"/>
      <c r="B452" s="59"/>
      <c r="C452" s="59"/>
      <c r="D452" s="70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>
      <c r="A453" s="59"/>
      <c r="B453" s="59"/>
      <c r="C453" s="59"/>
      <c r="D453" s="70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>
      <c r="A454" s="59"/>
      <c r="B454" s="59"/>
      <c r="C454" s="59"/>
      <c r="D454" s="70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>
      <c r="A455" s="59"/>
      <c r="B455" s="59"/>
      <c r="C455" s="59"/>
      <c r="D455" s="70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>
      <c r="A456" s="59"/>
      <c r="B456" s="59"/>
      <c r="C456" s="59"/>
      <c r="D456" s="70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>
      <c r="A457" s="59"/>
      <c r="B457" s="59"/>
      <c r="C457" s="59"/>
      <c r="D457" s="70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>
      <c r="A458" s="59"/>
      <c r="B458" s="59"/>
      <c r="C458" s="59"/>
      <c r="D458" s="70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>
      <c r="A459" s="59"/>
      <c r="B459" s="59"/>
      <c r="C459" s="59"/>
      <c r="D459" s="70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>
      <c r="A460" s="59"/>
      <c r="B460" s="59"/>
      <c r="C460" s="59"/>
      <c r="D460" s="70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>
      <c r="A461" s="59"/>
      <c r="B461" s="59"/>
      <c r="C461" s="59"/>
      <c r="D461" s="70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>
      <c r="A462" s="59"/>
      <c r="B462" s="59"/>
      <c r="C462" s="59"/>
      <c r="D462" s="70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>
      <c r="A463" s="59"/>
      <c r="B463" s="59"/>
      <c r="C463" s="59"/>
      <c r="D463" s="70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>
      <c r="A464" s="59"/>
      <c r="B464" s="59"/>
      <c r="C464" s="59"/>
      <c r="D464" s="70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>
      <c r="A465" s="59"/>
      <c r="B465" s="59"/>
      <c r="C465" s="59"/>
      <c r="D465" s="70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>
      <c r="A466" s="59"/>
      <c r="B466" s="59"/>
      <c r="C466" s="59"/>
      <c r="D466" s="70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>
      <c r="A467" s="59"/>
      <c r="B467" s="59"/>
      <c r="C467" s="59"/>
      <c r="D467" s="70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>
      <c r="A468" s="59"/>
      <c r="B468" s="59"/>
      <c r="C468" s="59"/>
      <c r="D468" s="70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>
      <c r="A469" s="59"/>
      <c r="B469" s="59"/>
      <c r="C469" s="59"/>
      <c r="D469" s="70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>
      <c r="A470" s="59"/>
      <c r="B470" s="59"/>
      <c r="C470" s="59"/>
      <c r="D470" s="70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>
      <c r="A471" s="59"/>
      <c r="B471" s="59"/>
      <c r="C471" s="59"/>
      <c r="D471" s="70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>
      <c r="A472" s="59"/>
      <c r="B472" s="59"/>
      <c r="C472" s="59"/>
      <c r="D472" s="70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>
      <c r="A473" s="59"/>
      <c r="B473" s="59"/>
      <c r="C473" s="59"/>
      <c r="D473" s="70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>
      <c r="A474" s="59"/>
      <c r="B474" s="59"/>
      <c r="C474" s="59"/>
      <c r="D474" s="70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>
      <c r="A475" s="59"/>
      <c r="B475" s="59"/>
      <c r="C475" s="59"/>
      <c r="D475" s="70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>
      <c r="A476" s="59"/>
      <c r="B476" s="59"/>
      <c r="C476" s="59"/>
      <c r="D476" s="70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>
      <c r="A477" s="59"/>
      <c r="B477" s="59"/>
      <c r="C477" s="59"/>
      <c r="D477" s="70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>
      <c r="A478" s="59"/>
      <c r="B478" s="59"/>
      <c r="C478" s="59"/>
      <c r="D478" s="70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>
      <c r="A479" s="59"/>
      <c r="B479" s="59"/>
      <c r="C479" s="59"/>
      <c r="D479" s="70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>
      <c r="A480" s="59"/>
      <c r="B480" s="59"/>
      <c r="C480" s="59"/>
      <c r="D480" s="70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>
      <c r="A481" s="59"/>
      <c r="B481" s="59"/>
      <c r="C481" s="59"/>
      <c r="D481" s="70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>
      <c r="A482" s="59"/>
      <c r="B482" s="59"/>
      <c r="C482" s="59"/>
      <c r="D482" s="70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>
      <c r="A483" s="59"/>
      <c r="B483" s="59"/>
      <c r="C483" s="59"/>
      <c r="D483" s="70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>
      <c r="A484" s="59"/>
      <c r="B484" s="59"/>
      <c r="C484" s="59"/>
      <c r="D484" s="70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>
      <c r="A485" s="59"/>
      <c r="B485" s="59"/>
      <c r="C485" s="59"/>
      <c r="D485" s="70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>
      <c r="A486" s="59"/>
      <c r="B486" s="59"/>
      <c r="C486" s="59"/>
      <c r="D486" s="70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>
      <c r="A487" s="59"/>
      <c r="B487" s="59"/>
      <c r="C487" s="59"/>
      <c r="D487" s="70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>
      <c r="A488" s="59"/>
      <c r="B488" s="59"/>
      <c r="C488" s="59"/>
      <c r="D488" s="70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>
      <c r="A489" s="59"/>
      <c r="B489" s="59"/>
      <c r="C489" s="59"/>
      <c r="D489" s="70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>
      <c r="A490" s="59"/>
      <c r="B490" s="59"/>
      <c r="C490" s="59"/>
      <c r="D490" s="70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>
      <c r="A491" s="59"/>
      <c r="B491" s="59"/>
      <c r="C491" s="59"/>
      <c r="D491" s="70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>
      <c r="A492" s="59"/>
      <c r="B492" s="59"/>
      <c r="C492" s="59"/>
      <c r="D492" s="70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>
      <c r="A493" s="59"/>
      <c r="B493" s="59"/>
      <c r="C493" s="59"/>
      <c r="D493" s="70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>
      <c r="A494" s="59"/>
      <c r="B494" s="59"/>
      <c r="C494" s="59"/>
      <c r="D494" s="70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>
      <c r="A495" s="59"/>
      <c r="B495" s="59"/>
      <c r="C495" s="59"/>
      <c r="D495" s="70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>
      <c r="A496" s="59"/>
      <c r="B496" s="59"/>
      <c r="C496" s="59"/>
      <c r="D496" s="70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>
      <c r="A497" s="59"/>
      <c r="B497" s="59"/>
      <c r="C497" s="59"/>
      <c r="D497" s="70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>
      <c r="A498" s="59"/>
      <c r="B498" s="59"/>
      <c r="C498" s="59"/>
      <c r="D498" s="70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>
      <c r="A499" s="59"/>
      <c r="B499" s="59"/>
      <c r="C499" s="59"/>
      <c r="D499" s="70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>
      <c r="A500" s="59"/>
      <c r="B500" s="59"/>
      <c r="C500" s="59"/>
      <c r="D500" s="70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>
      <c r="A501" s="59"/>
      <c r="B501" s="59"/>
      <c r="C501" s="59"/>
      <c r="D501" s="70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>
      <c r="A502" s="59"/>
      <c r="B502" s="59"/>
      <c r="C502" s="59"/>
      <c r="D502" s="70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>
      <c r="A503" s="59"/>
      <c r="B503" s="59"/>
      <c r="C503" s="59"/>
      <c r="D503" s="70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>
      <c r="A504" s="59"/>
      <c r="B504" s="59"/>
      <c r="C504" s="59"/>
      <c r="D504" s="70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>
      <c r="A505" s="59"/>
      <c r="B505" s="59"/>
      <c r="C505" s="59"/>
      <c r="D505" s="70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>
      <c r="A506" s="59"/>
      <c r="B506" s="59"/>
      <c r="C506" s="59"/>
      <c r="D506" s="70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>
      <c r="A507" s="59"/>
      <c r="B507" s="59"/>
      <c r="C507" s="59"/>
      <c r="D507" s="70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>
      <c r="A508" s="59"/>
      <c r="B508" s="59"/>
      <c r="C508" s="59"/>
      <c r="D508" s="70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>
      <c r="A509" s="59"/>
      <c r="B509" s="59"/>
      <c r="C509" s="59"/>
      <c r="D509" s="70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>
      <c r="A510" s="59"/>
      <c r="B510" s="59"/>
      <c r="C510" s="59"/>
      <c r="D510" s="70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>
      <c r="A511" s="59"/>
      <c r="B511" s="59"/>
      <c r="C511" s="59"/>
      <c r="D511" s="70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>
      <c r="A512" s="59"/>
      <c r="B512" s="59"/>
      <c r="C512" s="59"/>
      <c r="D512" s="70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>
      <c r="A513" s="59"/>
      <c r="B513" s="59"/>
      <c r="C513" s="59"/>
      <c r="D513" s="70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>
      <c r="A514" s="59"/>
      <c r="B514" s="59"/>
      <c r="C514" s="59"/>
      <c r="D514" s="70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>
      <c r="A515" s="59"/>
      <c r="B515" s="59"/>
      <c r="C515" s="59"/>
      <c r="D515" s="70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>
      <c r="A516" s="59"/>
      <c r="B516" s="59"/>
      <c r="C516" s="59"/>
      <c r="D516" s="70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>
      <c r="A517" s="59"/>
      <c r="B517" s="59"/>
      <c r="C517" s="59"/>
      <c r="D517" s="70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>
      <c r="A518" s="59"/>
      <c r="B518" s="59"/>
      <c r="C518" s="59"/>
      <c r="D518" s="70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>
      <c r="A519" s="59"/>
      <c r="B519" s="59"/>
      <c r="C519" s="59"/>
      <c r="D519" s="70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>
      <c r="A520" s="59"/>
      <c r="B520" s="59"/>
      <c r="C520" s="59"/>
      <c r="D520" s="70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>
      <c r="A521" s="59"/>
      <c r="B521" s="59"/>
      <c r="C521" s="59"/>
      <c r="D521" s="70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>
      <c r="A522" s="59"/>
      <c r="B522" s="59"/>
      <c r="C522" s="59"/>
      <c r="D522" s="70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>
      <c r="A523" s="59"/>
      <c r="B523" s="59"/>
      <c r="C523" s="59"/>
      <c r="D523" s="70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>
      <c r="A524" s="59"/>
      <c r="B524" s="59"/>
      <c r="C524" s="59"/>
      <c r="D524" s="70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>
      <c r="A525" s="59"/>
      <c r="B525" s="59"/>
      <c r="C525" s="59"/>
      <c r="D525" s="70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>
      <c r="A526" s="59"/>
      <c r="B526" s="59"/>
      <c r="C526" s="59"/>
      <c r="D526" s="70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>
      <c r="A527" s="59"/>
      <c r="B527" s="59"/>
      <c r="C527" s="59"/>
      <c r="D527" s="70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>
      <c r="A528" s="59"/>
      <c r="B528" s="59"/>
      <c r="C528" s="59"/>
      <c r="D528" s="70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>
      <c r="A529" s="59"/>
      <c r="B529" s="59"/>
      <c r="C529" s="59"/>
      <c r="D529" s="70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>
      <c r="A530" s="59"/>
      <c r="B530" s="59"/>
      <c r="C530" s="59"/>
      <c r="D530" s="70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>
      <c r="A531" s="59"/>
      <c r="B531" s="59"/>
      <c r="C531" s="59"/>
      <c r="D531" s="70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>
      <c r="A532" s="59"/>
      <c r="B532" s="59"/>
      <c r="C532" s="59"/>
      <c r="D532" s="70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>
      <c r="A533" s="59"/>
      <c r="B533" s="59"/>
      <c r="C533" s="59"/>
      <c r="D533" s="70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>
      <c r="A534" s="59"/>
      <c r="B534" s="59"/>
      <c r="C534" s="59"/>
      <c r="D534" s="70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>
      <c r="A535" s="59"/>
      <c r="B535" s="59"/>
      <c r="C535" s="59"/>
      <c r="D535" s="70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>
      <c r="A536" s="59"/>
      <c r="B536" s="59"/>
      <c r="C536" s="59"/>
      <c r="D536" s="70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>
      <c r="A537" s="59"/>
      <c r="B537" s="59"/>
      <c r="C537" s="59"/>
      <c r="D537" s="70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>
      <c r="A538" s="59"/>
      <c r="B538" s="59"/>
      <c r="C538" s="59"/>
      <c r="D538" s="70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>
      <c r="A539" s="59"/>
      <c r="B539" s="59"/>
      <c r="C539" s="59"/>
      <c r="D539" s="70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>
      <c r="A540" s="59"/>
      <c r="B540" s="59"/>
      <c r="C540" s="59"/>
      <c r="D540" s="70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>
      <c r="A541" s="59"/>
      <c r="B541" s="59"/>
      <c r="C541" s="59"/>
      <c r="D541" s="70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>
      <c r="A542" s="59"/>
      <c r="B542" s="59"/>
      <c r="C542" s="59"/>
      <c r="D542" s="70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>
      <c r="A543" s="59"/>
      <c r="B543" s="59"/>
      <c r="C543" s="59"/>
      <c r="D543" s="70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>
      <c r="A544" s="59"/>
      <c r="B544" s="59"/>
      <c r="C544" s="59"/>
      <c r="D544" s="70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>
      <c r="A545" s="59"/>
      <c r="B545" s="59"/>
      <c r="C545" s="59"/>
      <c r="D545" s="70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>
      <c r="A546" s="59"/>
      <c r="B546" s="59"/>
      <c r="C546" s="59"/>
      <c r="D546" s="70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>
      <c r="A547" s="59"/>
      <c r="B547" s="59"/>
      <c r="C547" s="59"/>
      <c r="D547" s="70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>
      <c r="A548" s="59"/>
      <c r="B548" s="59"/>
      <c r="C548" s="59"/>
      <c r="D548" s="70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>
      <c r="A549" s="59"/>
      <c r="B549" s="59"/>
      <c r="C549" s="59"/>
      <c r="D549" s="70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>
      <c r="A550" s="59"/>
      <c r="B550" s="59"/>
      <c r="C550" s="59"/>
      <c r="D550" s="70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>
      <c r="A551" s="59"/>
      <c r="B551" s="59"/>
      <c r="C551" s="59"/>
      <c r="D551" s="70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>
      <c r="A552" s="59"/>
      <c r="B552" s="59"/>
      <c r="C552" s="59"/>
      <c r="D552" s="70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>
      <c r="A553" s="59"/>
      <c r="B553" s="59"/>
      <c r="C553" s="59"/>
      <c r="D553" s="70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>
      <c r="A554" s="59"/>
      <c r="B554" s="59"/>
      <c r="C554" s="59"/>
      <c r="D554" s="70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>
      <c r="A555" s="59"/>
      <c r="B555" s="59"/>
      <c r="C555" s="59"/>
      <c r="D555" s="70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>
      <c r="A556" s="59"/>
      <c r="B556" s="59"/>
      <c r="C556" s="59"/>
      <c r="D556" s="70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>
      <c r="A557" s="59"/>
      <c r="B557" s="59"/>
      <c r="C557" s="59"/>
      <c r="D557" s="70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>
      <c r="A558" s="59"/>
      <c r="B558" s="59"/>
      <c r="C558" s="59"/>
      <c r="D558" s="70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>
      <c r="A559" s="59"/>
      <c r="B559" s="59"/>
      <c r="C559" s="59"/>
      <c r="D559" s="70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>
      <c r="A560" s="59"/>
      <c r="B560" s="59"/>
      <c r="C560" s="59"/>
      <c r="D560" s="70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>
      <c r="A561" s="59"/>
      <c r="B561" s="59"/>
      <c r="C561" s="59"/>
      <c r="D561" s="70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>
      <c r="A562" s="59"/>
      <c r="B562" s="59"/>
      <c r="C562" s="59"/>
      <c r="D562" s="70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>
      <c r="A563" s="59"/>
      <c r="B563" s="59"/>
      <c r="C563" s="59"/>
      <c r="D563" s="70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>
      <c r="A564" s="59"/>
      <c r="B564" s="59"/>
      <c r="C564" s="59"/>
      <c r="D564" s="70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>
      <c r="A565" s="59"/>
      <c r="B565" s="59"/>
      <c r="C565" s="59"/>
      <c r="D565" s="70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>
      <c r="A566" s="59"/>
      <c r="B566" s="59"/>
      <c r="C566" s="59"/>
      <c r="D566" s="70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>
      <c r="A567" s="59"/>
      <c r="B567" s="59"/>
      <c r="C567" s="59"/>
      <c r="D567" s="70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>
      <c r="A568" s="59"/>
      <c r="B568" s="59"/>
      <c r="C568" s="59"/>
      <c r="D568" s="70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>
      <c r="A569" s="59"/>
      <c r="B569" s="59"/>
      <c r="C569" s="59"/>
      <c r="D569" s="70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>
      <c r="A570" s="59"/>
      <c r="B570" s="59"/>
      <c r="C570" s="59"/>
      <c r="D570" s="70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>
      <c r="A571" s="59"/>
      <c r="B571" s="59"/>
      <c r="C571" s="59"/>
      <c r="D571" s="70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>
      <c r="A572" s="59"/>
      <c r="B572" s="59"/>
      <c r="C572" s="59"/>
      <c r="D572" s="70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>
      <c r="A573" s="59"/>
      <c r="B573" s="59"/>
      <c r="C573" s="59"/>
      <c r="D573" s="70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>
      <c r="A574" s="59"/>
      <c r="B574" s="59"/>
      <c r="C574" s="59"/>
      <c r="D574" s="70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>
      <c r="A575" s="59"/>
      <c r="B575" s="59"/>
      <c r="C575" s="59"/>
      <c r="D575" s="70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>
      <c r="A576" s="59"/>
      <c r="B576" s="59"/>
      <c r="C576" s="59"/>
      <c r="D576" s="70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>
      <c r="A577" s="59"/>
      <c r="B577" s="59"/>
      <c r="C577" s="59"/>
      <c r="D577" s="70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>
      <c r="A578" s="59"/>
      <c r="B578" s="59"/>
      <c r="C578" s="59"/>
      <c r="D578" s="70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>
      <c r="A579" s="59"/>
      <c r="B579" s="59"/>
      <c r="C579" s="59"/>
      <c r="D579" s="70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>
      <c r="A580" s="59"/>
      <c r="B580" s="59"/>
      <c r="C580" s="59"/>
      <c r="D580" s="70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>
      <c r="A581" s="59"/>
      <c r="B581" s="59"/>
      <c r="C581" s="59"/>
      <c r="D581" s="70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>
      <c r="A582" s="59"/>
      <c r="B582" s="59"/>
      <c r="C582" s="59"/>
      <c r="D582" s="70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>
      <c r="A583" s="59"/>
      <c r="B583" s="59"/>
      <c r="C583" s="59"/>
      <c r="D583" s="70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>
      <c r="A584" s="59"/>
      <c r="B584" s="59"/>
      <c r="C584" s="59"/>
      <c r="D584" s="70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>
      <c r="A585" s="59"/>
      <c r="B585" s="59"/>
      <c r="C585" s="59"/>
      <c r="D585" s="70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>
      <c r="A586" s="59"/>
      <c r="B586" s="59"/>
      <c r="C586" s="59"/>
      <c r="D586" s="70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>
      <c r="A587" s="59"/>
      <c r="B587" s="59"/>
      <c r="C587" s="59"/>
      <c r="D587" s="70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>
      <c r="A588" s="59"/>
      <c r="B588" s="59"/>
      <c r="C588" s="59"/>
      <c r="D588" s="70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>
      <c r="A589" s="59"/>
      <c r="B589" s="59"/>
      <c r="C589" s="59"/>
      <c r="D589" s="70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>
      <c r="A590" s="59"/>
      <c r="B590" s="59"/>
      <c r="C590" s="59"/>
      <c r="D590" s="70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>
      <c r="A591" s="59"/>
      <c r="B591" s="59"/>
      <c r="C591" s="59"/>
      <c r="D591" s="70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>
      <c r="A592" s="59"/>
      <c r="B592" s="59"/>
      <c r="C592" s="59"/>
      <c r="D592" s="70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>
      <c r="A593" s="59"/>
      <c r="B593" s="59"/>
      <c r="C593" s="59"/>
      <c r="D593" s="70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>
      <c r="A594" s="59"/>
      <c r="B594" s="59"/>
      <c r="C594" s="59"/>
      <c r="D594" s="70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>
      <c r="A595" s="59"/>
      <c r="B595" s="59"/>
      <c r="C595" s="59"/>
      <c r="D595" s="70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>
      <c r="A596" s="59"/>
      <c r="B596" s="59"/>
      <c r="C596" s="59"/>
      <c r="D596" s="70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>
      <c r="A597" s="59"/>
      <c r="B597" s="59"/>
      <c r="C597" s="59"/>
      <c r="D597" s="70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>
      <c r="A598" s="59"/>
      <c r="B598" s="59"/>
      <c r="C598" s="59"/>
      <c r="D598" s="70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>
      <c r="A599" s="59"/>
      <c r="B599" s="59"/>
      <c r="C599" s="59"/>
      <c r="D599" s="70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>
      <c r="A600" s="59"/>
      <c r="B600" s="59"/>
      <c r="C600" s="59"/>
      <c r="D600" s="70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>
      <c r="A601" s="59"/>
      <c r="B601" s="59"/>
      <c r="C601" s="59"/>
      <c r="D601" s="70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>
      <c r="A602" s="59"/>
      <c r="B602" s="59"/>
      <c r="C602" s="59"/>
      <c r="D602" s="70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>
      <c r="A603" s="59"/>
      <c r="B603" s="59"/>
      <c r="C603" s="59"/>
      <c r="D603" s="70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>
      <c r="A604" s="59"/>
      <c r="B604" s="59"/>
      <c r="C604" s="59"/>
      <c r="D604" s="70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>
      <c r="A605" s="59"/>
      <c r="B605" s="59"/>
      <c r="C605" s="59"/>
      <c r="D605" s="70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>
      <c r="A606" s="59"/>
      <c r="B606" s="59"/>
      <c r="C606" s="59"/>
      <c r="D606" s="70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>
      <c r="A607" s="59"/>
      <c r="B607" s="59"/>
      <c r="C607" s="59"/>
      <c r="D607" s="70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>
      <c r="A608" s="59"/>
      <c r="B608" s="59"/>
      <c r="C608" s="59"/>
      <c r="D608" s="70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>
      <c r="A609" s="59"/>
      <c r="B609" s="59"/>
      <c r="C609" s="59"/>
      <c r="D609" s="70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>
      <c r="A610" s="59"/>
      <c r="B610" s="59"/>
      <c r="C610" s="59"/>
      <c r="D610" s="70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>
      <c r="A611" s="59"/>
      <c r="B611" s="59"/>
      <c r="C611" s="59"/>
      <c r="D611" s="70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>
      <c r="A612" s="59"/>
      <c r="B612" s="59"/>
      <c r="C612" s="59"/>
      <c r="D612" s="70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>
      <c r="A613" s="59"/>
      <c r="B613" s="59"/>
      <c r="C613" s="59"/>
      <c r="D613" s="70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>
      <c r="A614" s="59"/>
      <c r="B614" s="59"/>
      <c r="C614" s="59"/>
      <c r="D614" s="70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>
      <c r="A615" s="59"/>
      <c r="B615" s="59"/>
      <c r="C615" s="59"/>
      <c r="D615" s="70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>
      <c r="A616" s="59"/>
      <c r="B616" s="59"/>
      <c r="C616" s="59"/>
      <c r="D616" s="70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>
      <c r="A617" s="59"/>
      <c r="B617" s="59"/>
      <c r="C617" s="59"/>
      <c r="D617" s="70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>
      <c r="A618" s="59"/>
      <c r="B618" s="59"/>
      <c r="C618" s="59"/>
      <c r="D618" s="70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>
      <c r="A619" s="59"/>
      <c r="B619" s="59"/>
      <c r="C619" s="59"/>
      <c r="D619" s="70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>
      <c r="A620" s="59"/>
      <c r="B620" s="59"/>
      <c r="C620" s="59"/>
      <c r="D620" s="70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>
      <c r="A621" s="59"/>
      <c r="B621" s="59"/>
      <c r="C621" s="59"/>
      <c r="D621" s="70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>
      <c r="A622" s="59"/>
      <c r="B622" s="59"/>
      <c r="C622" s="59"/>
      <c r="D622" s="70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>
      <c r="A623" s="59"/>
      <c r="B623" s="59"/>
      <c r="C623" s="59"/>
      <c r="D623" s="70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>
      <c r="A624" s="59"/>
      <c r="B624" s="59"/>
      <c r="C624" s="59"/>
      <c r="D624" s="70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>
      <c r="A625" s="59"/>
      <c r="B625" s="59"/>
      <c r="C625" s="59"/>
      <c r="D625" s="70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>
      <c r="A626" s="59"/>
      <c r="B626" s="59"/>
      <c r="C626" s="59"/>
      <c r="D626" s="70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>
      <c r="A627" s="59"/>
      <c r="B627" s="59"/>
      <c r="C627" s="59"/>
      <c r="D627" s="70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>
      <c r="A628" s="59"/>
      <c r="B628" s="59"/>
      <c r="C628" s="59"/>
      <c r="D628" s="70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>
      <c r="A629" s="59"/>
      <c r="B629" s="59"/>
      <c r="C629" s="59"/>
      <c r="D629" s="70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>
      <c r="A630" s="59"/>
      <c r="B630" s="59"/>
      <c r="C630" s="59"/>
      <c r="D630" s="70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>
      <c r="A631" s="59"/>
      <c r="B631" s="59"/>
      <c r="C631" s="59"/>
      <c r="D631" s="70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>
      <c r="A632" s="59"/>
      <c r="B632" s="59"/>
      <c r="C632" s="59"/>
      <c r="D632" s="70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>
      <c r="A633" s="59"/>
      <c r="B633" s="59"/>
      <c r="C633" s="59"/>
      <c r="D633" s="70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>
      <c r="A634" s="59"/>
      <c r="B634" s="59"/>
      <c r="C634" s="59"/>
      <c r="D634" s="70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>
      <c r="A635" s="59"/>
      <c r="B635" s="59"/>
      <c r="C635" s="59"/>
      <c r="D635" s="70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>
      <c r="A636" s="59"/>
      <c r="B636" s="59"/>
      <c r="C636" s="59"/>
      <c r="D636" s="70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>
      <c r="A637" s="59"/>
      <c r="B637" s="59"/>
      <c r="C637" s="59"/>
      <c r="D637" s="70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>
      <c r="A638" s="59"/>
      <c r="B638" s="59"/>
      <c r="C638" s="59"/>
      <c r="D638" s="70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>
      <c r="A639" s="59"/>
      <c r="B639" s="59"/>
      <c r="C639" s="59"/>
      <c r="D639" s="70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>
      <c r="A640" s="59"/>
      <c r="B640" s="59"/>
      <c r="C640" s="59"/>
      <c r="D640" s="70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>
      <c r="A641" s="59"/>
      <c r="B641" s="59"/>
      <c r="C641" s="59"/>
      <c r="D641" s="70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>
      <c r="A642" s="59"/>
      <c r="B642" s="59"/>
      <c r="C642" s="59"/>
      <c r="D642" s="70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>
      <c r="A643" s="59"/>
      <c r="B643" s="59"/>
      <c r="C643" s="59"/>
      <c r="D643" s="70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>
      <c r="A644" s="59"/>
      <c r="B644" s="59"/>
      <c r="C644" s="59"/>
      <c r="D644" s="70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>
      <c r="A645" s="59"/>
      <c r="B645" s="59"/>
      <c r="C645" s="59"/>
      <c r="D645" s="70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>
      <c r="A646" s="59"/>
      <c r="B646" s="59"/>
      <c r="C646" s="59"/>
      <c r="D646" s="70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>
      <c r="A647" s="59"/>
      <c r="B647" s="59"/>
      <c r="C647" s="59"/>
      <c r="D647" s="70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>
      <c r="A648" s="59"/>
      <c r="B648" s="59"/>
      <c r="C648" s="59"/>
      <c r="D648" s="70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>
      <c r="A649" s="59"/>
      <c r="B649" s="59"/>
      <c r="C649" s="59"/>
      <c r="D649" s="70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>
      <c r="A650" s="59"/>
      <c r="B650" s="59"/>
      <c r="C650" s="59"/>
      <c r="D650" s="70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>
      <c r="A651" s="59"/>
      <c r="B651" s="59"/>
      <c r="C651" s="59"/>
      <c r="D651" s="70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>
      <c r="A652" s="59"/>
      <c r="B652" s="59"/>
      <c r="C652" s="59"/>
      <c r="D652" s="70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>
      <c r="A653" s="59"/>
      <c r="B653" s="59"/>
      <c r="C653" s="59"/>
      <c r="D653" s="70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>
      <c r="A654" s="59"/>
      <c r="B654" s="59"/>
      <c r="C654" s="59"/>
      <c r="D654" s="70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>
      <c r="A655" s="59"/>
      <c r="B655" s="59"/>
      <c r="C655" s="59"/>
      <c r="D655" s="70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>
      <c r="A656" s="59"/>
      <c r="B656" s="59"/>
      <c r="C656" s="59"/>
      <c r="D656" s="70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>
      <c r="A657" s="59"/>
      <c r="B657" s="59"/>
      <c r="C657" s="59"/>
      <c r="D657" s="70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>
      <c r="A658" s="59"/>
      <c r="B658" s="59"/>
      <c r="C658" s="59"/>
      <c r="D658" s="70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>
      <c r="A659" s="59"/>
      <c r="B659" s="59"/>
      <c r="C659" s="59"/>
      <c r="D659" s="70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>
      <c r="A660" s="59"/>
      <c r="B660" s="59"/>
      <c r="C660" s="59"/>
      <c r="D660" s="70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>
      <c r="A661" s="59"/>
      <c r="B661" s="59"/>
      <c r="C661" s="59"/>
      <c r="D661" s="70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>
      <c r="A662" s="59"/>
      <c r="B662" s="59"/>
      <c r="C662" s="59"/>
      <c r="D662" s="70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>
      <c r="A663" s="59"/>
      <c r="B663" s="59"/>
      <c r="C663" s="59"/>
      <c r="D663" s="70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>
      <c r="A664" s="59"/>
      <c r="B664" s="59"/>
      <c r="C664" s="59"/>
      <c r="D664" s="70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>
      <c r="A665" s="59"/>
      <c r="B665" s="59"/>
      <c r="C665" s="59"/>
      <c r="D665" s="70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>
      <c r="A666" s="59"/>
      <c r="B666" s="59"/>
      <c r="C666" s="59"/>
      <c r="D666" s="70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>
      <c r="A667" s="59"/>
      <c r="B667" s="59"/>
      <c r="C667" s="59"/>
      <c r="D667" s="70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>
      <c r="A668" s="59"/>
      <c r="B668" s="59"/>
      <c r="C668" s="59"/>
      <c r="D668" s="70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>
      <c r="A669" s="59"/>
      <c r="B669" s="59"/>
      <c r="C669" s="59"/>
      <c r="D669" s="70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>
      <c r="A670" s="59"/>
      <c r="B670" s="59"/>
      <c r="C670" s="59"/>
      <c r="D670" s="70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>
      <c r="A671" s="59"/>
      <c r="B671" s="59"/>
      <c r="C671" s="59"/>
      <c r="D671" s="70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>
      <c r="A672" s="59"/>
      <c r="B672" s="59"/>
      <c r="C672" s="59"/>
      <c r="D672" s="70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>
      <c r="A673" s="59"/>
      <c r="B673" s="59"/>
      <c r="C673" s="59"/>
      <c r="D673" s="70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>
      <c r="A674" s="59"/>
      <c r="B674" s="59"/>
      <c r="C674" s="59"/>
      <c r="D674" s="70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>
      <c r="A675" s="59"/>
      <c r="B675" s="59"/>
      <c r="C675" s="59"/>
      <c r="D675" s="70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>
      <c r="A676" s="59"/>
      <c r="B676" s="59"/>
      <c r="C676" s="59"/>
      <c r="D676" s="70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>
      <c r="A677" s="59"/>
      <c r="B677" s="59"/>
      <c r="C677" s="59"/>
      <c r="D677" s="70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>
      <c r="A678" s="59"/>
      <c r="B678" s="59"/>
      <c r="C678" s="59"/>
      <c r="D678" s="70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>
      <c r="A679" s="59"/>
      <c r="B679" s="59"/>
      <c r="C679" s="59"/>
      <c r="D679" s="70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>
      <c r="A680" s="59"/>
      <c r="B680" s="59"/>
      <c r="C680" s="59"/>
      <c r="D680" s="70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>
      <c r="A681" s="59"/>
      <c r="B681" s="59"/>
      <c r="C681" s="59"/>
      <c r="D681" s="70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>
      <c r="A682" s="59"/>
      <c r="B682" s="59"/>
      <c r="C682" s="59"/>
      <c r="D682" s="70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>
      <c r="A683" s="59"/>
      <c r="B683" s="59"/>
      <c r="C683" s="59"/>
      <c r="D683" s="70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>
      <c r="A684" s="59"/>
      <c r="B684" s="59"/>
      <c r="C684" s="59"/>
      <c r="D684" s="70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>
      <c r="A685" s="59"/>
      <c r="B685" s="59"/>
      <c r="C685" s="59"/>
      <c r="D685" s="70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>
      <c r="A686" s="59"/>
      <c r="B686" s="59"/>
      <c r="C686" s="59"/>
      <c r="D686" s="70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>
      <c r="A687" s="59"/>
      <c r="B687" s="59"/>
      <c r="C687" s="59"/>
      <c r="D687" s="70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>
      <c r="A688" s="59"/>
      <c r="B688" s="59"/>
      <c r="C688" s="59"/>
      <c r="D688" s="70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>
      <c r="A689" s="59"/>
      <c r="B689" s="59"/>
      <c r="C689" s="59"/>
      <c r="D689" s="70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>
      <c r="A690" s="59"/>
      <c r="B690" s="59"/>
      <c r="C690" s="59"/>
      <c r="D690" s="70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>
      <c r="A691" s="59"/>
      <c r="B691" s="59"/>
      <c r="C691" s="59"/>
      <c r="D691" s="70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>
      <c r="A692" s="59"/>
      <c r="B692" s="59"/>
      <c r="C692" s="59"/>
      <c r="D692" s="70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>
      <c r="A693" s="59"/>
      <c r="B693" s="59"/>
      <c r="C693" s="59"/>
      <c r="D693" s="70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>
      <c r="A694" s="59"/>
      <c r="B694" s="59"/>
      <c r="C694" s="59"/>
      <c r="D694" s="70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>
      <c r="A695" s="59"/>
      <c r="B695" s="59"/>
      <c r="C695" s="59"/>
      <c r="D695" s="70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>
      <c r="A696" s="59"/>
      <c r="B696" s="59"/>
      <c r="C696" s="59"/>
      <c r="D696" s="70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>
      <c r="A697" s="59"/>
      <c r="B697" s="59"/>
      <c r="C697" s="59"/>
      <c r="D697" s="70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>
      <c r="A698" s="59"/>
      <c r="B698" s="59"/>
      <c r="C698" s="59"/>
      <c r="D698" s="70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>
      <c r="A699" s="59"/>
      <c r="B699" s="59"/>
      <c r="C699" s="59"/>
      <c r="D699" s="70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>
      <c r="A700" s="59"/>
      <c r="B700" s="59"/>
      <c r="C700" s="59"/>
      <c r="D700" s="70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>
      <c r="A701" s="59"/>
      <c r="B701" s="59"/>
      <c r="C701" s="59"/>
      <c r="D701" s="70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>
      <c r="A702" s="59"/>
      <c r="B702" s="59"/>
      <c r="C702" s="59"/>
      <c r="D702" s="70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>
      <c r="A703" s="59"/>
      <c r="B703" s="59"/>
      <c r="C703" s="59"/>
      <c r="D703" s="70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>
      <c r="A704" s="59"/>
      <c r="B704" s="59"/>
      <c r="C704" s="59"/>
      <c r="D704" s="70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>
      <c r="A705" s="59"/>
      <c r="B705" s="59"/>
      <c r="C705" s="59"/>
      <c r="D705" s="70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>
      <c r="A706" s="59"/>
      <c r="B706" s="59"/>
      <c r="C706" s="59"/>
      <c r="D706" s="70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>
      <c r="A707" s="59"/>
      <c r="B707" s="59"/>
      <c r="C707" s="59"/>
      <c r="D707" s="70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>
      <c r="A708" s="59"/>
      <c r="B708" s="59"/>
      <c r="C708" s="59"/>
      <c r="D708" s="70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>
      <c r="A709" s="59"/>
      <c r="B709" s="59"/>
      <c r="C709" s="59"/>
      <c r="D709" s="70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>
      <c r="A710" s="59"/>
      <c r="B710" s="59"/>
      <c r="C710" s="59"/>
      <c r="D710" s="70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>
      <c r="A711" s="59"/>
      <c r="B711" s="59"/>
      <c r="C711" s="59"/>
      <c r="D711" s="70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>
      <c r="A712" s="59"/>
      <c r="B712" s="59"/>
      <c r="C712" s="59"/>
      <c r="D712" s="70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>
      <c r="A713" s="59"/>
      <c r="B713" s="59"/>
      <c r="C713" s="59"/>
      <c r="D713" s="70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>
      <c r="A714" s="59"/>
      <c r="B714" s="59"/>
      <c r="C714" s="59"/>
      <c r="D714" s="70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>
      <c r="A715" s="59"/>
      <c r="B715" s="59"/>
      <c r="C715" s="59"/>
      <c r="D715" s="70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>
      <c r="A716" s="59"/>
      <c r="B716" s="59"/>
      <c r="C716" s="59"/>
      <c r="D716" s="70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>
      <c r="A717" s="59"/>
      <c r="B717" s="59"/>
      <c r="C717" s="59"/>
      <c r="D717" s="70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>
      <c r="A718" s="59"/>
      <c r="B718" s="59"/>
      <c r="C718" s="59"/>
      <c r="D718" s="70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>
      <c r="A719" s="59"/>
      <c r="B719" s="59"/>
      <c r="C719" s="59"/>
      <c r="D719" s="70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>
      <c r="A720" s="59"/>
      <c r="B720" s="59"/>
      <c r="C720" s="59"/>
      <c r="D720" s="70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>
      <c r="A721" s="59"/>
      <c r="B721" s="59"/>
      <c r="C721" s="59"/>
      <c r="D721" s="70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>
      <c r="A722" s="59"/>
      <c r="B722" s="59"/>
      <c r="C722" s="59"/>
      <c r="D722" s="70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>
      <c r="A723" s="59"/>
      <c r="B723" s="59"/>
      <c r="C723" s="59"/>
      <c r="D723" s="70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>
      <c r="A724" s="59"/>
      <c r="B724" s="59"/>
      <c r="C724" s="59"/>
      <c r="D724" s="70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>
      <c r="A725" s="59"/>
      <c r="B725" s="59"/>
      <c r="C725" s="59"/>
      <c r="D725" s="70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>
      <c r="A726" s="59"/>
      <c r="B726" s="59"/>
      <c r="C726" s="59"/>
      <c r="D726" s="70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>
      <c r="A727" s="59"/>
      <c r="B727" s="59"/>
      <c r="C727" s="59"/>
      <c r="D727" s="70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>
      <c r="A728" s="59"/>
      <c r="B728" s="59"/>
      <c r="C728" s="59"/>
      <c r="D728" s="70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>
      <c r="A729" s="59"/>
      <c r="B729" s="59"/>
      <c r="C729" s="59"/>
      <c r="D729" s="70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>
      <c r="A730" s="59"/>
      <c r="B730" s="59"/>
      <c r="C730" s="59"/>
      <c r="D730" s="70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>
      <c r="A731" s="59"/>
      <c r="B731" s="59"/>
      <c r="C731" s="59"/>
      <c r="D731" s="70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>
      <c r="A732" s="59"/>
      <c r="B732" s="59"/>
      <c r="C732" s="59"/>
      <c r="D732" s="70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>
      <c r="A733" s="59"/>
      <c r="B733" s="59"/>
      <c r="C733" s="59"/>
      <c r="D733" s="70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>
      <c r="A734" s="59"/>
      <c r="B734" s="59"/>
      <c r="C734" s="59"/>
      <c r="D734" s="70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>
      <c r="A735" s="59"/>
      <c r="B735" s="59"/>
      <c r="C735" s="59"/>
      <c r="D735" s="70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>
      <c r="A736" s="59"/>
      <c r="B736" s="59"/>
      <c r="C736" s="59"/>
      <c r="D736" s="70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>
      <c r="A737" s="59"/>
      <c r="B737" s="59"/>
      <c r="C737" s="59"/>
      <c r="D737" s="70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>
      <c r="A738" s="59"/>
      <c r="B738" s="59"/>
      <c r="C738" s="59"/>
      <c r="D738" s="70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>
      <c r="A739" s="59"/>
      <c r="B739" s="59"/>
      <c r="C739" s="59"/>
      <c r="D739" s="70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>
      <c r="A740" s="59"/>
      <c r="B740" s="59"/>
      <c r="C740" s="59"/>
      <c r="D740" s="70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>
      <c r="A741" s="59"/>
      <c r="B741" s="59"/>
      <c r="C741" s="59"/>
      <c r="D741" s="70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>
      <c r="A742" s="59"/>
      <c r="B742" s="59"/>
      <c r="C742" s="59"/>
      <c r="D742" s="70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>
      <c r="A743" s="59"/>
      <c r="B743" s="59"/>
      <c r="C743" s="59"/>
      <c r="D743" s="70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>
      <c r="A744" s="59"/>
      <c r="B744" s="59"/>
      <c r="C744" s="59"/>
      <c r="D744" s="70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>
      <c r="A745" s="59"/>
      <c r="B745" s="59"/>
      <c r="C745" s="59"/>
      <c r="D745" s="70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>
      <c r="A746" s="59"/>
      <c r="B746" s="59"/>
      <c r="C746" s="59"/>
      <c r="D746" s="70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>
      <c r="A747" s="59"/>
      <c r="B747" s="59"/>
      <c r="C747" s="59"/>
      <c r="D747" s="70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>
      <c r="A748" s="59"/>
      <c r="B748" s="59"/>
      <c r="C748" s="59"/>
      <c r="D748" s="70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>
      <c r="A749" s="59"/>
      <c r="B749" s="59"/>
      <c r="C749" s="59"/>
      <c r="D749" s="70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>
      <c r="A750" s="59"/>
      <c r="B750" s="59"/>
      <c r="C750" s="59"/>
      <c r="D750" s="70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>
      <c r="A751" s="59"/>
      <c r="B751" s="59"/>
      <c r="C751" s="59"/>
      <c r="D751" s="70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>
      <c r="A752" s="59"/>
      <c r="B752" s="59"/>
      <c r="C752" s="59"/>
      <c r="D752" s="70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>
      <c r="A753" s="59"/>
      <c r="B753" s="59"/>
      <c r="C753" s="59"/>
      <c r="D753" s="70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>
      <c r="A754" s="59"/>
      <c r="B754" s="59"/>
      <c r="C754" s="59"/>
      <c r="D754" s="70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>
      <c r="A755" s="59"/>
      <c r="B755" s="59"/>
      <c r="C755" s="59"/>
      <c r="D755" s="70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>
      <c r="A756" s="59"/>
      <c r="B756" s="59"/>
      <c r="C756" s="59"/>
      <c r="D756" s="70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>
      <c r="A757" s="59"/>
      <c r="B757" s="59"/>
      <c r="C757" s="59"/>
      <c r="D757" s="70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>
      <c r="A758" s="59"/>
      <c r="B758" s="59"/>
      <c r="C758" s="59"/>
      <c r="D758" s="70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>
      <c r="A759" s="59"/>
      <c r="B759" s="59"/>
      <c r="C759" s="59"/>
      <c r="D759" s="70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>
      <c r="A760" s="59"/>
      <c r="B760" s="59"/>
      <c r="C760" s="59"/>
      <c r="D760" s="70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>
      <c r="A761" s="59"/>
      <c r="B761" s="59"/>
      <c r="C761" s="59"/>
      <c r="D761" s="70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>
      <c r="A762" s="59"/>
      <c r="B762" s="59"/>
      <c r="C762" s="59"/>
      <c r="D762" s="70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>
      <c r="A763" s="59"/>
      <c r="B763" s="59"/>
      <c r="C763" s="59"/>
      <c r="D763" s="70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>
      <c r="A764" s="59"/>
      <c r="B764" s="59"/>
      <c r="C764" s="59"/>
      <c r="D764" s="70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>
      <c r="A765" s="59"/>
      <c r="B765" s="59"/>
      <c r="C765" s="59"/>
      <c r="D765" s="70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>
      <c r="A766" s="59"/>
      <c r="B766" s="59"/>
      <c r="C766" s="59"/>
      <c r="D766" s="70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>
      <c r="A767" s="59"/>
      <c r="B767" s="59"/>
      <c r="C767" s="59"/>
      <c r="D767" s="70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>
      <c r="A768" s="59"/>
      <c r="B768" s="59"/>
      <c r="C768" s="59"/>
      <c r="D768" s="70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>
      <c r="A769" s="59"/>
      <c r="B769" s="59"/>
      <c r="C769" s="59"/>
      <c r="D769" s="70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>
      <c r="A770" s="59"/>
      <c r="B770" s="59"/>
      <c r="C770" s="59"/>
      <c r="D770" s="70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>
      <c r="A771" s="59"/>
      <c r="B771" s="59"/>
      <c r="C771" s="59"/>
      <c r="D771" s="70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>
      <c r="A772" s="59"/>
      <c r="B772" s="59"/>
      <c r="C772" s="59"/>
      <c r="D772" s="70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>
      <c r="A773" s="59"/>
      <c r="B773" s="59"/>
      <c r="C773" s="59"/>
      <c r="D773" s="70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>
      <c r="A774" s="59"/>
      <c r="B774" s="59"/>
      <c r="C774" s="59"/>
      <c r="D774" s="70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>
      <c r="A775" s="59"/>
      <c r="B775" s="59"/>
      <c r="C775" s="59"/>
      <c r="D775" s="70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>
      <c r="A776" s="59"/>
      <c r="B776" s="59"/>
      <c r="C776" s="59"/>
      <c r="D776" s="70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>
      <c r="A777" s="59"/>
      <c r="B777" s="59"/>
      <c r="C777" s="59"/>
      <c r="D777" s="70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>
      <c r="A778" s="59"/>
      <c r="B778" s="59"/>
      <c r="C778" s="59"/>
      <c r="D778" s="70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>
      <c r="A779" s="59"/>
      <c r="B779" s="59"/>
      <c r="C779" s="59"/>
      <c r="D779" s="70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>
      <c r="A780" s="59"/>
      <c r="B780" s="59"/>
      <c r="C780" s="59"/>
      <c r="D780" s="70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>
      <c r="A781" s="59"/>
      <c r="B781" s="59"/>
      <c r="C781" s="59"/>
      <c r="D781" s="70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>
      <c r="A782" s="59"/>
      <c r="B782" s="59"/>
      <c r="C782" s="59"/>
      <c r="D782" s="70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>
      <c r="A783" s="59"/>
      <c r="B783" s="59"/>
      <c r="C783" s="59"/>
      <c r="D783" s="70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>
      <c r="A784" s="59"/>
      <c r="B784" s="59"/>
      <c r="C784" s="59"/>
      <c r="D784" s="70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>
      <c r="A785" s="59"/>
      <c r="B785" s="59"/>
      <c r="C785" s="59"/>
      <c r="D785" s="70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>
      <c r="A786" s="59"/>
      <c r="B786" s="59"/>
      <c r="C786" s="59"/>
      <c r="D786" s="70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>
      <c r="A787" s="59"/>
      <c r="B787" s="59"/>
      <c r="C787" s="59"/>
      <c r="D787" s="70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>
      <c r="A788" s="59"/>
      <c r="B788" s="59"/>
      <c r="C788" s="59"/>
      <c r="D788" s="70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>
      <c r="A789" s="59"/>
      <c r="B789" s="59"/>
      <c r="C789" s="59"/>
      <c r="D789" s="70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>
      <c r="A790" s="59"/>
      <c r="B790" s="59"/>
      <c r="C790" s="59"/>
      <c r="D790" s="70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>
      <c r="A791" s="59"/>
      <c r="B791" s="59"/>
      <c r="C791" s="59"/>
      <c r="D791" s="70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>
      <c r="A792" s="59"/>
      <c r="B792" s="59"/>
      <c r="C792" s="59"/>
      <c r="D792" s="70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>
      <c r="A793" s="59"/>
      <c r="B793" s="59"/>
      <c r="C793" s="59"/>
      <c r="D793" s="70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>
      <c r="A794" s="59"/>
      <c r="B794" s="59"/>
      <c r="C794" s="59"/>
      <c r="D794" s="70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>
      <c r="A795" s="59"/>
      <c r="B795" s="59"/>
      <c r="C795" s="59"/>
      <c r="D795" s="70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>
      <c r="A796" s="59"/>
      <c r="B796" s="59"/>
      <c r="C796" s="59"/>
      <c r="D796" s="70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>
      <c r="A797" s="59"/>
      <c r="B797" s="59"/>
      <c r="C797" s="59"/>
      <c r="D797" s="70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>
      <c r="A798" s="59"/>
      <c r="B798" s="59"/>
      <c r="C798" s="59"/>
      <c r="D798" s="70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>
      <c r="A799" s="59"/>
      <c r="B799" s="59"/>
      <c r="C799" s="59"/>
      <c r="D799" s="70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>
      <c r="A800" s="59"/>
      <c r="B800" s="59"/>
      <c r="C800" s="59"/>
      <c r="D800" s="70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>
      <c r="A801" s="59"/>
      <c r="B801" s="59"/>
      <c r="C801" s="59"/>
      <c r="D801" s="70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>
      <c r="A802" s="59"/>
      <c r="B802" s="59"/>
      <c r="C802" s="59"/>
      <c r="D802" s="70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>
      <c r="A803" s="59"/>
      <c r="B803" s="59"/>
      <c r="C803" s="59"/>
      <c r="D803" s="70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>
      <c r="A804" s="59"/>
      <c r="B804" s="59"/>
      <c r="C804" s="59"/>
      <c r="D804" s="70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>
      <c r="A805" s="59"/>
      <c r="B805" s="59"/>
      <c r="C805" s="59"/>
      <c r="D805" s="70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>
      <c r="A806" s="59"/>
      <c r="B806" s="59"/>
      <c r="C806" s="59"/>
      <c r="D806" s="70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>
      <c r="A807" s="59"/>
      <c r="B807" s="59"/>
      <c r="C807" s="59"/>
      <c r="D807" s="70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>
      <c r="A808" s="59"/>
      <c r="B808" s="59"/>
      <c r="C808" s="59"/>
      <c r="D808" s="70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>
      <c r="A809" s="59"/>
      <c r="B809" s="59"/>
      <c r="C809" s="59"/>
      <c r="D809" s="70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>
      <c r="A810" s="59"/>
      <c r="B810" s="59"/>
      <c r="C810" s="59"/>
      <c r="D810" s="70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>
      <c r="A811" s="59"/>
      <c r="B811" s="59"/>
      <c r="C811" s="59"/>
      <c r="D811" s="70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>
      <c r="A812" s="59"/>
      <c r="B812" s="59"/>
      <c r="C812" s="59"/>
      <c r="D812" s="70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>
      <c r="A813" s="59"/>
      <c r="B813" s="59"/>
      <c r="C813" s="59"/>
      <c r="D813" s="70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>
      <c r="A814" s="59"/>
      <c r="B814" s="59"/>
      <c r="C814" s="59"/>
      <c r="D814" s="70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>
      <c r="A815" s="59"/>
      <c r="B815" s="59"/>
      <c r="C815" s="59"/>
      <c r="D815" s="70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>
      <c r="A816" s="59"/>
      <c r="B816" s="59"/>
      <c r="C816" s="59"/>
      <c r="D816" s="70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>
      <c r="A817" s="59"/>
      <c r="B817" s="59"/>
      <c r="C817" s="59"/>
      <c r="D817" s="70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>
      <c r="A818" s="59"/>
      <c r="B818" s="59"/>
      <c r="C818" s="59"/>
      <c r="D818" s="70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>
      <c r="A819" s="59"/>
      <c r="B819" s="59"/>
      <c r="C819" s="59"/>
      <c r="D819" s="70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>
      <c r="A820" s="59"/>
      <c r="B820" s="59"/>
      <c r="C820" s="59"/>
      <c r="D820" s="70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>
      <c r="A821" s="59"/>
      <c r="B821" s="59"/>
      <c r="C821" s="59"/>
      <c r="D821" s="70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>
      <c r="A822" s="59"/>
      <c r="B822" s="59"/>
      <c r="C822" s="59"/>
      <c r="D822" s="70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>
      <c r="A823" s="59"/>
      <c r="B823" s="59"/>
      <c r="C823" s="59"/>
      <c r="D823" s="70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>
      <c r="A824" s="59"/>
      <c r="B824" s="59"/>
      <c r="C824" s="59"/>
      <c r="D824" s="70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>
      <c r="A825" s="59"/>
      <c r="B825" s="59"/>
      <c r="C825" s="59"/>
      <c r="D825" s="70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>
      <c r="A826" s="59"/>
      <c r="B826" s="59"/>
      <c r="C826" s="59"/>
      <c r="D826" s="70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>
      <c r="A827" s="59"/>
      <c r="B827" s="59"/>
      <c r="C827" s="59"/>
      <c r="D827" s="70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>
      <c r="A828" s="59"/>
      <c r="B828" s="59"/>
      <c r="C828" s="59"/>
      <c r="D828" s="70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>
      <c r="A829" s="59"/>
      <c r="B829" s="59"/>
      <c r="C829" s="59"/>
      <c r="D829" s="70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>
      <c r="A830" s="59"/>
      <c r="B830" s="59"/>
      <c r="C830" s="59"/>
      <c r="D830" s="70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>
      <c r="A831" s="59"/>
      <c r="B831" s="59"/>
      <c r="C831" s="59"/>
      <c r="D831" s="70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>
      <c r="A832" s="59"/>
      <c r="B832" s="59"/>
      <c r="C832" s="59"/>
      <c r="D832" s="70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>
      <c r="A833" s="59"/>
      <c r="B833" s="59"/>
      <c r="C833" s="59"/>
      <c r="D833" s="70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>
      <c r="A834" s="59"/>
      <c r="B834" s="59"/>
      <c r="C834" s="59"/>
      <c r="D834" s="70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>
      <c r="A835" s="59"/>
      <c r="B835" s="59"/>
      <c r="C835" s="59"/>
      <c r="D835" s="70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>
      <c r="A836" s="59"/>
      <c r="B836" s="59"/>
      <c r="C836" s="59"/>
      <c r="D836" s="70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>
      <c r="A837" s="59"/>
      <c r="B837" s="59"/>
      <c r="C837" s="59"/>
      <c r="D837" s="70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>
      <c r="A838" s="59"/>
      <c r="B838" s="59"/>
      <c r="C838" s="59"/>
      <c r="D838" s="70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>
      <c r="A839" s="59"/>
      <c r="B839" s="59"/>
      <c r="C839" s="59"/>
      <c r="D839" s="70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>
      <c r="A840" s="59"/>
      <c r="B840" s="59"/>
      <c r="C840" s="59"/>
      <c r="D840" s="70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>
      <c r="A841" s="59"/>
      <c r="B841" s="59"/>
      <c r="C841" s="59"/>
      <c r="D841" s="70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>
      <c r="A842" s="59"/>
      <c r="B842" s="59"/>
      <c r="C842" s="59"/>
      <c r="D842" s="70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>
      <c r="A843" s="59"/>
      <c r="B843" s="59"/>
      <c r="C843" s="59"/>
      <c r="D843" s="70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>
      <c r="A844" s="59"/>
      <c r="B844" s="59"/>
      <c r="C844" s="59"/>
      <c r="D844" s="70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>
      <c r="A845" s="59"/>
      <c r="B845" s="59"/>
      <c r="C845" s="59"/>
      <c r="D845" s="70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>
      <c r="A846" s="59"/>
      <c r="B846" s="59"/>
      <c r="C846" s="59"/>
      <c r="D846" s="70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>
      <c r="A847" s="59"/>
      <c r="B847" s="59"/>
      <c r="C847" s="59"/>
      <c r="D847" s="70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>
      <c r="A848" s="59"/>
      <c r="B848" s="59"/>
      <c r="C848" s="59"/>
      <c r="D848" s="70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>
      <c r="A849" s="59"/>
      <c r="B849" s="59"/>
      <c r="C849" s="59"/>
      <c r="D849" s="70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>
      <c r="A850" s="59"/>
      <c r="B850" s="59"/>
      <c r="C850" s="59"/>
      <c r="D850" s="70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>
      <c r="A851" s="59"/>
      <c r="B851" s="59"/>
      <c r="C851" s="59"/>
      <c r="D851" s="70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>
      <c r="A852" s="59"/>
      <c r="B852" s="59"/>
      <c r="C852" s="59"/>
      <c r="D852" s="70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>
      <c r="A853" s="59"/>
      <c r="B853" s="59"/>
      <c r="C853" s="59"/>
      <c r="D853" s="70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>
      <c r="A854" s="59"/>
      <c r="B854" s="59"/>
      <c r="C854" s="59"/>
      <c r="D854" s="70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>
      <c r="A855" s="59"/>
      <c r="B855" s="59"/>
      <c r="C855" s="59"/>
      <c r="D855" s="70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>
      <c r="A856" s="59"/>
      <c r="B856" s="59"/>
      <c r="C856" s="59"/>
      <c r="D856" s="70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>
      <c r="A857" s="59"/>
      <c r="B857" s="59"/>
      <c r="C857" s="59"/>
      <c r="D857" s="70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>
      <c r="A858" s="59"/>
      <c r="B858" s="59"/>
      <c r="C858" s="59"/>
      <c r="D858" s="70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>
      <c r="A859" s="59"/>
      <c r="B859" s="59"/>
      <c r="C859" s="59"/>
      <c r="D859" s="70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>
      <c r="A860" s="59"/>
      <c r="B860" s="59"/>
      <c r="C860" s="59"/>
      <c r="D860" s="70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>
      <c r="A861" s="59"/>
      <c r="B861" s="59"/>
      <c r="C861" s="59"/>
      <c r="D861" s="70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>
      <c r="A862" s="59"/>
      <c r="B862" s="59"/>
      <c r="C862" s="59"/>
      <c r="D862" s="70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>
      <c r="A863" s="59"/>
      <c r="B863" s="59"/>
      <c r="C863" s="59"/>
      <c r="D863" s="70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>
      <c r="A864" s="59"/>
      <c r="B864" s="59"/>
      <c r="C864" s="59"/>
      <c r="D864" s="70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>
      <c r="A865" s="59"/>
      <c r="B865" s="59"/>
      <c r="C865" s="59"/>
      <c r="D865" s="70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>
      <c r="A866" s="59"/>
      <c r="B866" s="59"/>
      <c r="C866" s="59"/>
      <c r="D866" s="70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>
      <c r="A867" s="59"/>
      <c r="B867" s="59"/>
      <c r="C867" s="59"/>
      <c r="D867" s="70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>
      <c r="A868" s="59"/>
      <c r="B868" s="59"/>
      <c r="C868" s="59"/>
      <c r="D868" s="70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>
      <c r="A869" s="59"/>
      <c r="B869" s="59"/>
      <c r="C869" s="59"/>
      <c r="D869" s="70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>
      <c r="A870" s="59"/>
      <c r="B870" s="59"/>
      <c r="C870" s="59"/>
      <c r="D870" s="70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>
      <c r="A871" s="59"/>
      <c r="B871" s="59"/>
      <c r="C871" s="59"/>
      <c r="D871" s="70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>
      <c r="A872" s="59"/>
      <c r="B872" s="59"/>
      <c r="C872" s="59"/>
      <c r="D872" s="70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>
      <c r="A873" s="59"/>
      <c r="B873" s="59"/>
      <c r="C873" s="59"/>
      <c r="D873" s="70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>
      <c r="A874" s="59"/>
      <c r="B874" s="59"/>
      <c r="C874" s="59"/>
      <c r="D874" s="70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>
      <c r="A875" s="59"/>
      <c r="B875" s="59"/>
      <c r="C875" s="59"/>
      <c r="D875" s="70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>
      <c r="A876" s="59"/>
      <c r="B876" s="59"/>
      <c r="C876" s="59"/>
      <c r="D876" s="70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>
      <c r="A877" s="59"/>
      <c r="B877" s="59"/>
      <c r="C877" s="59"/>
      <c r="D877" s="70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>
      <c r="A878" s="59"/>
      <c r="B878" s="59"/>
      <c r="C878" s="59"/>
      <c r="D878" s="70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>
      <c r="A879" s="59"/>
      <c r="B879" s="59"/>
      <c r="C879" s="59"/>
      <c r="D879" s="70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>
      <c r="A880" s="59"/>
      <c r="B880" s="59"/>
      <c r="C880" s="59"/>
      <c r="D880" s="70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>
      <c r="A881" s="59"/>
      <c r="B881" s="59"/>
      <c r="C881" s="59"/>
      <c r="D881" s="70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>
      <c r="A882" s="59"/>
      <c r="B882" s="59"/>
      <c r="C882" s="59"/>
      <c r="D882" s="70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>
      <c r="A883" s="59"/>
      <c r="B883" s="59"/>
      <c r="C883" s="59"/>
      <c r="D883" s="70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>
      <c r="A884" s="59"/>
      <c r="B884" s="59"/>
      <c r="C884" s="59"/>
      <c r="D884" s="70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>
      <c r="A885" s="59"/>
      <c r="B885" s="59"/>
      <c r="C885" s="59"/>
      <c r="D885" s="70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>
      <c r="A886" s="59"/>
      <c r="B886" s="59"/>
      <c r="C886" s="59"/>
      <c r="D886" s="70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>
      <c r="A887" s="59"/>
      <c r="B887" s="59"/>
      <c r="C887" s="59"/>
      <c r="D887" s="70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>
      <c r="A888" s="59"/>
      <c r="B888" s="59"/>
      <c r="C888" s="59"/>
      <c r="D888" s="70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>
      <c r="A889" s="59"/>
      <c r="B889" s="59"/>
      <c r="C889" s="59"/>
      <c r="D889" s="70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>
      <c r="A890" s="59"/>
      <c r="B890" s="59"/>
      <c r="C890" s="59"/>
      <c r="D890" s="70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>
      <c r="A891" s="59"/>
      <c r="B891" s="59"/>
      <c r="C891" s="59"/>
      <c r="D891" s="70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>
      <c r="A892" s="59"/>
      <c r="B892" s="59"/>
      <c r="C892" s="59"/>
      <c r="D892" s="70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>
      <c r="A893" s="59"/>
      <c r="B893" s="59"/>
      <c r="C893" s="59"/>
      <c r="D893" s="70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>
      <c r="A894" s="59"/>
      <c r="B894" s="59"/>
      <c r="C894" s="59"/>
      <c r="D894" s="70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>
      <c r="A895" s="59"/>
      <c r="B895" s="59"/>
      <c r="C895" s="59"/>
      <c r="D895" s="70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>
      <c r="A896" s="59"/>
      <c r="B896" s="59"/>
      <c r="C896" s="59"/>
      <c r="D896" s="70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>
      <c r="A897" s="59"/>
      <c r="B897" s="59"/>
      <c r="C897" s="59"/>
      <c r="D897" s="70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>
      <c r="A898" s="59"/>
      <c r="B898" s="59"/>
      <c r="C898" s="59"/>
      <c r="D898" s="70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>
      <c r="A899" s="59"/>
      <c r="B899" s="59"/>
      <c r="C899" s="59"/>
      <c r="D899" s="70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>
      <c r="A900" s="59"/>
      <c r="B900" s="59"/>
      <c r="C900" s="59"/>
      <c r="D900" s="70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>
      <c r="A901" s="59"/>
      <c r="B901" s="59"/>
      <c r="C901" s="59"/>
      <c r="D901" s="70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>
      <c r="A902" s="59"/>
      <c r="B902" s="59"/>
      <c r="C902" s="59"/>
      <c r="D902" s="70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>
      <c r="A903" s="59"/>
      <c r="B903" s="59"/>
      <c r="C903" s="59"/>
      <c r="D903" s="70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>
      <c r="A904" s="59"/>
      <c r="B904" s="59"/>
      <c r="C904" s="59"/>
      <c r="D904" s="70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>
      <c r="A905" s="59"/>
      <c r="B905" s="59"/>
      <c r="C905" s="59"/>
      <c r="D905" s="70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>
      <c r="A906" s="59"/>
      <c r="B906" s="59"/>
      <c r="C906" s="59"/>
      <c r="D906" s="70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>
      <c r="A907" s="59"/>
      <c r="B907" s="59"/>
      <c r="C907" s="59"/>
      <c r="D907" s="70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>
      <c r="A908" s="59"/>
      <c r="B908" s="59"/>
      <c r="C908" s="59"/>
      <c r="D908" s="70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>
      <c r="A909" s="59"/>
      <c r="B909" s="59"/>
      <c r="C909" s="59"/>
      <c r="D909" s="70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>
      <c r="A910" s="59"/>
      <c r="B910" s="59"/>
      <c r="C910" s="59"/>
      <c r="D910" s="70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>
      <c r="A911" s="59"/>
      <c r="B911" s="59"/>
      <c r="C911" s="59"/>
      <c r="D911" s="70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>
      <c r="A912" s="59"/>
      <c r="B912" s="59"/>
      <c r="C912" s="59"/>
      <c r="D912" s="70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>
      <c r="A913" s="59"/>
      <c r="B913" s="59"/>
      <c r="C913" s="59"/>
      <c r="D913" s="70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>
      <c r="A914" s="59"/>
      <c r="B914" s="59"/>
      <c r="C914" s="59"/>
      <c r="D914" s="70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>
      <c r="A915" s="59"/>
      <c r="B915" s="59"/>
      <c r="C915" s="59"/>
      <c r="D915" s="70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>
      <c r="A916" s="59"/>
      <c r="B916" s="59"/>
      <c r="C916" s="59"/>
      <c r="D916" s="70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>
      <c r="A917" s="59"/>
      <c r="B917" s="59"/>
      <c r="C917" s="59"/>
      <c r="D917" s="70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>
      <c r="A918" s="59"/>
      <c r="B918" s="59"/>
      <c r="C918" s="59"/>
      <c r="D918" s="70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>
      <c r="A919" s="59"/>
      <c r="B919" s="59"/>
      <c r="C919" s="59"/>
      <c r="D919" s="70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>
      <c r="A920" s="59"/>
      <c r="B920" s="59"/>
      <c r="C920" s="59"/>
      <c r="D920" s="70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>
      <c r="A921" s="59"/>
      <c r="B921" s="59"/>
      <c r="C921" s="59"/>
      <c r="D921" s="70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>
      <c r="A922" s="59"/>
      <c r="B922" s="59"/>
      <c r="C922" s="59"/>
      <c r="D922" s="70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>
      <c r="A923" s="59"/>
      <c r="B923" s="59"/>
      <c r="C923" s="59"/>
      <c r="D923" s="70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>
      <c r="A924" s="59"/>
      <c r="B924" s="59"/>
      <c r="C924" s="59"/>
      <c r="D924" s="70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>
      <c r="A925" s="59"/>
      <c r="B925" s="59"/>
      <c r="C925" s="59"/>
      <c r="D925" s="70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>
      <c r="A926" s="59"/>
      <c r="B926" s="59"/>
      <c r="C926" s="59"/>
      <c r="D926" s="70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>
      <c r="A927" s="59"/>
      <c r="B927" s="59"/>
      <c r="C927" s="59"/>
      <c r="D927" s="70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>
      <c r="A928" s="59"/>
      <c r="B928" s="59"/>
      <c r="C928" s="59"/>
      <c r="D928" s="70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>
      <c r="A929" s="59"/>
      <c r="B929" s="59"/>
      <c r="C929" s="59"/>
      <c r="D929" s="70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>
      <c r="A930" s="59"/>
      <c r="B930" s="59"/>
      <c r="C930" s="59"/>
      <c r="D930" s="70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>
      <c r="A931" s="59"/>
      <c r="B931" s="59"/>
      <c r="C931" s="59"/>
      <c r="D931" s="70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>
      <c r="A932" s="59"/>
      <c r="B932" s="59"/>
      <c r="C932" s="59"/>
      <c r="D932" s="70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>
      <c r="A933" s="59"/>
      <c r="B933" s="59"/>
      <c r="C933" s="59"/>
      <c r="D933" s="70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>
      <c r="A934" s="59"/>
      <c r="B934" s="59"/>
      <c r="C934" s="59"/>
      <c r="D934" s="70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>
      <c r="A935" s="59"/>
      <c r="B935" s="59"/>
      <c r="C935" s="59"/>
      <c r="D935" s="70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>
      <c r="A936" s="59"/>
      <c r="B936" s="59"/>
      <c r="C936" s="59"/>
      <c r="D936" s="70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>
      <c r="A937" s="59"/>
      <c r="B937" s="59"/>
      <c r="C937" s="59"/>
      <c r="D937" s="70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>
      <c r="A938" s="59"/>
      <c r="B938" s="59"/>
      <c r="C938" s="59"/>
      <c r="D938" s="70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>
      <c r="A939" s="59"/>
      <c r="B939" s="59"/>
      <c r="C939" s="59"/>
      <c r="D939" s="70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>
      <c r="A940" s="59"/>
      <c r="B940" s="59"/>
      <c r="C940" s="59"/>
      <c r="D940" s="70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>
      <c r="A941" s="59"/>
      <c r="B941" s="59"/>
      <c r="C941" s="59"/>
      <c r="D941" s="70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>
      <c r="A942" s="59"/>
      <c r="B942" s="59"/>
      <c r="C942" s="59"/>
      <c r="D942" s="70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>
      <c r="A943" s="59"/>
      <c r="B943" s="59"/>
      <c r="C943" s="59"/>
      <c r="D943" s="70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>
      <c r="A944" s="59"/>
      <c r="B944" s="59"/>
      <c r="C944" s="59"/>
      <c r="D944" s="70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>
      <c r="A945" s="59"/>
      <c r="B945" s="59"/>
      <c r="C945" s="59"/>
      <c r="D945" s="70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>
      <c r="A946" s="59"/>
      <c r="B946" s="59"/>
      <c r="C946" s="59"/>
      <c r="D946" s="70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>
      <c r="A947" s="59"/>
      <c r="B947" s="59"/>
      <c r="C947" s="59"/>
      <c r="D947" s="70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>
      <c r="A948" s="59"/>
      <c r="B948" s="59"/>
      <c r="C948" s="59"/>
      <c r="D948" s="70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>
      <c r="A949" s="59"/>
      <c r="B949" s="59"/>
      <c r="C949" s="59"/>
      <c r="D949" s="70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>
      <c r="A950" s="59"/>
      <c r="B950" s="59"/>
      <c r="C950" s="59"/>
      <c r="D950" s="70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>
      <c r="A951" s="59"/>
      <c r="B951" s="59"/>
      <c r="C951" s="59"/>
      <c r="D951" s="70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>
      <c r="A952" s="59"/>
      <c r="B952" s="59"/>
      <c r="C952" s="59"/>
      <c r="D952" s="70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>
      <c r="A953" s="59"/>
      <c r="B953" s="59"/>
      <c r="C953" s="59"/>
      <c r="D953" s="70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>
      <c r="A954" s="59"/>
      <c r="B954" s="59"/>
      <c r="C954" s="59"/>
      <c r="D954" s="70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>
      <c r="A955" s="59"/>
      <c r="B955" s="59"/>
      <c r="C955" s="59"/>
      <c r="D955" s="70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>
      <c r="A956" s="59"/>
      <c r="B956" s="59"/>
      <c r="C956" s="59"/>
      <c r="D956" s="70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>
      <c r="A957" s="59"/>
      <c r="B957" s="59"/>
      <c r="C957" s="59"/>
      <c r="D957" s="70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>
      <c r="A958" s="59"/>
      <c r="B958" s="59"/>
      <c r="C958" s="59"/>
      <c r="D958" s="70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>
      <c r="A959" s="59"/>
      <c r="B959" s="59"/>
      <c r="C959" s="59"/>
      <c r="D959" s="70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>
      <c r="A960" s="59"/>
      <c r="B960" s="59"/>
      <c r="C960" s="59"/>
      <c r="D960" s="70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>
      <c r="A961" s="59"/>
      <c r="B961" s="59"/>
      <c r="C961" s="59"/>
      <c r="D961" s="70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>
      <c r="A962" s="59"/>
      <c r="B962" s="59"/>
      <c r="C962" s="59"/>
      <c r="D962" s="70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>
      <c r="A963" s="59"/>
      <c r="B963" s="59"/>
      <c r="C963" s="59"/>
      <c r="D963" s="70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>
      <c r="A964" s="59"/>
      <c r="B964" s="59"/>
      <c r="C964" s="59"/>
      <c r="D964" s="70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>
      <c r="A965" s="59"/>
      <c r="B965" s="59"/>
      <c r="C965" s="59"/>
      <c r="D965" s="70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>
      <c r="A966" s="59"/>
      <c r="B966" s="59"/>
      <c r="C966" s="59"/>
      <c r="D966" s="70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>
      <c r="A967" s="59"/>
      <c r="B967" s="59"/>
      <c r="C967" s="59"/>
      <c r="D967" s="70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>
      <c r="A968" s="59"/>
      <c r="B968" s="59"/>
      <c r="C968" s="59"/>
      <c r="D968" s="70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>
      <c r="A969" s="59"/>
      <c r="B969" s="59"/>
      <c r="C969" s="59"/>
      <c r="D969" s="70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>
      <c r="A970" s="59"/>
      <c r="B970" s="59"/>
      <c r="C970" s="59"/>
      <c r="D970" s="70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>
      <c r="A971" s="59"/>
      <c r="B971" s="59"/>
      <c r="C971" s="59"/>
      <c r="D971" s="70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>
      <c r="A972" s="59"/>
      <c r="B972" s="59"/>
      <c r="C972" s="59"/>
      <c r="D972" s="70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>
      <c r="A973" s="59"/>
      <c r="B973" s="59"/>
      <c r="C973" s="59"/>
      <c r="D973" s="70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>
      <c r="A974" s="59"/>
      <c r="B974" s="59"/>
      <c r="C974" s="59"/>
      <c r="D974" s="70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>
      <c r="A975" s="59"/>
      <c r="B975" s="59"/>
      <c r="C975" s="59"/>
      <c r="D975" s="70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>
      <c r="A976" s="59"/>
      <c r="B976" s="59"/>
      <c r="C976" s="59"/>
      <c r="D976" s="70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>
      <c r="A977" s="59"/>
      <c r="B977" s="59"/>
      <c r="C977" s="59"/>
      <c r="D977" s="70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>
      <c r="A978" s="59"/>
      <c r="B978" s="59"/>
      <c r="C978" s="59"/>
      <c r="D978" s="70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>
      <c r="A979" s="59"/>
      <c r="B979" s="59"/>
      <c r="C979" s="59"/>
      <c r="D979" s="70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>
      <c r="A980" s="59"/>
      <c r="B980" s="59"/>
      <c r="C980" s="59"/>
      <c r="D980" s="70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>
      <c r="A981" s="59"/>
      <c r="B981" s="59"/>
      <c r="C981" s="59"/>
      <c r="D981" s="70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>
      <c r="A982" s="59"/>
      <c r="B982" s="59"/>
      <c r="C982" s="59"/>
      <c r="D982" s="70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>
      <c r="A983" s="59"/>
      <c r="B983" s="59"/>
      <c r="C983" s="59"/>
      <c r="D983" s="70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>
      <c r="A984" s="59"/>
      <c r="B984" s="59"/>
      <c r="C984" s="59"/>
      <c r="D984" s="70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>
      <c r="A985" s="59"/>
      <c r="B985" s="59"/>
      <c r="C985" s="59"/>
      <c r="D985" s="70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>
      <c r="A986" s="59"/>
      <c r="B986" s="59"/>
      <c r="C986" s="59"/>
      <c r="D986" s="70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>
      <c r="A987" s="59"/>
      <c r="B987" s="59"/>
      <c r="C987" s="59"/>
      <c r="D987" s="70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>
      <c r="A988" s="59"/>
      <c r="B988" s="59"/>
      <c r="C988" s="59"/>
      <c r="D988" s="70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>
      <c r="A989" s="59"/>
      <c r="B989" s="59"/>
      <c r="C989" s="59"/>
      <c r="D989" s="70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>
      <c r="A990" s="59"/>
      <c r="B990" s="59"/>
      <c r="C990" s="59"/>
      <c r="D990" s="70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>
      <c r="A991" s="59"/>
      <c r="B991" s="59"/>
      <c r="C991" s="59"/>
      <c r="D991" s="70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>
      <c r="A992" s="59"/>
      <c r="B992" s="59"/>
      <c r="C992" s="59"/>
      <c r="D992" s="70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>
      <c r="A993" s="59"/>
      <c r="B993" s="59"/>
      <c r="C993" s="59"/>
      <c r="D993" s="70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38"/>
    <col customWidth="1" min="5" max="5" width="32.5"/>
    <col customWidth="1" min="6" max="6" width="26.88"/>
  </cols>
  <sheetData>
    <row r="1">
      <c r="A1" s="33" t="str">
        <f>IFERROR(__xludf.DUMMYFUNCTION("QUERY('Master Old'!B1:R1000,""select * where F='Cabernet Sauvignon' or F='Bordeaux Red Blend' or F='Cabernet/Syrah' or F='Sangiovese/Cabernet'or F='Zinfandel/Cabernet'"",1)"),"Category")</f>
        <v>Category</v>
      </c>
      <c r="B1" s="33" t="str">
        <f>IFERROR(__xludf.DUMMYFUNCTION("""COMPUTED_VALUE"""),"Qty")</f>
        <v>Qty</v>
      </c>
      <c r="C1" s="33" t="str">
        <f>IFERROR(__xludf.DUMMYFUNCTION("""COMPUTED_VALUE"""),"Vintage ")</f>
        <v>Vintage </v>
      </c>
      <c r="D1" s="33" t="str">
        <f>IFERROR(__xludf.DUMMYFUNCTION("""COMPUTED_VALUE"""),"Winery ")</f>
        <v>Winery </v>
      </c>
      <c r="E1" s="33" t="str">
        <f>IFERROR(__xludf.DUMMYFUNCTION("""COMPUTED_VALUE"""),"Wine ")</f>
        <v>Wine </v>
      </c>
      <c r="F1" s="33" t="str">
        <f>IFERROR(__xludf.DUMMYFUNCTION("""COMPUTED_VALUE"""),"Varietal(s)")</f>
        <v>Varietal(s)</v>
      </c>
      <c r="G1" s="33" t="str">
        <f>IFERROR(__xludf.DUMMYFUNCTION("""COMPUTED_VALUE"""),"Country ")</f>
        <v>Country </v>
      </c>
      <c r="H1" s="33" t="str">
        <f>IFERROR(__xludf.DUMMYFUNCTION("""COMPUTED_VALUE"""),"State ")</f>
        <v>State </v>
      </c>
      <c r="I1" s="33" t="str">
        <f>IFERROR(__xludf.DUMMYFUNCTION("""COMPUTED_VALUE"""),"Region ")</f>
        <v>Region </v>
      </c>
      <c r="J1" s="33" t="str">
        <f>IFERROR(__xludf.DUMMYFUNCTION("""COMPUTED_VALUE"""),"Appelation")</f>
        <v>Appelation</v>
      </c>
      <c r="K1" s="33" t="str">
        <f>IFERROR(__xludf.DUMMYFUNCTION("""COMPUTED_VALUE"""),"Sub AVA")</f>
        <v>Sub AVA</v>
      </c>
      <c r="L1" s="33" t="str">
        <f>IFERROR(__xludf.DUMMYFUNCTION("""COMPUTED_VALUE""")," ")</f>
        <v> </v>
      </c>
      <c r="M1" s="33" t="str">
        <f>IFERROR(__xludf.DUMMYFUNCTION("""COMPUTED_VALUE"""),"Retail Price ")</f>
        <v>Retail Price </v>
      </c>
      <c r="N1" s="33" t="str">
        <f>IFERROR(__xludf.DUMMYFUNCTION("""COMPUTED_VALUE"""),"Volume")</f>
        <v>Volume</v>
      </c>
      <c r="O1" s="33" t="str">
        <f>IFERROR(__xludf.DUMMYFUNCTION("""COMPUTED_VALUE"""),"Fridge")</f>
        <v>Fridge</v>
      </c>
      <c r="P1" s="33" t="str">
        <f>IFERROR(__xludf.DUMMYFUNCTION("""COMPUTED_VALUE"""),"Box #")</f>
        <v>Box #</v>
      </c>
      <c r="Q1" s="33" t="str">
        <f>IFERROR(__xludf.DUMMYFUNCTION("""COMPUTED_VALUE"""),"Notes")</f>
        <v>Notes</v>
      </c>
      <c r="R1" s="33"/>
      <c r="S1" s="33"/>
      <c r="T1" s="33"/>
      <c r="U1" s="33"/>
      <c r="V1" s="33"/>
      <c r="W1" s="33"/>
      <c r="X1" s="33"/>
      <c r="Y1" s="33"/>
      <c r="Z1" s="33"/>
    </row>
    <row r="2">
      <c r="A2" s="20" t="str">
        <f>IFERROR(__xludf.DUMMYFUNCTION("""COMPUTED_VALUE"""),"Red")</f>
        <v>Red</v>
      </c>
      <c r="B2" s="20">
        <f>IFERROR(__xludf.DUMMYFUNCTION("""COMPUTED_VALUE"""),1.0)</f>
        <v>1</v>
      </c>
      <c r="C2" s="20">
        <f>IFERROR(__xludf.DUMMYFUNCTION("""COMPUTED_VALUE"""),2016.0)</f>
        <v>2016</v>
      </c>
      <c r="D2" s="20" t="str">
        <f>IFERROR(__xludf.DUMMYFUNCTION("""COMPUTED_VALUE"""),"Husch Vineyards ")</f>
        <v>Husch Vineyards </v>
      </c>
      <c r="E2" s="20" t="str">
        <f>IFERROR(__xludf.DUMMYFUNCTION("""COMPUTED_VALUE"""),"Cabernet Sauvignon")</f>
        <v>Cabernet Sauvignon</v>
      </c>
      <c r="F2" s="20" t="str">
        <f>IFERROR(__xludf.DUMMYFUNCTION("""COMPUTED_VALUE"""),"Cabernet Sauvignon")</f>
        <v>Cabernet Sauvignon</v>
      </c>
      <c r="G2" s="20" t="str">
        <f>IFERROR(__xludf.DUMMYFUNCTION("""COMPUTED_VALUE"""),"USA ")</f>
        <v>USA </v>
      </c>
      <c r="H2" s="20" t="str">
        <f>IFERROR(__xludf.DUMMYFUNCTION("""COMPUTED_VALUE"""),"CA")</f>
        <v>CA</v>
      </c>
      <c r="I2" s="20" t="str">
        <f>IFERROR(__xludf.DUMMYFUNCTION("""COMPUTED_VALUE"""),"North Coast ")</f>
        <v>North Coast </v>
      </c>
      <c r="J2" s="20" t="str">
        <f>IFERROR(__xludf.DUMMYFUNCTION("""COMPUTED_VALUE"""),"Mendocino County")</f>
        <v>Mendocino County</v>
      </c>
      <c r="K2" s="20" t="str">
        <f>IFERROR(__xludf.DUMMYFUNCTION("""COMPUTED_VALUE"""),"Ukiah Valley")</f>
        <v>Ukiah Valley</v>
      </c>
      <c r="L2" s="20"/>
      <c r="M2" s="75">
        <f>IFERROR(__xludf.DUMMYFUNCTION("""COMPUTED_VALUE"""),90.0)</f>
        <v>90</v>
      </c>
      <c r="N2" s="20">
        <f>IFERROR(__xludf.DUMMYFUNCTION("""COMPUTED_VALUE"""),1500.0)</f>
        <v>1500</v>
      </c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0" t="str">
        <f>IFERROR(__xludf.DUMMYFUNCTION("""COMPUTED_VALUE"""),"Red")</f>
        <v>Red</v>
      </c>
      <c r="B3" s="20">
        <f>IFERROR(__xludf.DUMMYFUNCTION("""COMPUTED_VALUE"""),1.0)</f>
        <v>1</v>
      </c>
      <c r="C3" s="20">
        <f>IFERROR(__xludf.DUMMYFUNCTION("""COMPUTED_VALUE"""),2017.0)</f>
        <v>2017</v>
      </c>
      <c r="D3" s="20" t="str">
        <f>IFERROR(__xludf.DUMMYFUNCTION("""COMPUTED_VALUE"""),"Vina Robles ")</f>
        <v>Vina Robles </v>
      </c>
      <c r="E3" s="20" t="str">
        <f>IFERROR(__xludf.DUMMYFUNCTION("""COMPUTED_VALUE"""),"Cabernet Sauvignon")</f>
        <v>Cabernet Sauvignon</v>
      </c>
      <c r="F3" s="20" t="str">
        <f>IFERROR(__xludf.DUMMYFUNCTION("""COMPUTED_VALUE"""),"Cabernet Sauvignon")</f>
        <v>Cabernet Sauvignon</v>
      </c>
      <c r="G3" s="20" t="str">
        <f>IFERROR(__xludf.DUMMYFUNCTION("""COMPUTED_VALUE"""),"USA ")</f>
        <v>USA </v>
      </c>
      <c r="H3" s="20" t="str">
        <f>IFERROR(__xludf.DUMMYFUNCTION("""COMPUTED_VALUE"""),"CA")</f>
        <v>CA</v>
      </c>
      <c r="I3" s="20" t="str">
        <f>IFERROR(__xludf.DUMMYFUNCTION("""COMPUTED_VALUE"""),"Central Coast ")</f>
        <v>Central Coast </v>
      </c>
      <c r="J3" s="20" t="str">
        <f>IFERROR(__xludf.DUMMYFUNCTION("""COMPUTED_VALUE"""),"Paso Robles ")</f>
        <v>Paso Robles </v>
      </c>
      <c r="K3" s="20"/>
      <c r="L3" s="20"/>
      <c r="M3" s="75">
        <f>IFERROR(__xludf.DUMMYFUNCTION("""COMPUTED_VALUE"""),300.0)</f>
        <v>300</v>
      </c>
      <c r="N3" s="20">
        <f>IFERROR(__xludf.DUMMYFUNCTION("""COMPUTED_VALUE"""),3000.0)</f>
        <v>3000</v>
      </c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0" t="str">
        <f>IFERROR(__xludf.DUMMYFUNCTION("""COMPUTED_VALUE"""),"Red")</f>
        <v>Red</v>
      </c>
      <c r="B4" s="20">
        <f>IFERROR(__xludf.DUMMYFUNCTION("""COMPUTED_VALUE"""),1.0)</f>
        <v>1</v>
      </c>
      <c r="C4" s="20">
        <f>IFERROR(__xludf.DUMMYFUNCTION("""COMPUTED_VALUE"""),2017.0)</f>
        <v>2017</v>
      </c>
      <c r="D4" s="20" t="str">
        <f>IFERROR(__xludf.DUMMYFUNCTION("""COMPUTED_VALUE"""),"Canvasback")</f>
        <v>Canvasback</v>
      </c>
      <c r="E4" s="20" t="str">
        <f>IFERROR(__xludf.DUMMYFUNCTION("""COMPUTED_VALUE"""),"Cabernet Sauvignon")</f>
        <v>Cabernet Sauvignon</v>
      </c>
      <c r="F4" s="20" t="str">
        <f>IFERROR(__xludf.DUMMYFUNCTION("""COMPUTED_VALUE"""),"Cabernet Sauvignon")</f>
        <v>Cabernet Sauvignon</v>
      </c>
      <c r="G4" s="20" t="str">
        <f>IFERROR(__xludf.DUMMYFUNCTION("""COMPUTED_VALUE"""),"USA")</f>
        <v>USA</v>
      </c>
      <c r="H4" s="20" t="str">
        <f>IFERROR(__xludf.DUMMYFUNCTION("""COMPUTED_VALUE"""),"WA")</f>
        <v>WA</v>
      </c>
      <c r="I4" s="20" t="str">
        <f>IFERROR(__xludf.DUMMYFUNCTION("""COMPUTED_VALUE"""),"Columbia Valley ")</f>
        <v>Columbia Valley </v>
      </c>
      <c r="J4" s="20" t="str">
        <f>IFERROR(__xludf.DUMMYFUNCTION("""COMPUTED_VALUE"""),"Red Mountain ")</f>
        <v>Red Mountain </v>
      </c>
      <c r="K4" s="20"/>
      <c r="L4" s="20"/>
      <c r="M4" s="75">
        <f>IFERROR(__xludf.DUMMYFUNCTION("""COMPUTED_VALUE"""),42.0)</f>
        <v>42</v>
      </c>
      <c r="N4" s="20">
        <f>IFERROR(__xludf.DUMMYFUNCTION("""COMPUTED_VALUE"""),750.0)</f>
        <v>750</v>
      </c>
      <c r="O4" s="20" t="str">
        <f>IFERROR(__xludf.DUMMYFUNCTION("""COMPUTED_VALUE"""),"Office")</f>
        <v>Office</v>
      </c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0" t="str">
        <f>IFERROR(__xludf.DUMMYFUNCTION("""COMPUTED_VALUE"""),"Red")</f>
        <v>Red</v>
      </c>
      <c r="B5" s="20">
        <f>IFERROR(__xludf.DUMMYFUNCTION("""COMPUTED_VALUE"""),1.0)</f>
        <v>1</v>
      </c>
      <c r="C5" s="20">
        <f>IFERROR(__xludf.DUMMYFUNCTION("""COMPUTED_VALUE"""),2018.0)</f>
        <v>2018</v>
      </c>
      <c r="D5" s="20" t="str">
        <f>IFERROR(__xludf.DUMMYFUNCTION("""COMPUTED_VALUE"""),"Austin Hope")</f>
        <v>Austin Hope</v>
      </c>
      <c r="E5" s="20" t="str">
        <f>IFERROR(__xludf.DUMMYFUNCTION("""COMPUTED_VALUE"""),"Cabernet Sauvignon")</f>
        <v>Cabernet Sauvignon</v>
      </c>
      <c r="F5" s="20" t="str">
        <f>IFERROR(__xludf.DUMMYFUNCTION("""COMPUTED_VALUE"""),"Cabernet Sauvignon")</f>
        <v>Cabernet Sauvignon</v>
      </c>
      <c r="G5" s="20" t="str">
        <f>IFERROR(__xludf.DUMMYFUNCTION("""COMPUTED_VALUE"""),"USA ")</f>
        <v>USA </v>
      </c>
      <c r="H5" s="20" t="str">
        <f>IFERROR(__xludf.DUMMYFUNCTION("""COMPUTED_VALUE"""),"CA")</f>
        <v>CA</v>
      </c>
      <c r="I5" s="20" t="str">
        <f>IFERROR(__xludf.DUMMYFUNCTION("""COMPUTED_VALUE"""),"Central Coast ")</f>
        <v>Central Coast </v>
      </c>
      <c r="J5" s="20" t="str">
        <f>IFERROR(__xludf.DUMMYFUNCTION("""COMPUTED_VALUE"""),"Paso Robles ")</f>
        <v>Paso Robles </v>
      </c>
      <c r="K5" s="20"/>
      <c r="L5" s="20"/>
      <c r="M5" s="75">
        <f>IFERROR(__xludf.DUMMYFUNCTION("""COMPUTED_VALUE"""),132.0)</f>
        <v>132</v>
      </c>
      <c r="N5" s="20">
        <f>IFERROR(__xludf.DUMMYFUNCTION("""COMPUTED_VALUE"""),1500.0)</f>
        <v>1500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0" t="str">
        <f>IFERROR(__xludf.DUMMYFUNCTION("""COMPUTED_VALUE"""),"Red")</f>
        <v>Red</v>
      </c>
      <c r="B6" s="20">
        <f>IFERROR(__xludf.DUMMYFUNCTION("""COMPUTED_VALUE"""),1.0)</f>
        <v>1</v>
      </c>
      <c r="C6" s="20">
        <f>IFERROR(__xludf.DUMMYFUNCTION("""COMPUTED_VALUE"""),2016.0)</f>
        <v>2016</v>
      </c>
      <c r="D6" s="20" t="str">
        <f>IFERROR(__xludf.DUMMYFUNCTION("""COMPUTED_VALUE"""),"Mount Veeder Winery")</f>
        <v>Mount Veeder Winery</v>
      </c>
      <c r="E6" s="20" t="str">
        <f>IFERROR(__xludf.DUMMYFUNCTION("""COMPUTED_VALUE"""),"Cabernet Sauvignon")</f>
        <v>Cabernet Sauvignon</v>
      </c>
      <c r="F6" s="20" t="str">
        <f>IFERROR(__xludf.DUMMYFUNCTION("""COMPUTED_VALUE"""),"Cabernet Sauvignon")</f>
        <v>Cabernet Sauvignon</v>
      </c>
      <c r="G6" s="20" t="str">
        <f>IFERROR(__xludf.DUMMYFUNCTION("""COMPUTED_VALUE"""),"USA ")</f>
        <v>USA </v>
      </c>
      <c r="H6" s="20" t="str">
        <f>IFERROR(__xludf.DUMMYFUNCTION("""COMPUTED_VALUE"""),"CA")</f>
        <v>CA</v>
      </c>
      <c r="I6" s="20" t="str">
        <f>IFERROR(__xludf.DUMMYFUNCTION("""COMPUTED_VALUE"""),"North Coast")</f>
        <v>North Coast</v>
      </c>
      <c r="J6" s="20" t="str">
        <f>IFERROR(__xludf.DUMMYFUNCTION("""COMPUTED_VALUE"""),"Napa Valley")</f>
        <v>Napa Valley</v>
      </c>
      <c r="K6" s="20"/>
      <c r="L6" s="20"/>
      <c r="M6" s="75">
        <f>IFERROR(__xludf.DUMMYFUNCTION("""COMPUTED_VALUE"""),90.0)</f>
        <v>90</v>
      </c>
      <c r="N6" s="20">
        <f>IFERROR(__xludf.DUMMYFUNCTION("""COMPUTED_VALUE"""),1500.0)</f>
        <v>1500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0" t="str">
        <f>IFERROR(__xludf.DUMMYFUNCTION("""COMPUTED_VALUE"""),"Red")</f>
        <v>Red</v>
      </c>
      <c r="B7" s="20">
        <f>IFERROR(__xludf.DUMMYFUNCTION("""COMPUTED_VALUE"""),1.0)</f>
        <v>1</v>
      </c>
      <c r="C7" s="20">
        <f>IFERROR(__xludf.DUMMYFUNCTION("""COMPUTED_VALUE"""),2018.0)</f>
        <v>2018</v>
      </c>
      <c r="D7" s="20" t="str">
        <f>IFERROR(__xludf.DUMMYFUNCTION("""COMPUTED_VALUE"""),"Joseph Phelps Vineyards")</f>
        <v>Joseph Phelps Vineyards</v>
      </c>
      <c r="E7" s="20" t="str">
        <f>IFERROR(__xludf.DUMMYFUNCTION("""COMPUTED_VALUE"""),"Cabernet Sauvignon")</f>
        <v>Cabernet Sauvignon</v>
      </c>
      <c r="F7" s="20" t="str">
        <f>IFERROR(__xludf.DUMMYFUNCTION("""COMPUTED_VALUE"""),"Cabernet Sauvignon")</f>
        <v>Cabernet Sauvignon</v>
      </c>
      <c r="G7" s="20" t="str">
        <f>IFERROR(__xludf.DUMMYFUNCTION("""COMPUTED_VALUE"""),"USA ")</f>
        <v>USA </v>
      </c>
      <c r="H7" s="20" t="str">
        <f>IFERROR(__xludf.DUMMYFUNCTION("""COMPUTED_VALUE"""),"CA")</f>
        <v>CA</v>
      </c>
      <c r="I7" s="20" t="str">
        <f>IFERROR(__xludf.DUMMYFUNCTION("""COMPUTED_VALUE"""),"North Coast ")</f>
        <v>North Coast </v>
      </c>
      <c r="J7" s="20" t="str">
        <f>IFERROR(__xludf.DUMMYFUNCTION("""COMPUTED_VALUE"""),"Napa Valley ")</f>
        <v>Napa Valley </v>
      </c>
      <c r="K7" s="20"/>
      <c r="L7" s="20"/>
      <c r="M7" s="75">
        <f>IFERROR(__xludf.DUMMYFUNCTION("""COMPUTED_VALUE"""),170.0)</f>
        <v>170</v>
      </c>
      <c r="N7" s="20">
        <f>IFERROR(__xludf.DUMMYFUNCTION("""COMPUTED_VALUE"""),1500.0)</f>
        <v>1500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0" t="str">
        <f>IFERROR(__xludf.DUMMYFUNCTION("""COMPUTED_VALUE"""),"Red")</f>
        <v>Red</v>
      </c>
      <c r="B8" s="20">
        <f>IFERROR(__xludf.DUMMYFUNCTION("""COMPUTED_VALUE"""),1.0)</f>
        <v>1</v>
      </c>
      <c r="C8" s="20">
        <f>IFERROR(__xludf.DUMMYFUNCTION("""COMPUTED_VALUE"""),2017.0)</f>
        <v>2017</v>
      </c>
      <c r="D8" s="20" t="str">
        <f>IFERROR(__xludf.DUMMYFUNCTION("""COMPUTED_VALUE"""),"Vina Robles ")</f>
        <v>Vina Robles </v>
      </c>
      <c r="E8" s="20" t="str">
        <f>IFERROR(__xludf.DUMMYFUNCTION("""COMPUTED_VALUE"""),"Cabernet Sauvignon")</f>
        <v>Cabernet Sauvignon</v>
      </c>
      <c r="F8" s="20" t="str">
        <f>IFERROR(__xludf.DUMMYFUNCTION("""COMPUTED_VALUE"""),"Cabernet Sauvignon")</f>
        <v>Cabernet Sauvignon</v>
      </c>
      <c r="G8" s="20" t="str">
        <f>IFERROR(__xludf.DUMMYFUNCTION("""COMPUTED_VALUE"""),"USA ")</f>
        <v>USA </v>
      </c>
      <c r="H8" s="20" t="str">
        <f>IFERROR(__xludf.DUMMYFUNCTION("""COMPUTED_VALUE"""),"CA")</f>
        <v>CA</v>
      </c>
      <c r="I8" s="20" t="str">
        <f>IFERROR(__xludf.DUMMYFUNCTION("""COMPUTED_VALUE"""),"Central Coast ")</f>
        <v>Central Coast </v>
      </c>
      <c r="J8" s="20" t="str">
        <f>IFERROR(__xludf.DUMMYFUNCTION("""COMPUTED_VALUE"""),"Paso Robles ")</f>
        <v>Paso Robles </v>
      </c>
      <c r="K8" s="20"/>
      <c r="L8" s="20"/>
      <c r="M8" s="75">
        <f>IFERROR(__xludf.DUMMYFUNCTION("""COMPUTED_VALUE"""),56.0)</f>
        <v>56</v>
      </c>
      <c r="N8" s="20">
        <f>IFERROR(__xludf.DUMMYFUNCTION("""COMPUTED_VALUE"""),1500.0)</f>
        <v>1500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0" t="str">
        <f>IFERROR(__xludf.DUMMYFUNCTION("""COMPUTED_VALUE"""),"Red")</f>
        <v>Red</v>
      </c>
      <c r="B9" s="20">
        <f>IFERROR(__xludf.DUMMYFUNCTION("""COMPUTED_VALUE"""),1.0)</f>
        <v>1</v>
      </c>
      <c r="C9" s="20">
        <f>IFERROR(__xludf.DUMMYFUNCTION("""COMPUTED_VALUE"""),2017.0)</f>
        <v>2017</v>
      </c>
      <c r="D9" s="20" t="str">
        <f>IFERROR(__xludf.DUMMYFUNCTION("""COMPUTED_VALUE"""),"Vina Robles ")</f>
        <v>Vina Robles </v>
      </c>
      <c r="E9" s="20" t="str">
        <f>IFERROR(__xludf.DUMMYFUNCTION("""COMPUTED_VALUE"""),"Cabernet Sauvignon")</f>
        <v>Cabernet Sauvignon</v>
      </c>
      <c r="F9" s="20" t="str">
        <f>IFERROR(__xludf.DUMMYFUNCTION("""COMPUTED_VALUE"""),"Cabernet Sauvignon")</f>
        <v>Cabernet Sauvignon</v>
      </c>
      <c r="G9" s="20" t="str">
        <f>IFERROR(__xludf.DUMMYFUNCTION("""COMPUTED_VALUE"""),"USA ")</f>
        <v>USA </v>
      </c>
      <c r="H9" s="20" t="str">
        <f>IFERROR(__xludf.DUMMYFUNCTION("""COMPUTED_VALUE"""),"CA")</f>
        <v>CA</v>
      </c>
      <c r="I9" s="20" t="str">
        <f>IFERROR(__xludf.DUMMYFUNCTION("""COMPUTED_VALUE"""),"Central Coast ")</f>
        <v>Central Coast </v>
      </c>
      <c r="J9" s="20" t="str">
        <f>IFERROR(__xludf.DUMMYFUNCTION("""COMPUTED_VALUE"""),"Paso Robles ")</f>
        <v>Paso Robles </v>
      </c>
      <c r="K9" s="20"/>
      <c r="L9" s="20"/>
      <c r="M9" s="75">
        <f>IFERROR(__xludf.DUMMYFUNCTION("""COMPUTED_VALUE"""),26.0)</f>
        <v>26</v>
      </c>
      <c r="N9" s="20">
        <f>IFERROR(__xludf.DUMMYFUNCTION("""COMPUTED_VALUE"""),750.0)</f>
        <v>750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0" t="str">
        <f>IFERROR(__xludf.DUMMYFUNCTION("""COMPUTED_VALUE"""),"Red")</f>
        <v>Red</v>
      </c>
      <c r="B10" s="20">
        <f>IFERROR(__xludf.DUMMYFUNCTION("""COMPUTED_VALUE"""),1.0)</f>
        <v>1</v>
      </c>
      <c r="C10" s="20">
        <f>IFERROR(__xludf.DUMMYFUNCTION("""COMPUTED_VALUE"""),2018.0)</f>
        <v>2018</v>
      </c>
      <c r="D10" s="20" t="str">
        <f>IFERROR(__xludf.DUMMYFUNCTION("""COMPUTED_VALUE"""),"Spiral Cellars")</f>
        <v>Spiral Cellars</v>
      </c>
      <c r="E10" s="20" t="str">
        <f>IFERROR(__xludf.DUMMYFUNCTION("""COMPUTED_VALUE"""),"Cabernet Sauvignon")</f>
        <v>Cabernet Sauvignon</v>
      </c>
      <c r="F10" s="20" t="str">
        <f>IFERROR(__xludf.DUMMYFUNCTION("""COMPUTED_VALUE"""),"Cabernet Sauvignon")</f>
        <v>Cabernet Sauvignon</v>
      </c>
      <c r="G10" s="20" t="str">
        <f>IFERROR(__xludf.DUMMYFUNCTION("""COMPUTED_VALUE"""),"USA ")</f>
        <v>USA </v>
      </c>
      <c r="H10" s="20" t="str">
        <f>IFERROR(__xludf.DUMMYFUNCTION("""COMPUTED_VALUE"""),"CA")</f>
        <v>CA</v>
      </c>
      <c r="I10" s="20" t="str">
        <f>IFERROR(__xludf.DUMMYFUNCTION("""COMPUTED_VALUE"""),"North Coast")</f>
        <v>North Coast</v>
      </c>
      <c r="J10" s="20"/>
      <c r="K10" s="20"/>
      <c r="L10" s="20"/>
      <c r="M10" s="75">
        <f>IFERROR(__xludf.DUMMYFUNCTION("""COMPUTED_VALUE"""),15.0)</f>
        <v>15</v>
      </c>
      <c r="N10" s="20">
        <f>IFERROR(__xludf.DUMMYFUNCTION("""COMPUTED_VALUE"""),750.0)</f>
        <v>750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 t="str">
        <f>IFERROR(__xludf.DUMMYFUNCTION("""COMPUTED_VALUE"""),"Red")</f>
        <v>Red</v>
      </c>
      <c r="B11" s="20">
        <f>IFERROR(__xludf.DUMMYFUNCTION("""COMPUTED_VALUE"""),2.0)</f>
        <v>2</v>
      </c>
      <c r="C11" s="20">
        <f>IFERROR(__xludf.DUMMYFUNCTION("""COMPUTED_VALUE"""),2018.0)</f>
        <v>2018</v>
      </c>
      <c r="D11" s="20" t="str">
        <f>IFERROR(__xludf.DUMMYFUNCTION("""COMPUTED_VALUE"""),"Liberty School ")</f>
        <v>Liberty School </v>
      </c>
      <c r="E11" s="20" t="str">
        <f>IFERROR(__xludf.DUMMYFUNCTION("""COMPUTED_VALUE"""),"Cabernet Sauvignon")</f>
        <v>Cabernet Sauvignon</v>
      </c>
      <c r="F11" s="20" t="str">
        <f>IFERROR(__xludf.DUMMYFUNCTION("""COMPUTED_VALUE"""),"Cabernet Sauvignon")</f>
        <v>Cabernet Sauvignon</v>
      </c>
      <c r="G11" s="20" t="str">
        <f>IFERROR(__xludf.DUMMYFUNCTION("""COMPUTED_VALUE"""),"USA ")</f>
        <v>USA </v>
      </c>
      <c r="H11" s="20" t="str">
        <f>IFERROR(__xludf.DUMMYFUNCTION("""COMPUTED_VALUE"""),"CA")</f>
        <v>CA</v>
      </c>
      <c r="I11" s="20" t="str">
        <f>IFERROR(__xludf.DUMMYFUNCTION("""COMPUTED_VALUE"""),"Central Coast")</f>
        <v>Central Coast</v>
      </c>
      <c r="J11" s="20"/>
      <c r="K11" s="20"/>
      <c r="L11" s="20"/>
      <c r="M11" s="75">
        <f>IFERROR(__xludf.DUMMYFUNCTION("""COMPUTED_VALUE"""),16.0)</f>
        <v>16</v>
      </c>
      <c r="N11" s="20">
        <f>IFERROR(__xludf.DUMMYFUNCTION("""COMPUTED_VALUE"""),750.0)</f>
        <v>750</v>
      </c>
      <c r="O11" s="20"/>
      <c r="P11" s="20">
        <f>IFERROR(__xludf.DUMMYFUNCTION("""COMPUTED_VALUE"""),19.0)</f>
        <v>19</v>
      </c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 t="str">
        <f>IFERROR(__xludf.DUMMYFUNCTION("""COMPUTED_VALUE"""),"Red")</f>
        <v>Red</v>
      </c>
      <c r="B12" s="20">
        <f>IFERROR(__xludf.DUMMYFUNCTION("""COMPUTED_VALUE"""),1.0)</f>
        <v>1</v>
      </c>
      <c r="C12" s="20">
        <f>IFERROR(__xludf.DUMMYFUNCTION("""COMPUTED_VALUE"""),2018.0)</f>
        <v>2018</v>
      </c>
      <c r="D12" s="20" t="str">
        <f>IFERROR(__xludf.DUMMYFUNCTION("""COMPUTED_VALUE"""),"Soda Rock")</f>
        <v>Soda Rock</v>
      </c>
      <c r="E12" s="20" t="str">
        <f>IFERROR(__xludf.DUMMYFUNCTION("""COMPUTED_VALUE"""),"Cabernet Sauvignon")</f>
        <v>Cabernet Sauvignon</v>
      </c>
      <c r="F12" s="20" t="str">
        <f>IFERROR(__xludf.DUMMYFUNCTION("""COMPUTED_VALUE"""),"Cabernet Sauvignon")</f>
        <v>Cabernet Sauvignon</v>
      </c>
      <c r="G12" s="20" t="str">
        <f>IFERROR(__xludf.DUMMYFUNCTION("""COMPUTED_VALUE"""),"USA ")</f>
        <v>USA </v>
      </c>
      <c r="H12" s="20" t="str">
        <f>IFERROR(__xludf.DUMMYFUNCTION("""COMPUTED_VALUE"""),"CA ")</f>
        <v>CA </v>
      </c>
      <c r="I12" s="20" t="str">
        <f>IFERROR(__xludf.DUMMYFUNCTION("""COMPUTED_VALUE"""),"North Coast")</f>
        <v>North Coast</v>
      </c>
      <c r="J12" s="20" t="str">
        <f>IFERROR(__xludf.DUMMYFUNCTION("""COMPUTED_VALUE"""),"Sonoma County")</f>
        <v>Sonoma County</v>
      </c>
      <c r="K12" s="20" t="str">
        <f>IFERROR(__xludf.DUMMYFUNCTION("""COMPUTED_VALUE"""),"Alexander Valley")</f>
        <v>Alexander Valley</v>
      </c>
      <c r="L12" s="20"/>
      <c r="M12" s="75">
        <f>IFERROR(__xludf.DUMMYFUNCTION("""COMPUTED_VALUE"""),45.0)</f>
        <v>45</v>
      </c>
      <c r="N12" s="20">
        <f>IFERROR(__xludf.DUMMYFUNCTION("""COMPUTED_VALUE"""),750.0)</f>
        <v>750</v>
      </c>
      <c r="O12" s="20" t="str">
        <f>IFERROR(__xludf.DUMMYFUNCTION("""COMPUTED_VALUE"""),"Office")</f>
        <v>Office</v>
      </c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0" t="str">
        <f>IFERROR(__xludf.DUMMYFUNCTION("""COMPUTED_VALUE"""),"Red")</f>
        <v>Red</v>
      </c>
      <c r="B13" s="20">
        <f>IFERROR(__xludf.DUMMYFUNCTION("""COMPUTED_VALUE"""),8.0)</f>
        <v>8</v>
      </c>
      <c r="C13" s="20">
        <f>IFERROR(__xludf.DUMMYFUNCTION("""COMPUTED_VALUE"""),2018.0)</f>
        <v>2018</v>
      </c>
      <c r="D13" s="20" t="str">
        <f>IFERROR(__xludf.DUMMYFUNCTION("""COMPUTED_VALUE"""),"Robert Mondavi Winery ")</f>
        <v>Robert Mondavi Winery </v>
      </c>
      <c r="E13" s="20" t="str">
        <f>IFERROR(__xludf.DUMMYFUNCTION("""COMPUTED_VALUE"""),"Cabernet Sauvignon")</f>
        <v>Cabernet Sauvignon</v>
      </c>
      <c r="F13" s="20" t="str">
        <f>IFERROR(__xludf.DUMMYFUNCTION("""COMPUTED_VALUE"""),"Cabernet Sauvignon")</f>
        <v>Cabernet Sauvignon</v>
      </c>
      <c r="G13" s="20" t="str">
        <f>IFERROR(__xludf.DUMMYFUNCTION("""COMPUTED_VALUE"""),"USA ")</f>
        <v>USA </v>
      </c>
      <c r="H13" s="20" t="str">
        <f>IFERROR(__xludf.DUMMYFUNCTION("""COMPUTED_VALUE"""),"CA")</f>
        <v>CA</v>
      </c>
      <c r="I13" s="20" t="str">
        <f>IFERROR(__xludf.DUMMYFUNCTION("""COMPUTED_VALUE"""),"North Coast")</f>
        <v>North Coast</v>
      </c>
      <c r="J13" s="20" t="str">
        <f>IFERROR(__xludf.DUMMYFUNCTION("""COMPUTED_VALUE"""),"Napa Valley")</f>
        <v>Napa Valley</v>
      </c>
      <c r="K13" s="20"/>
      <c r="L13" s="20"/>
      <c r="M13" s="75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25"/>
    <col customWidth="1" min="5" max="5" width="21.0"/>
    <col customWidth="1" min="9" max="9" width="20.0"/>
  </cols>
  <sheetData>
    <row r="1">
      <c r="A1" s="76" t="str">
        <f>IFERROR(__xludf.DUMMYFUNCTION("QUERY('Master Old'!B1:R1000,""select * where F='Pinot Noir' or F='Pinot Noir'"",1)"),"Category")</f>
        <v>Category</v>
      </c>
      <c r="B1" s="76" t="str">
        <f>IFERROR(__xludf.DUMMYFUNCTION("""COMPUTED_VALUE"""),"Qty")</f>
        <v>Qty</v>
      </c>
      <c r="C1" s="76" t="str">
        <f>IFERROR(__xludf.DUMMYFUNCTION("""COMPUTED_VALUE"""),"Vintage ")</f>
        <v>Vintage </v>
      </c>
      <c r="D1" s="76" t="str">
        <f>IFERROR(__xludf.DUMMYFUNCTION("""COMPUTED_VALUE"""),"Winery ")</f>
        <v>Winery </v>
      </c>
      <c r="E1" s="76" t="str">
        <f>IFERROR(__xludf.DUMMYFUNCTION("""COMPUTED_VALUE"""),"Wine ")</f>
        <v>Wine </v>
      </c>
      <c r="F1" s="76" t="str">
        <f>IFERROR(__xludf.DUMMYFUNCTION("""COMPUTED_VALUE"""),"Varietal(s)")</f>
        <v>Varietal(s)</v>
      </c>
      <c r="G1" s="76" t="str">
        <f>IFERROR(__xludf.DUMMYFUNCTION("""COMPUTED_VALUE"""),"Country ")</f>
        <v>Country </v>
      </c>
      <c r="H1" s="76" t="str">
        <f>IFERROR(__xludf.DUMMYFUNCTION("""COMPUTED_VALUE"""),"State ")</f>
        <v>State </v>
      </c>
      <c r="I1" s="76" t="str">
        <f>IFERROR(__xludf.DUMMYFUNCTION("""COMPUTED_VALUE"""),"Region ")</f>
        <v>Region </v>
      </c>
      <c r="J1" s="76" t="str">
        <f>IFERROR(__xludf.DUMMYFUNCTION("""COMPUTED_VALUE"""),"Appelation")</f>
        <v>Appelation</v>
      </c>
      <c r="K1" s="76" t="str">
        <f>IFERROR(__xludf.DUMMYFUNCTION("""COMPUTED_VALUE"""),"Sub AVA")</f>
        <v>Sub AVA</v>
      </c>
      <c r="L1" s="76" t="str">
        <f>IFERROR(__xludf.DUMMYFUNCTION("""COMPUTED_VALUE""")," ")</f>
        <v> </v>
      </c>
      <c r="M1" s="76" t="str">
        <f>IFERROR(__xludf.DUMMYFUNCTION("""COMPUTED_VALUE"""),"Retail Price ")</f>
        <v>Retail Price </v>
      </c>
      <c r="N1" s="76" t="str">
        <f>IFERROR(__xludf.DUMMYFUNCTION("""COMPUTED_VALUE"""),"Volume")</f>
        <v>Volume</v>
      </c>
      <c r="O1" s="76" t="str">
        <f>IFERROR(__xludf.DUMMYFUNCTION("""COMPUTED_VALUE"""),"Fridge")</f>
        <v>Fridge</v>
      </c>
      <c r="P1" s="76" t="str">
        <f>IFERROR(__xludf.DUMMYFUNCTION("""COMPUTED_VALUE"""),"Box #")</f>
        <v>Box #</v>
      </c>
      <c r="Q1" s="76" t="str">
        <f>IFERROR(__xludf.DUMMYFUNCTION("""COMPUTED_VALUE"""),"Notes")</f>
        <v>Notes</v>
      </c>
      <c r="R1" s="76"/>
      <c r="S1" s="76"/>
      <c r="T1" s="76"/>
      <c r="U1" s="76"/>
      <c r="V1" s="76"/>
      <c r="W1" s="76"/>
      <c r="X1" s="76"/>
      <c r="Y1" s="76"/>
      <c r="Z1" s="76"/>
    </row>
    <row r="2">
      <c r="A2" s="77" t="str">
        <f>IFERROR(__xludf.DUMMYFUNCTION("""COMPUTED_VALUE"""),"Red")</f>
        <v>Red</v>
      </c>
      <c r="B2" s="77">
        <f>IFERROR(__xludf.DUMMYFUNCTION("""COMPUTED_VALUE"""),1.0)</f>
        <v>1</v>
      </c>
      <c r="C2" s="77">
        <f>IFERROR(__xludf.DUMMYFUNCTION("""COMPUTED_VALUE"""),2017.0)</f>
        <v>2017</v>
      </c>
      <c r="D2" s="77" t="str">
        <f>IFERROR(__xludf.DUMMYFUNCTION("""COMPUTED_VALUE"""),"Domaine Anderson")</f>
        <v>Domaine Anderson</v>
      </c>
      <c r="E2" s="77" t="str">
        <f>IFERROR(__xludf.DUMMYFUNCTION("""COMPUTED_VALUE"""),"Pinot Noir")</f>
        <v>Pinot Noir</v>
      </c>
      <c r="F2" s="77" t="str">
        <f>IFERROR(__xludf.DUMMYFUNCTION("""COMPUTED_VALUE"""),"Pinot Noir")</f>
        <v>Pinot Noir</v>
      </c>
      <c r="G2" s="77" t="str">
        <f>IFERROR(__xludf.DUMMYFUNCTION("""COMPUTED_VALUE"""),"USA")</f>
        <v>USA</v>
      </c>
      <c r="H2" s="77" t="str">
        <f>IFERROR(__xludf.DUMMYFUNCTION("""COMPUTED_VALUE"""),"CA")</f>
        <v>CA</v>
      </c>
      <c r="I2" s="77" t="str">
        <f>IFERROR(__xludf.DUMMYFUNCTION("""COMPUTED_VALUE"""),"North Coast")</f>
        <v>North Coast</v>
      </c>
      <c r="J2" s="77" t="str">
        <f>IFERROR(__xludf.DUMMYFUNCTION("""COMPUTED_VALUE"""),"Mendocino County")</f>
        <v>Mendocino County</v>
      </c>
      <c r="K2" s="77" t="str">
        <f>IFERROR(__xludf.DUMMYFUNCTION("""COMPUTED_VALUE"""),"Anderson Valley")</f>
        <v>Anderson Valley</v>
      </c>
      <c r="L2" s="77"/>
      <c r="M2" s="78">
        <f>IFERROR(__xludf.DUMMYFUNCTION("""COMPUTED_VALUE"""),90.0)</f>
        <v>90</v>
      </c>
      <c r="N2" s="77">
        <f>IFERROR(__xludf.DUMMYFUNCTION("""COMPUTED_VALUE"""),1500.0)</f>
        <v>1500</v>
      </c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>
      <c r="A5" s="77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63"/>
    <col customWidth="1" min="4" max="4" width="21.25"/>
    <col customWidth="1" min="5" max="5" width="21.0"/>
    <col customWidth="1" min="6" max="6" width="17.88"/>
    <col customWidth="1" min="7" max="7" width="7.88"/>
    <col customWidth="1" min="8" max="8" width="6.38"/>
    <col customWidth="1" min="9" max="9" width="12.13"/>
  </cols>
  <sheetData>
    <row r="1">
      <c r="A1" s="76" t="str">
        <f>IFERROR(__xludf.DUMMYFUNCTION("QUERY('Master Old'!B1:R1000,""select * where F='Merlot' or F='Right Bank Blend'"",1)"),"Category")</f>
        <v>Category</v>
      </c>
      <c r="B1" s="76" t="str">
        <f>IFERROR(__xludf.DUMMYFUNCTION("""COMPUTED_VALUE"""),"Qty")</f>
        <v>Qty</v>
      </c>
      <c r="C1" s="76" t="str">
        <f>IFERROR(__xludf.DUMMYFUNCTION("""COMPUTED_VALUE"""),"Vintage ")</f>
        <v>Vintage </v>
      </c>
      <c r="D1" s="76" t="str">
        <f>IFERROR(__xludf.DUMMYFUNCTION("""COMPUTED_VALUE"""),"Winery ")</f>
        <v>Winery </v>
      </c>
      <c r="E1" s="76" t="str">
        <f>IFERROR(__xludf.DUMMYFUNCTION("""COMPUTED_VALUE"""),"Wine ")</f>
        <v>Wine </v>
      </c>
      <c r="F1" s="76" t="str">
        <f>IFERROR(__xludf.DUMMYFUNCTION("""COMPUTED_VALUE"""),"Varietal(s)")</f>
        <v>Varietal(s)</v>
      </c>
      <c r="G1" s="76" t="str">
        <f>IFERROR(__xludf.DUMMYFUNCTION("""COMPUTED_VALUE"""),"Country ")</f>
        <v>Country </v>
      </c>
      <c r="H1" s="76" t="str">
        <f>IFERROR(__xludf.DUMMYFUNCTION("""COMPUTED_VALUE"""),"State ")</f>
        <v>State </v>
      </c>
      <c r="I1" s="76" t="str">
        <f>IFERROR(__xludf.DUMMYFUNCTION("""COMPUTED_VALUE"""),"Region ")</f>
        <v>Region </v>
      </c>
      <c r="J1" s="76" t="str">
        <f>IFERROR(__xludf.DUMMYFUNCTION("""COMPUTED_VALUE"""),"Appelation")</f>
        <v>Appelation</v>
      </c>
      <c r="K1" s="76" t="str">
        <f>IFERROR(__xludf.DUMMYFUNCTION("""COMPUTED_VALUE"""),"Sub AVA")</f>
        <v>Sub AVA</v>
      </c>
      <c r="L1" s="76" t="str">
        <f>IFERROR(__xludf.DUMMYFUNCTION("""COMPUTED_VALUE""")," ")</f>
        <v> </v>
      </c>
      <c r="M1" s="76" t="str">
        <f>IFERROR(__xludf.DUMMYFUNCTION("""COMPUTED_VALUE"""),"Retail Price ")</f>
        <v>Retail Price </v>
      </c>
      <c r="N1" s="76" t="str">
        <f>IFERROR(__xludf.DUMMYFUNCTION("""COMPUTED_VALUE"""),"Volume")</f>
        <v>Volume</v>
      </c>
      <c r="O1" s="76" t="str">
        <f>IFERROR(__xludf.DUMMYFUNCTION("""COMPUTED_VALUE"""),"Fridge")</f>
        <v>Fridge</v>
      </c>
      <c r="P1" s="76" t="str">
        <f>IFERROR(__xludf.DUMMYFUNCTION("""COMPUTED_VALUE"""),"Box #")</f>
        <v>Box #</v>
      </c>
      <c r="Q1" s="76" t="str">
        <f>IFERROR(__xludf.DUMMYFUNCTION("""COMPUTED_VALUE"""),"Notes")</f>
        <v>Notes</v>
      </c>
      <c r="R1" s="76"/>
      <c r="S1" s="76"/>
      <c r="T1" s="76"/>
      <c r="U1" s="76"/>
      <c r="V1" s="76"/>
      <c r="W1" s="76"/>
      <c r="X1" s="76"/>
      <c r="Y1" s="76"/>
      <c r="Z1" s="76"/>
    </row>
    <row r="2">
      <c r="A2" s="77" t="str">
        <f>IFERROR(__xludf.DUMMYFUNCTION("""COMPUTED_VALUE"""),"Red")</f>
        <v>Red</v>
      </c>
      <c r="B2" s="77">
        <f>IFERROR(__xludf.DUMMYFUNCTION("""COMPUTED_VALUE"""),2.0)</f>
        <v>2</v>
      </c>
      <c r="C2" s="77">
        <f>IFERROR(__xludf.DUMMYFUNCTION("""COMPUTED_VALUE"""),2019.0)</f>
        <v>2019</v>
      </c>
      <c r="D2" s="77" t="str">
        <f>IFERROR(__xludf.DUMMYFUNCTION("""COMPUTED_VALUE"""),"Soda Rock")</f>
        <v>Soda Rock</v>
      </c>
      <c r="E2" s="77" t="str">
        <f>IFERROR(__xludf.DUMMYFUNCTION("""COMPUTED_VALUE"""),"Merlot")</f>
        <v>Merlot</v>
      </c>
      <c r="F2" s="77" t="str">
        <f>IFERROR(__xludf.DUMMYFUNCTION("""COMPUTED_VALUE"""),"Merlot")</f>
        <v>Merlot</v>
      </c>
      <c r="G2" s="77" t="str">
        <f>IFERROR(__xludf.DUMMYFUNCTION("""COMPUTED_VALUE"""),"USA")</f>
        <v>USA</v>
      </c>
      <c r="H2" s="77" t="str">
        <f>IFERROR(__xludf.DUMMYFUNCTION("""COMPUTED_VALUE"""),"CA ")</f>
        <v>CA </v>
      </c>
      <c r="I2" s="77" t="str">
        <f>IFERROR(__xludf.DUMMYFUNCTION("""COMPUTED_VALUE"""),"North Coast")</f>
        <v>North Coast</v>
      </c>
      <c r="J2" s="77" t="str">
        <f>IFERROR(__xludf.DUMMYFUNCTION("""COMPUTED_VALUE"""),"Sonoma County")</f>
        <v>Sonoma County</v>
      </c>
      <c r="K2" s="77" t="str">
        <f>IFERROR(__xludf.DUMMYFUNCTION("""COMPUTED_VALUE"""),"Dry Creek Valley")</f>
        <v>Dry Creek Valley</v>
      </c>
      <c r="L2" s="77" t="str">
        <f>IFERROR(__xludf.DUMMYFUNCTION("""COMPUTED_VALUE"""),"Warm Springs")</f>
        <v>Warm Springs</v>
      </c>
      <c r="M2" s="78">
        <f>IFERROR(__xludf.DUMMYFUNCTION("""COMPUTED_VALUE"""),30.0)</f>
        <v>30</v>
      </c>
      <c r="N2" s="77">
        <f>IFERROR(__xludf.DUMMYFUNCTION("""COMPUTED_VALUE"""),750.0)</f>
        <v>750</v>
      </c>
      <c r="O2" s="77" t="str">
        <f>IFERROR(__xludf.DUMMYFUNCTION("""COMPUTED_VALUE"""),"1 in Office")</f>
        <v>1 in Office</v>
      </c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>
      <c r="A3" s="77" t="str">
        <f>IFERROR(__xludf.DUMMYFUNCTION("""COMPUTED_VALUE"""),"Red")</f>
        <v>Red</v>
      </c>
      <c r="B3" s="77">
        <f>IFERROR(__xludf.DUMMYFUNCTION("""COMPUTED_VALUE"""),1.0)</f>
        <v>1</v>
      </c>
      <c r="C3" s="77">
        <f>IFERROR(__xludf.DUMMYFUNCTION("""COMPUTED_VALUE"""),2014.0)</f>
        <v>2014</v>
      </c>
      <c r="D3" s="77" t="str">
        <f>IFERROR(__xludf.DUMMYFUNCTION("""COMPUTED_VALUE"""),"Silverado Vineyards")</f>
        <v>Silverado Vineyards</v>
      </c>
      <c r="E3" s="77" t="str">
        <f>IFERROR(__xludf.DUMMYFUNCTION("""COMPUTED_VALUE"""),"Merlot")</f>
        <v>Merlot</v>
      </c>
      <c r="F3" s="77" t="str">
        <f>IFERROR(__xludf.DUMMYFUNCTION("""COMPUTED_VALUE"""),"Merlot")</f>
        <v>Merlot</v>
      </c>
      <c r="G3" s="77" t="str">
        <f>IFERROR(__xludf.DUMMYFUNCTION("""COMPUTED_VALUE"""),"USA ")</f>
        <v>USA </v>
      </c>
      <c r="H3" s="77" t="str">
        <f>IFERROR(__xludf.DUMMYFUNCTION("""COMPUTED_VALUE"""),"CA ")</f>
        <v>CA </v>
      </c>
      <c r="I3" s="77" t="str">
        <f>IFERROR(__xludf.DUMMYFUNCTION("""COMPUTED_VALUE"""),"North Coast")</f>
        <v>North Coast</v>
      </c>
      <c r="J3" s="77" t="str">
        <f>IFERROR(__xludf.DUMMYFUNCTION("""COMPUTED_VALUE"""),"Sonoma County")</f>
        <v>Sonoma County</v>
      </c>
      <c r="K3" s="77" t="str">
        <f>IFERROR(__xludf.DUMMYFUNCTION("""COMPUTED_VALUE"""),"Chalk Hill")</f>
        <v>Chalk Hill</v>
      </c>
      <c r="L3" s="77"/>
      <c r="M3" s="78">
        <f>IFERROR(__xludf.DUMMYFUNCTION("""COMPUTED_VALUE"""),40.0)</f>
        <v>40</v>
      </c>
      <c r="N3" s="77">
        <f>IFERROR(__xludf.DUMMYFUNCTION("""COMPUTED_VALUE"""),750.0)</f>
        <v>750</v>
      </c>
      <c r="O3" s="77"/>
      <c r="P3" s="77"/>
      <c r="Q3" s="77" t="str">
        <f>IFERROR(__xludf.DUMMYFUNCTION("""COMPUTED_VALUE"""),"Drink by 2025")</f>
        <v>Drink by 2025</v>
      </c>
      <c r="R3" s="77"/>
      <c r="S3" s="77"/>
      <c r="T3" s="77"/>
      <c r="U3" s="77"/>
      <c r="V3" s="77"/>
      <c r="W3" s="77"/>
      <c r="X3" s="77"/>
      <c r="Y3" s="77"/>
      <c r="Z3" s="77"/>
    </row>
    <row r="4">
      <c r="A4" s="77" t="str">
        <f>IFERROR(__xludf.DUMMYFUNCTION("""COMPUTED_VALUE"""),"Red")</f>
        <v>Red</v>
      </c>
      <c r="B4" s="77">
        <f>IFERROR(__xludf.DUMMYFUNCTION("""COMPUTED_VALUE"""),1.0)</f>
        <v>1</v>
      </c>
      <c r="C4" s="77">
        <f>IFERROR(__xludf.DUMMYFUNCTION("""COMPUTED_VALUE"""),2019.0)</f>
        <v>2019</v>
      </c>
      <c r="D4" s="77" t="str">
        <f>IFERROR(__xludf.DUMMYFUNCTION("""COMPUTED_VALUE"""),"Big Basin Vineyards ")</f>
        <v>Big Basin Vineyards </v>
      </c>
      <c r="E4" s="77" t="str">
        <f>IFERROR(__xludf.DUMMYFUNCTION("""COMPUTED_VALUE"""),"Merlot")</f>
        <v>Merlot</v>
      </c>
      <c r="F4" s="77" t="str">
        <f>IFERROR(__xludf.DUMMYFUNCTION("""COMPUTED_VALUE"""),"Merlot")</f>
        <v>Merlot</v>
      </c>
      <c r="G4" s="77" t="str">
        <f>IFERROR(__xludf.DUMMYFUNCTION("""COMPUTED_VALUE"""),"USA ")</f>
        <v>USA </v>
      </c>
      <c r="H4" s="77" t="str">
        <f>IFERROR(__xludf.DUMMYFUNCTION("""COMPUTED_VALUE"""),"CA ")</f>
        <v>CA </v>
      </c>
      <c r="I4" s="77" t="str">
        <f>IFERROR(__xludf.DUMMYFUNCTION("""COMPUTED_VALUE"""),"Central Coast")</f>
        <v>Central Coast</v>
      </c>
      <c r="J4" s="77" t="str">
        <f>IFERROR(__xludf.DUMMYFUNCTION("""COMPUTED_VALUE"""),"Gabilan Mountains")</f>
        <v>Gabilan Mountains</v>
      </c>
      <c r="K4" s="77" t="str">
        <f>IFERROR(__xludf.DUMMYFUNCTION("""COMPUTED_VALUE"""),"Coastview Vineyard")</f>
        <v>Coastview Vineyard</v>
      </c>
      <c r="L4" s="77"/>
      <c r="M4" s="78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>
      <c r="A5" s="77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25"/>
    <col customWidth="1" min="5" max="5" width="21.0"/>
    <col customWidth="1" min="9" max="9" width="20.0"/>
  </cols>
  <sheetData>
    <row r="1">
      <c r="A1" s="76" t="str">
        <f>IFERROR(__xludf.DUMMYFUNCTION("QUERY('Master Old'!B1:R1000,""select * where F='Zinfandel' or F='Zinfandel Blend'"",1)"),"Category")</f>
        <v>Category</v>
      </c>
      <c r="B1" s="76" t="str">
        <f>IFERROR(__xludf.DUMMYFUNCTION("""COMPUTED_VALUE"""),"Qty")</f>
        <v>Qty</v>
      </c>
      <c r="C1" s="76" t="str">
        <f>IFERROR(__xludf.DUMMYFUNCTION("""COMPUTED_VALUE"""),"Vintage ")</f>
        <v>Vintage </v>
      </c>
      <c r="D1" s="76" t="str">
        <f>IFERROR(__xludf.DUMMYFUNCTION("""COMPUTED_VALUE"""),"Winery ")</f>
        <v>Winery </v>
      </c>
      <c r="E1" s="76" t="str">
        <f>IFERROR(__xludf.DUMMYFUNCTION("""COMPUTED_VALUE"""),"Wine ")</f>
        <v>Wine </v>
      </c>
      <c r="F1" s="76" t="str">
        <f>IFERROR(__xludf.DUMMYFUNCTION("""COMPUTED_VALUE"""),"Varietal(s)")</f>
        <v>Varietal(s)</v>
      </c>
      <c r="G1" s="76" t="str">
        <f>IFERROR(__xludf.DUMMYFUNCTION("""COMPUTED_VALUE"""),"Country ")</f>
        <v>Country </v>
      </c>
      <c r="H1" s="76" t="str">
        <f>IFERROR(__xludf.DUMMYFUNCTION("""COMPUTED_VALUE"""),"State ")</f>
        <v>State </v>
      </c>
      <c r="I1" s="76" t="str">
        <f>IFERROR(__xludf.DUMMYFUNCTION("""COMPUTED_VALUE"""),"Region ")</f>
        <v>Region </v>
      </c>
      <c r="J1" s="76" t="str">
        <f>IFERROR(__xludf.DUMMYFUNCTION("""COMPUTED_VALUE"""),"Appelation")</f>
        <v>Appelation</v>
      </c>
      <c r="K1" s="76" t="str">
        <f>IFERROR(__xludf.DUMMYFUNCTION("""COMPUTED_VALUE"""),"Sub AVA")</f>
        <v>Sub AVA</v>
      </c>
      <c r="L1" s="76" t="str">
        <f>IFERROR(__xludf.DUMMYFUNCTION("""COMPUTED_VALUE""")," ")</f>
        <v> </v>
      </c>
      <c r="M1" s="76" t="str">
        <f>IFERROR(__xludf.DUMMYFUNCTION("""COMPUTED_VALUE"""),"Retail Price ")</f>
        <v>Retail Price </v>
      </c>
      <c r="N1" s="76" t="str">
        <f>IFERROR(__xludf.DUMMYFUNCTION("""COMPUTED_VALUE"""),"Volume")</f>
        <v>Volume</v>
      </c>
      <c r="O1" s="76" t="str">
        <f>IFERROR(__xludf.DUMMYFUNCTION("""COMPUTED_VALUE"""),"Fridge")</f>
        <v>Fridge</v>
      </c>
      <c r="P1" s="76" t="str">
        <f>IFERROR(__xludf.DUMMYFUNCTION("""COMPUTED_VALUE"""),"Box #")</f>
        <v>Box #</v>
      </c>
      <c r="Q1" s="76" t="str">
        <f>IFERROR(__xludf.DUMMYFUNCTION("""COMPUTED_VALUE"""),"Notes")</f>
        <v>Notes</v>
      </c>
      <c r="R1" s="76"/>
      <c r="S1" s="76"/>
      <c r="T1" s="76"/>
      <c r="U1" s="76"/>
      <c r="V1" s="76"/>
      <c r="W1" s="76"/>
      <c r="X1" s="76"/>
      <c r="Y1" s="76"/>
      <c r="Z1" s="76"/>
    </row>
    <row r="2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>
      <c r="A5" s="77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25"/>
    <col customWidth="1" min="5" max="5" width="21.0"/>
    <col customWidth="1" min="9" max="9" width="20.0"/>
  </cols>
  <sheetData>
    <row r="1">
      <c r="A1" s="76" t="str">
        <f>IFERROR(__xludf.DUMMYFUNCTION("QUERY('Master Old'!B1:R1000,""select * where F='Grenache' or F='Rhone Blend' or F='Syrah' or F='Mourvedre' or F='Carignane'"",1)"),"Category")</f>
        <v>Category</v>
      </c>
      <c r="B1" s="76" t="str">
        <f>IFERROR(__xludf.DUMMYFUNCTION("""COMPUTED_VALUE"""),"Qty")</f>
        <v>Qty</v>
      </c>
      <c r="C1" s="76" t="str">
        <f>IFERROR(__xludf.DUMMYFUNCTION("""COMPUTED_VALUE"""),"Vintage ")</f>
        <v>Vintage </v>
      </c>
      <c r="D1" s="76" t="str">
        <f>IFERROR(__xludf.DUMMYFUNCTION("""COMPUTED_VALUE"""),"Winery ")</f>
        <v>Winery </v>
      </c>
      <c r="E1" s="76" t="str">
        <f>IFERROR(__xludf.DUMMYFUNCTION("""COMPUTED_VALUE"""),"Wine ")</f>
        <v>Wine </v>
      </c>
      <c r="F1" s="76" t="str">
        <f>IFERROR(__xludf.DUMMYFUNCTION("""COMPUTED_VALUE"""),"Varietal(s)")</f>
        <v>Varietal(s)</v>
      </c>
      <c r="G1" s="76" t="str">
        <f>IFERROR(__xludf.DUMMYFUNCTION("""COMPUTED_VALUE"""),"Country ")</f>
        <v>Country </v>
      </c>
      <c r="H1" s="76" t="str">
        <f>IFERROR(__xludf.DUMMYFUNCTION("""COMPUTED_VALUE"""),"State ")</f>
        <v>State </v>
      </c>
      <c r="I1" s="76" t="str">
        <f>IFERROR(__xludf.DUMMYFUNCTION("""COMPUTED_VALUE"""),"Region ")</f>
        <v>Region </v>
      </c>
      <c r="J1" s="76" t="str">
        <f>IFERROR(__xludf.DUMMYFUNCTION("""COMPUTED_VALUE"""),"Appelation")</f>
        <v>Appelation</v>
      </c>
      <c r="K1" s="76" t="str">
        <f>IFERROR(__xludf.DUMMYFUNCTION("""COMPUTED_VALUE"""),"Sub AVA")</f>
        <v>Sub AVA</v>
      </c>
      <c r="L1" s="76" t="str">
        <f>IFERROR(__xludf.DUMMYFUNCTION("""COMPUTED_VALUE""")," ")</f>
        <v> </v>
      </c>
      <c r="M1" s="76" t="str">
        <f>IFERROR(__xludf.DUMMYFUNCTION("""COMPUTED_VALUE"""),"Retail Price ")</f>
        <v>Retail Price </v>
      </c>
      <c r="N1" s="76" t="str">
        <f>IFERROR(__xludf.DUMMYFUNCTION("""COMPUTED_VALUE"""),"Volume")</f>
        <v>Volume</v>
      </c>
      <c r="O1" s="76" t="str">
        <f>IFERROR(__xludf.DUMMYFUNCTION("""COMPUTED_VALUE"""),"Fridge")</f>
        <v>Fridge</v>
      </c>
      <c r="P1" s="76" t="str">
        <f>IFERROR(__xludf.DUMMYFUNCTION("""COMPUTED_VALUE"""),"Box #")</f>
        <v>Box #</v>
      </c>
      <c r="Q1" s="76" t="str">
        <f>IFERROR(__xludf.DUMMYFUNCTION("""COMPUTED_VALUE"""),"Notes")</f>
        <v>Notes</v>
      </c>
      <c r="R1" s="76"/>
      <c r="S1" s="2"/>
      <c r="T1" s="2"/>
      <c r="U1" s="2"/>
      <c r="V1" s="2"/>
      <c r="W1" s="2"/>
      <c r="X1" s="2"/>
      <c r="Y1" s="2"/>
      <c r="Z1" s="2"/>
    </row>
    <row r="2">
      <c r="A2" s="77" t="str">
        <f>IFERROR(__xludf.DUMMYFUNCTION("""COMPUTED_VALUE"""),"Red")</f>
        <v>Red</v>
      </c>
      <c r="B2" s="77">
        <f>IFERROR(__xludf.DUMMYFUNCTION("""COMPUTED_VALUE"""),2.0)</f>
        <v>2</v>
      </c>
      <c r="C2" s="77">
        <f>IFERROR(__xludf.DUMMYFUNCTION("""COMPUTED_VALUE"""),2019.0)</f>
        <v>2019</v>
      </c>
      <c r="D2" s="77" t="str">
        <f>IFERROR(__xludf.DUMMYFUNCTION("""COMPUTED_VALUE"""),"Ridge Vineyards")</f>
        <v>Ridge Vineyards</v>
      </c>
      <c r="E2" s="77" t="str">
        <f>IFERROR(__xludf.DUMMYFUNCTION("""COMPUTED_VALUE"""),"Carignane")</f>
        <v>Carignane</v>
      </c>
      <c r="F2" s="77" t="str">
        <f>IFERROR(__xludf.DUMMYFUNCTION("""COMPUTED_VALUE"""),"Carignane")</f>
        <v>Carignane</v>
      </c>
      <c r="G2" s="77" t="str">
        <f>IFERROR(__xludf.DUMMYFUNCTION("""COMPUTED_VALUE"""),"USA ")</f>
        <v>USA </v>
      </c>
      <c r="H2" s="77" t="str">
        <f>IFERROR(__xludf.DUMMYFUNCTION("""COMPUTED_VALUE"""),"CA ")</f>
        <v>CA </v>
      </c>
      <c r="I2" s="77" t="str">
        <f>IFERROR(__xludf.DUMMYFUNCTION("""COMPUTED_VALUE"""),"North Coast")</f>
        <v>North Coast</v>
      </c>
      <c r="J2" s="77" t="str">
        <f>IFERROR(__xludf.DUMMYFUNCTION("""COMPUTED_VALUE"""),"Sonoma County")</f>
        <v>Sonoma County</v>
      </c>
      <c r="K2" s="77" t="str">
        <f>IFERROR(__xludf.DUMMYFUNCTION("""COMPUTED_VALUE"""),"Alexander Valley")</f>
        <v>Alexander Valley</v>
      </c>
      <c r="L2" s="77" t="str">
        <f>IFERROR(__xludf.DUMMYFUNCTION("""COMPUTED_VALUE"""),"Buchignani Ranch")</f>
        <v>Buchignani Ranch</v>
      </c>
      <c r="M2" s="78">
        <f>IFERROR(__xludf.DUMMYFUNCTION("""COMPUTED_VALUE"""),34.0)</f>
        <v>34</v>
      </c>
      <c r="N2" s="77">
        <f>IFERROR(__xludf.DUMMYFUNCTION("""COMPUTED_VALUE"""),750.0)</f>
        <v>750</v>
      </c>
      <c r="O2" s="77" t="str">
        <f>IFERROR(__xludf.DUMMYFUNCTION("""COMPUTED_VALUE"""),"1 in Office")</f>
        <v>1 in Office</v>
      </c>
      <c r="P2" s="77">
        <f>IFERROR(__xludf.DUMMYFUNCTION("""COMPUTED_VALUE"""),19.0)</f>
        <v>19</v>
      </c>
      <c r="Q2" s="77"/>
      <c r="R2" s="77"/>
    </row>
    <row r="3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</row>
    <row r="4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</row>
    <row r="5">
      <c r="A5" s="77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</row>
    <row r="6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</row>
    <row r="7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</row>
    <row r="8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</row>
    <row r="9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</row>
    <row r="10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</row>
    <row r="11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</row>
    <row r="12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</row>
    <row r="13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</row>
    <row r="14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</row>
    <row r="15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</row>
    <row r="16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</row>
    <row r="17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</row>
    <row r="18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</row>
    <row r="19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</row>
    <row r="20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</row>
    <row r="2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</row>
    <row r="22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</row>
    <row r="23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</row>
    <row r="24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</row>
    <row r="2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</row>
    <row r="26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</row>
    <row r="27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</row>
    <row r="28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</row>
    <row r="29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</row>
    <row r="30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</row>
    <row r="3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</row>
    <row r="32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</row>
    <row r="33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</row>
    <row r="34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</row>
    <row r="3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</row>
    <row r="36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</row>
    <row r="37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</row>
    <row r="3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25"/>
    <col customWidth="1" min="5" max="5" width="21.0"/>
    <col customWidth="1" min="6" max="6" width="23.13"/>
    <col customWidth="1" min="9" max="9" width="20.0"/>
  </cols>
  <sheetData>
    <row r="1">
      <c r="A1" s="76" t="str">
        <f>IFERROR(__xludf.DUMMYFUNCTION("QUERY('Master Old'!B1:R1000,""select * where F='Cabernet Franc' or F='Right Bank Blend'"",1)"),"Category")</f>
        <v>Category</v>
      </c>
      <c r="B1" s="76" t="str">
        <f>IFERROR(__xludf.DUMMYFUNCTION("""COMPUTED_VALUE"""),"Qty")</f>
        <v>Qty</v>
      </c>
      <c r="C1" s="76" t="str">
        <f>IFERROR(__xludf.DUMMYFUNCTION("""COMPUTED_VALUE"""),"Vintage ")</f>
        <v>Vintage </v>
      </c>
      <c r="D1" s="76" t="str">
        <f>IFERROR(__xludf.DUMMYFUNCTION("""COMPUTED_VALUE"""),"Winery ")</f>
        <v>Winery </v>
      </c>
      <c r="E1" s="76" t="str">
        <f>IFERROR(__xludf.DUMMYFUNCTION("""COMPUTED_VALUE"""),"Wine ")</f>
        <v>Wine </v>
      </c>
      <c r="F1" s="76" t="str">
        <f>IFERROR(__xludf.DUMMYFUNCTION("""COMPUTED_VALUE"""),"Varietal(s)")</f>
        <v>Varietal(s)</v>
      </c>
      <c r="G1" s="76" t="str">
        <f>IFERROR(__xludf.DUMMYFUNCTION("""COMPUTED_VALUE"""),"Country ")</f>
        <v>Country </v>
      </c>
      <c r="H1" s="76" t="str">
        <f>IFERROR(__xludf.DUMMYFUNCTION("""COMPUTED_VALUE"""),"State ")</f>
        <v>State </v>
      </c>
      <c r="I1" s="76" t="str">
        <f>IFERROR(__xludf.DUMMYFUNCTION("""COMPUTED_VALUE"""),"Region ")</f>
        <v>Region </v>
      </c>
      <c r="J1" s="76" t="str">
        <f>IFERROR(__xludf.DUMMYFUNCTION("""COMPUTED_VALUE"""),"Appelation")</f>
        <v>Appelation</v>
      </c>
      <c r="K1" s="76" t="str">
        <f>IFERROR(__xludf.DUMMYFUNCTION("""COMPUTED_VALUE"""),"Sub AVA")</f>
        <v>Sub AVA</v>
      </c>
      <c r="L1" s="76" t="str">
        <f>IFERROR(__xludf.DUMMYFUNCTION("""COMPUTED_VALUE""")," ")</f>
        <v> </v>
      </c>
      <c r="M1" s="76" t="str">
        <f>IFERROR(__xludf.DUMMYFUNCTION("""COMPUTED_VALUE"""),"Retail Price ")</f>
        <v>Retail Price </v>
      </c>
      <c r="N1" s="76" t="str">
        <f>IFERROR(__xludf.DUMMYFUNCTION("""COMPUTED_VALUE"""),"Volume")</f>
        <v>Volume</v>
      </c>
      <c r="O1" s="76" t="str">
        <f>IFERROR(__xludf.DUMMYFUNCTION("""COMPUTED_VALUE"""),"Fridge")</f>
        <v>Fridge</v>
      </c>
      <c r="P1" s="76" t="str">
        <f>IFERROR(__xludf.DUMMYFUNCTION("""COMPUTED_VALUE"""),"Box #")</f>
        <v>Box #</v>
      </c>
      <c r="Q1" s="76" t="str">
        <f>IFERROR(__xludf.DUMMYFUNCTION("""COMPUTED_VALUE"""),"Notes")</f>
        <v>Notes</v>
      </c>
      <c r="R1" s="76"/>
      <c r="S1" s="76"/>
      <c r="T1" s="76"/>
      <c r="U1" s="76"/>
      <c r="V1" s="76"/>
      <c r="W1" s="76"/>
      <c r="X1" s="76"/>
      <c r="Y1" s="76"/>
      <c r="Z1" s="76"/>
    </row>
    <row r="2">
      <c r="A2" s="77" t="str">
        <f>IFERROR(__xludf.DUMMYFUNCTION("""COMPUTED_VALUE"""),"Red")</f>
        <v>Red</v>
      </c>
      <c r="B2" s="77">
        <f>IFERROR(__xludf.DUMMYFUNCTION("""COMPUTED_VALUE"""),2.0)</f>
        <v>2</v>
      </c>
      <c r="C2" s="77">
        <f>IFERROR(__xludf.DUMMYFUNCTION("""COMPUTED_VALUE"""),2018.0)</f>
        <v>2018</v>
      </c>
      <c r="D2" s="77" t="str">
        <f>IFERROR(__xludf.DUMMYFUNCTION("""COMPUTED_VALUE"""),"Keenan Winery")</f>
        <v>Keenan Winery</v>
      </c>
      <c r="E2" s="77" t="str">
        <f>IFERROR(__xludf.DUMMYFUNCTION("""COMPUTED_VALUE"""),"Cabernet Franc")</f>
        <v>Cabernet Franc</v>
      </c>
      <c r="F2" s="77" t="str">
        <f>IFERROR(__xludf.DUMMYFUNCTION("""COMPUTED_VALUE"""),"Cabernet Franc")</f>
        <v>Cabernet Franc</v>
      </c>
      <c r="G2" s="77" t="str">
        <f>IFERROR(__xludf.DUMMYFUNCTION("""COMPUTED_VALUE"""),"USA ")</f>
        <v>USA </v>
      </c>
      <c r="H2" s="77" t="str">
        <f>IFERROR(__xludf.DUMMYFUNCTION("""COMPUTED_VALUE"""),"CA")</f>
        <v>CA</v>
      </c>
      <c r="I2" s="77" t="str">
        <f>IFERROR(__xludf.DUMMYFUNCTION("""COMPUTED_VALUE"""),"North Coast ")</f>
        <v>North Coast </v>
      </c>
      <c r="J2" s="77" t="str">
        <f>IFERROR(__xludf.DUMMYFUNCTION("""COMPUTED_VALUE"""),"Napa Valley ")</f>
        <v>Napa Valley </v>
      </c>
      <c r="K2" s="77" t="str">
        <f>IFERROR(__xludf.DUMMYFUNCTION("""COMPUTED_VALUE"""),"Spring Mountain")</f>
        <v>Spring Mountain</v>
      </c>
      <c r="L2" s="77" t="str">
        <f>IFERROR(__xludf.DUMMYFUNCTION("""COMPUTED_VALUE"""),"Upper Bowl ")</f>
        <v>Upper Bowl </v>
      </c>
      <c r="M2" s="78">
        <f>IFERROR(__xludf.DUMMYFUNCTION("""COMPUTED_VALUE"""),75.0)</f>
        <v>75</v>
      </c>
      <c r="N2" s="77">
        <f>IFERROR(__xludf.DUMMYFUNCTION("""COMPUTED_VALUE"""),750.0)</f>
        <v>750</v>
      </c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>
      <c r="A5" s="77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25"/>
    <col customWidth="1" min="5" max="5" width="21.0"/>
    <col customWidth="1" min="6" max="6" width="23.13"/>
    <col customWidth="1" min="9" max="9" width="20.0"/>
  </cols>
  <sheetData>
    <row r="1">
      <c r="A1" s="76" t="str">
        <f>IFERROR(__xludf.DUMMYFUNCTION("QUERY('Master Old'!B1:R1000,""select * where F='Sangiovese' or F='Sangiovese/Cabernet' or F='Chianti'"",1)"),"Category")</f>
        <v>Category</v>
      </c>
      <c r="B1" s="76" t="str">
        <f>IFERROR(__xludf.DUMMYFUNCTION("""COMPUTED_VALUE"""),"Qty")</f>
        <v>Qty</v>
      </c>
      <c r="C1" s="76" t="str">
        <f>IFERROR(__xludf.DUMMYFUNCTION("""COMPUTED_VALUE"""),"Vintage ")</f>
        <v>Vintage </v>
      </c>
      <c r="D1" s="76" t="str">
        <f>IFERROR(__xludf.DUMMYFUNCTION("""COMPUTED_VALUE"""),"Winery ")</f>
        <v>Winery </v>
      </c>
      <c r="E1" s="76" t="str">
        <f>IFERROR(__xludf.DUMMYFUNCTION("""COMPUTED_VALUE"""),"Wine ")</f>
        <v>Wine </v>
      </c>
      <c r="F1" s="76" t="str">
        <f>IFERROR(__xludf.DUMMYFUNCTION("""COMPUTED_VALUE"""),"Varietal(s)")</f>
        <v>Varietal(s)</v>
      </c>
      <c r="G1" s="76" t="str">
        <f>IFERROR(__xludf.DUMMYFUNCTION("""COMPUTED_VALUE"""),"Country ")</f>
        <v>Country </v>
      </c>
      <c r="H1" s="76" t="str">
        <f>IFERROR(__xludf.DUMMYFUNCTION("""COMPUTED_VALUE"""),"State ")</f>
        <v>State </v>
      </c>
      <c r="I1" s="76" t="str">
        <f>IFERROR(__xludf.DUMMYFUNCTION("""COMPUTED_VALUE"""),"Region ")</f>
        <v>Region </v>
      </c>
      <c r="J1" s="76" t="str">
        <f>IFERROR(__xludf.DUMMYFUNCTION("""COMPUTED_VALUE"""),"Appelation")</f>
        <v>Appelation</v>
      </c>
      <c r="K1" s="76" t="str">
        <f>IFERROR(__xludf.DUMMYFUNCTION("""COMPUTED_VALUE"""),"Sub AVA")</f>
        <v>Sub AVA</v>
      </c>
      <c r="L1" s="76" t="str">
        <f>IFERROR(__xludf.DUMMYFUNCTION("""COMPUTED_VALUE""")," ")</f>
        <v> </v>
      </c>
      <c r="M1" s="76" t="str">
        <f>IFERROR(__xludf.DUMMYFUNCTION("""COMPUTED_VALUE"""),"Retail Price ")</f>
        <v>Retail Price </v>
      </c>
      <c r="N1" s="76" t="str">
        <f>IFERROR(__xludf.DUMMYFUNCTION("""COMPUTED_VALUE"""),"Volume")</f>
        <v>Volume</v>
      </c>
      <c r="O1" s="76" t="str">
        <f>IFERROR(__xludf.DUMMYFUNCTION("""COMPUTED_VALUE"""),"Fridge")</f>
        <v>Fridge</v>
      </c>
      <c r="P1" s="76" t="str">
        <f>IFERROR(__xludf.DUMMYFUNCTION("""COMPUTED_VALUE"""),"Box #")</f>
        <v>Box #</v>
      </c>
      <c r="Q1" s="76" t="str">
        <f>IFERROR(__xludf.DUMMYFUNCTION("""COMPUTED_VALUE"""),"Notes")</f>
        <v>Notes</v>
      </c>
      <c r="R1" s="76"/>
      <c r="S1" s="76"/>
      <c r="T1" s="76"/>
      <c r="U1" s="76"/>
      <c r="V1" s="76"/>
      <c r="W1" s="76"/>
      <c r="X1" s="76"/>
      <c r="Y1" s="76"/>
      <c r="Z1" s="76"/>
    </row>
    <row r="2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>
      <c r="A5" s="77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5.38"/>
    <col customWidth="1" min="3" max="3" width="8.88"/>
    <col customWidth="1" min="4" max="4" width="24.25"/>
    <col customWidth="1" min="5" max="5" width="31.13"/>
    <col customWidth="1" min="6" max="6" width="22.38"/>
  </cols>
  <sheetData>
    <row r="1">
      <c r="A1" s="33" t="str">
        <f>IFERROR(__xludf.DUMMYFUNCTION("QUERY('Master Old'!B1:R1001,""select * where A='Red'"",1)"),"#VALUE!")</f>
        <v>#VALUE!</v>
      </c>
      <c r="B1" s="79"/>
      <c r="C1" s="33"/>
      <c r="D1" s="33"/>
      <c r="E1" s="33"/>
      <c r="F1" s="33"/>
      <c r="G1" s="33"/>
      <c r="H1" s="33"/>
      <c r="I1" s="33"/>
      <c r="J1" s="33"/>
      <c r="K1" s="33"/>
      <c r="L1" s="33"/>
      <c r="M1" s="80"/>
      <c r="N1" s="81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20"/>
      <c r="B2" s="82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0"/>
      <c r="B3" s="82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0"/>
      <c r="B4" s="82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0"/>
      <c r="B5" s="82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0"/>
      <c r="B6" s="82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0"/>
      <c r="B7" s="82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0"/>
      <c r="B8" s="82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0"/>
      <c r="B9" s="82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0"/>
      <c r="B10" s="82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/>
      <c r="B11" s="82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82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0"/>
      <c r="B13" s="82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0"/>
      <c r="B14" s="82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0"/>
      <c r="B15" s="82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82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82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82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82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82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82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82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82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82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82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82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82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82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82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82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82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82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82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8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82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82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82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82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82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82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82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82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82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82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82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82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82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82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82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82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82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82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82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82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82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82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82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82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82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82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82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82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82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82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82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82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82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82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82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82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82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82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82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82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82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82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82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82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82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82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82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82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82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82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82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82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82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82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82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82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82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82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82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82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82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82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82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82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82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82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82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82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82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82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82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82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82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82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82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82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82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82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82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82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82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82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82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82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82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82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82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82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82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82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82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82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82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82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82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82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82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82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82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82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82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82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82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82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82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82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82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82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82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82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82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82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82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82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82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82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82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82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82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82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82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82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82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82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82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82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82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82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82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82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82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82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82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82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82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82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82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82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82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82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82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82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82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82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82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82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82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82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82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82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82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82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82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82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82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82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82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82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82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82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82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82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82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82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82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82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82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82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82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82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82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82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82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82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82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82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82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82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82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82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82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82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82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82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82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82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82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82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82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82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82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82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82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82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82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82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82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82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82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82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82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82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82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82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82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82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8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82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82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82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82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82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82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82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82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82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82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82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82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82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82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82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82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82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82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82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82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82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82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82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82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82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82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82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82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82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82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82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82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82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82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82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82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82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82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82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82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82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82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82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82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82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82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82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82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82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82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82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82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82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82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82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82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82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82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82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82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82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82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82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82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82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82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82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82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82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82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82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82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82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82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82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82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82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82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82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82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82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82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82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82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82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82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82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82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82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82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82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82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82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82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82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82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82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82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82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82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82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82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82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82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82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82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82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82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82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82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82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82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82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82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82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82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82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82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82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82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82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82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82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82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82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82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82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82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82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82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82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82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82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82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82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82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82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82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82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82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82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82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82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82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82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82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82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82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82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82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82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82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82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82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82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82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82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82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82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82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82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82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82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82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82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82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82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82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82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82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82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82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82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82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82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82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82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82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82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82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82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82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82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82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82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82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82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82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82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82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82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82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82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82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82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82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82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82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82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82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82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82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82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82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82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82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82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82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82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82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82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82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82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82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82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82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82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82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82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82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82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82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82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82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82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82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82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82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82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82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82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82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82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82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82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82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82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82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82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82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82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82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82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82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82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82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82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82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82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82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82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82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82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82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82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82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82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82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82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82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82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82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82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82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82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82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82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82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82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82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82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82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82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82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82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82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82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82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82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82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82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82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82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82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82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82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82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82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82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82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82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82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82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82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82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82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82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82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82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82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82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82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82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82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82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82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82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82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82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82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82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82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82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82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82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82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82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82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82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82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82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82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82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82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82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82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82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82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82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82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82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82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82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82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82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82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82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82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82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82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82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82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82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82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82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82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82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82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82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82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82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82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82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82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82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82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82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82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82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82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82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82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82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82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82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82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82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82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82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82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82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82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82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82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82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82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82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82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82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82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82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82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82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82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82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82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82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82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82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82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82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82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82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82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82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82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82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82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82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82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82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82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82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82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82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82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82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82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82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82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82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82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82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82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82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82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82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82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82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82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82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82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82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82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82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82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82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82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82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82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82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82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82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82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82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82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82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82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82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82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82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82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82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82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82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82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82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82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82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82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82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82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82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82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82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82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82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82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82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82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82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82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82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82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82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82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82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82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82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82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82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82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82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82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82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82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82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82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82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82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82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82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82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82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82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82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82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82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82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82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82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82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82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82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82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82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82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82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82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82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82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82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82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82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82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82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82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82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82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82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82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82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82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82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82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82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82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82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82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82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82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82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82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82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82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82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82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82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82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82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82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82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82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82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82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82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82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82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82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82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82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82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82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82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82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82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82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82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82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82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82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82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82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82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82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82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82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82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82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82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82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82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82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82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82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82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82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82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82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82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82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82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82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82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82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82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82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82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82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82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82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82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82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82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82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82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82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82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82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82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82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82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82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82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82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82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82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82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82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82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82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82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82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82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82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82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82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82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82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82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82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82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82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82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82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82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82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82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82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82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82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82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82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82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82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82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82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82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82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82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82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82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82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82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82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82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82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82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82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82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82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82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82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82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82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82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82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82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82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82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82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82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82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82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82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82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82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82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82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82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82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82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82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82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82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82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82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82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82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82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82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82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82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82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82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82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82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82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82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82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82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82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82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82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82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82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82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82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82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82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82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82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82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82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82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82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82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82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82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82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82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82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82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82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82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82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82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82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82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82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82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82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82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82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82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82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82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82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82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82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82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82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82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82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82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82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82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82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82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82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82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82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82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82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82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82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82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82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82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82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82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82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82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82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82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82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82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82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82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82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82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82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82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82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82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82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82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82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82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>
      <c r="A1001" s="20"/>
      <c r="B1001" s="82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2" max="2" width="5.38"/>
    <col customWidth="1" min="4" max="4" width="26.63"/>
    <col customWidth="1" min="5" max="5" width="28.75"/>
  </cols>
  <sheetData>
    <row r="1">
      <c r="A1" s="83" t="str">
        <f>IFERROR(__xludf.DUMMYFUNCTION("QUERY('Master Old'!B1:R999,""select * where A='White'"",1)"),"#VALUE!")</f>
        <v>#VALUE!</v>
      </c>
      <c r="B1" s="84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>
      <c r="A2" s="85"/>
      <c r="B2" s="86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>
      <c r="A3" s="85"/>
      <c r="B3" s="86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>
      <c r="A4" s="85"/>
      <c r="B4" s="86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>
      <c r="A5" s="85"/>
      <c r="B5" s="86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>
      <c r="A6" s="85"/>
      <c r="B6" s="86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>
      <c r="A7" s="85"/>
      <c r="B7" s="86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>
      <c r="A8" s="85"/>
      <c r="B8" s="86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>
      <c r="A9" s="85"/>
      <c r="B9" s="86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>
      <c r="A10" s="85"/>
      <c r="B10" s="86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>
      <c r="A11" s="85"/>
      <c r="B11" s="86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85"/>
      <c r="B12" s="86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>
      <c r="A13" s="85"/>
      <c r="B13" s="86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>
      <c r="A14" s="85"/>
      <c r="B14" s="86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>
      <c r="A15" s="85"/>
      <c r="B15" s="86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>
      <c r="A16" s="85"/>
      <c r="B16" s="86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>
      <c r="A17" s="85"/>
      <c r="B17" s="86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>
      <c r="A18" s="85"/>
      <c r="B18" s="86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85"/>
      <c r="B19" s="86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85"/>
      <c r="B20" s="86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>
      <c r="A21" s="85"/>
      <c r="B21" s="86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>
      <c r="A22" s="85"/>
      <c r="B22" s="86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>
      <c r="A23" s="85"/>
      <c r="B23" s="86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>
      <c r="A24" s="85"/>
      <c r="B24" s="86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>
      <c r="A25" s="85"/>
      <c r="B25" s="86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>
      <c r="A26" s="85"/>
      <c r="B26" s="86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>
      <c r="A27" s="85"/>
      <c r="B27" s="86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>
      <c r="A28" s="85"/>
      <c r="B28" s="86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>
      <c r="A29" s="85"/>
      <c r="B29" s="86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>
      <c r="A30" s="85"/>
      <c r="B30" s="86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>
      <c r="A31" s="85"/>
      <c r="B31" s="86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>
      <c r="A32" s="85"/>
      <c r="B32" s="86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>
      <c r="A33" s="85"/>
      <c r="B33" s="86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>
      <c r="A34" s="85"/>
      <c r="B34" s="86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>
      <c r="A35" s="85"/>
      <c r="B35" s="86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>
      <c r="A36" s="85"/>
      <c r="B36" s="86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>
      <c r="A37" s="85"/>
      <c r="B37" s="86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>
      <c r="A38" s="85"/>
      <c r="B38" s="86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>
      <c r="A39" s="85"/>
      <c r="B39" s="86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>
      <c r="A40" s="85"/>
      <c r="B40" s="86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>
      <c r="A41" s="85"/>
      <c r="B41" s="86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>
      <c r="A42" s="85"/>
      <c r="B42" s="86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>
      <c r="A43" s="85"/>
      <c r="B43" s="86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>
      <c r="A44" s="85"/>
      <c r="B44" s="86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>
      <c r="A45" s="85"/>
      <c r="B45" s="86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>
      <c r="A46" s="85"/>
      <c r="B46" s="86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>
      <c r="A47" s="85"/>
      <c r="B47" s="86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>
      <c r="A48" s="85"/>
      <c r="B48" s="86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>
      <c r="A49" s="85"/>
      <c r="B49" s="86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>
      <c r="A50" s="85"/>
      <c r="B50" s="86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>
      <c r="A51" s="85"/>
      <c r="B51" s="86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>
      <c r="A52" s="85"/>
      <c r="B52" s="86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>
      <c r="A53" s="85"/>
      <c r="B53" s="86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>
      <c r="A54" s="85"/>
      <c r="B54" s="86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>
      <c r="A55" s="85"/>
      <c r="B55" s="86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>
      <c r="A56" s="85"/>
      <c r="B56" s="86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>
      <c r="A57" s="85"/>
      <c r="B57" s="86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>
      <c r="A58" s="85"/>
      <c r="B58" s="86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>
      <c r="A59" s="85"/>
      <c r="B59" s="86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>
      <c r="A60" s="85"/>
      <c r="B60" s="86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>
      <c r="A61" s="85"/>
      <c r="B61" s="86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>
      <c r="A62" s="85"/>
      <c r="B62" s="86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>
      <c r="A63" s="85"/>
      <c r="B63" s="86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>
      <c r="A64" s="85"/>
      <c r="B64" s="86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>
      <c r="A65" s="85"/>
      <c r="B65" s="86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>
      <c r="A66" s="85"/>
      <c r="B66" s="86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>
      <c r="A67" s="85"/>
      <c r="B67" s="86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>
      <c r="A68" s="85"/>
      <c r="B68" s="86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>
      <c r="A69" s="85"/>
      <c r="B69" s="86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>
      <c r="A70" s="85"/>
      <c r="B70" s="86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>
      <c r="A71" s="85"/>
      <c r="B71" s="86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>
      <c r="A72" s="85"/>
      <c r="B72" s="86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>
      <c r="A73" s="85"/>
      <c r="B73" s="86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>
      <c r="A74" s="85"/>
      <c r="B74" s="86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>
      <c r="A75" s="85"/>
      <c r="B75" s="86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>
      <c r="A76" s="85"/>
      <c r="B76" s="86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>
      <c r="A77" s="85"/>
      <c r="B77" s="86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>
      <c r="A78" s="85"/>
      <c r="B78" s="86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>
      <c r="A79" s="85"/>
      <c r="B79" s="86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>
      <c r="A80" s="85"/>
      <c r="B80" s="86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>
      <c r="A81" s="85"/>
      <c r="B81" s="86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>
      <c r="A82" s="85"/>
      <c r="B82" s="86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>
      <c r="A83" s="85"/>
      <c r="B83" s="86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>
      <c r="A84" s="85"/>
      <c r="B84" s="86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>
      <c r="A85" s="85"/>
      <c r="B85" s="86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>
      <c r="A86" s="85"/>
      <c r="B86" s="86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>
      <c r="A87" s="85"/>
      <c r="B87" s="86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>
      <c r="A88" s="85"/>
      <c r="B88" s="86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>
      <c r="A89" s="85"/>
      <c r="B89" s="86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>
      <c r="A90" s="85"/>
      <c r="B90" s="86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>
      <c r="A91" s="85"/>
      <c r="B91" s="86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>
      <c r="A92" s="85"/>
      <c r="B92" s="86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>
      <c r="A93" s="85"/>
      <c r="B93" s="86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>
      <c r="A94" s="85"/>
      <c r="B94" s="86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>
      <c r="A95" s="85"/>
      <c r="B95" s="86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>
      <c r="A96" s="85"/>
      <c r="B96" s="86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>
      <c r="A97" s="85"/>
      <c r="B97" s="86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>
      <c r="A98" s="85"/>
      <c r="B98" s="86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>
      <c r="A99" s="85"/>
      <c r="B99" s="86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>
      <c r="A100" s="85"/>
      <c r="B100" s="86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>
      <c r="A101" s="85"/>
      <c r="B101" s="86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>
      <c r="A102" s="85"/>
      <c r="B102" s="86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>
      <c r="A103" s="85"/>
      <c r="B103" s="86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>
      <c r="A104" s="85"/>
      <c r="B104" s="86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>
      <c r="A105" s="85"/>
      <c r="B105" s="86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>
      <c r="A106" s="85"/>
      <c r="B106" s="86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>
      <c r="A107" s="85"/>
      <c r="B107" s="86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>
      <c r="A108" s="85"/>
      <c r="B108" s="86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>
      <c r="A109" s="85"/>
      <c r="B109" s="86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>
      <c r="A110" s="85"/>
      <c r="B110" s="86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>
      <c r="A111" s="85"/>
      <c r="B111" s="86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>
      <c r="A112" s="85"/>
      <c r="B112" s="86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>
      <c r="A113" s="85"/>
      <c r="B113" s="86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>
      <c r="A114" s="85"/>
      <c r="B114" s="86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>
      <c r="A115" s="85"/>
      <c r="B115" s="86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>
      <c r="A116" s="85"/>
      <c r="B116" s="86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>
      <c r="A117" s="85"/>
      <c r="B117" s="86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>
      <c r="A118" s="85"/>
      <c r="B118" s="86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>
      <c r="A119" s="85"/>
      <c r="B119" s="86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>
      <c r="A120" s="85"/>
      <c r="B120" s="86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>
      <c r="A121" s="85"/>
      <c r="B121" s="86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>
      <c r="A122" s="85"/>
      <c r="B122" s="86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>
      <c r="A123" s="85"/>
      <c r="B123" s="86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>
      <c r="A124" s="85"/>
      <c r="B124" s="86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>
      <c r="A125" s="85"/>
      <c r="B125" s="86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>
      <c r="A126" s="85"/>
      <c r="B126" s="86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>
      <c r="A127" s="85"/>
      <c r="B127" s="86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>
      <c r="A128" s="85"/>
      <c r="B128" s="86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>
      <c r="A129" s="85"/>
      <c r="B129" s="86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>
      <c r="A130" s="85"/>
      <c r="B130" s="86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>
      <c r="A131" s="85"/>
      <c r="B131" s="86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>
      <c r="A132" s="85"/>
      <c r="B132" s="86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>
      <c r="A133" s="85"/>
      <c r="B133" s="86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>
      <c r="A134" s="85"/>
      <c r="B134" s="86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>
      <c r="A135" s="85"/>
      <c r="B135" s="86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>
      <c r="A136" s="85"/>
      <c r="B136" s="86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>
      <c r="A137" s="85"/>
      <c r="B137" s="86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>
      <c r="A138" s="85"/>
      <c r="B138" s="86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>
      <c r="A139" s="85"/>
      <c r="B139" s="86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>
      <c r="A140" s="85"/>
      <c r="B140" s="86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>
      <c r="A141" s="85"/>
      <c r="B141" s="86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>
      <c r="A142" s="85"/>
      <c r="B142" s="86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>
      <c r="A143" s="85"/>
      <c r="B143" s="86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>
      <c r="A144" s="85"/>
      <c r="B144" s="86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>
      <c r="A145" s="85"/>
      <c r="B145" s="86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>
      <c r="A146" s="85"/>
      <c r="B146" s="86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>
      <c r="A147" s="85"/>
      <c r="B147" s="86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>
      <c r="A148" s="85"/>
      <c r="B148" s="86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>
      <c r="A149" s="85"/>
      <c r="B149" s="86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>
      <c r="A150" s="85"/>
      <c r="B150" s="86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>
      <c r="A151" s="85"/>
      <c r="B151" s="86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>
      <c r="A152" s="85"/>
      <c r="B152" s="86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>
      <c r="A153" s="85"/>
      <c r="B153" s="86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>
      <c r="A154" s="85"/>
      <c r="B154" s="86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>
      <c r="A155" s="85"/>
      <c r="B155" s="86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>
      <c r="A156" s="85"/>
      <c r="B156" s="86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>
      <c r="A157" s="85"/>
      <c r="B157" s="86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>
      <c r="A158" s="85"/>
      <c r="B158" s="86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>
      <c r="A159" s="85"/>
      <c r="B159" s="86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>
      <c r="A160" s="85"/>
      <c r="B160" s="86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>
      <c r="A161" s="85"/>
      <c r="B161" s="86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>
      <c r="A162" s="85"/>
      <c r="B162" s="86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>
      <c r="A163" s="85"/>
      <c r="B163" s="86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>
      <c r="A164" s="85"/>
      <c r="B164" s="86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>
      <c r="A165" s="85"/>
      <c r="B165" s="86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>
      <c r="A166" s="85"/>
      <c r="B166" s="86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>
      <c r="A167" s="85"/>
      <c r="B167" s="86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>
      <c r="A168" s="85"/>
      <c r="B168" s="86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>
      <c r="A169" s="85"/>
      <c r="B169" s="86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>
      <c r="A170" s="85"/>
      <c r="B170" s="86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>
      <c r="A171" s="85"/>
      <c r="B171" s="86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>
      <c r="A172" s="85"/>
      <c r="B172" s="86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>
      <c r="A173" s="85"/>
      <c r="B173" s="86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>
      <c r="A174" s="85"/>
      <c r="B174" s="86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>
      <c r="A175" s="85"/>
      <c r="B175" s="86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>
      <c r="A176" s="85"/>
      <c r="B176" s="86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>
      <c r="A177" s="85"/>
      <c r="B177" s="86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>
      <c r="A178" s="85"/>
      <c r="B178" s="86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>
      <c r="A179" s="85"/>
      <c r="B179" s="86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>
      <c r="A180" s="85"/>
      <c r="B180" s="86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>
      <c r="A181" s="85"/>
      <c r="B181" s="86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>
      <c r="A182" s="85"/>
      <c r="B182" s="86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>
      <c r="A183" s="85"/>
      <c r="B183" s="86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>
      <c r="A184" s="85"/>
      <c r="B184" s="86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>
      <c r="A185" s="85"/>
      <c r="B185" s="86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>
      <c r="A186" s="85"/>
      <c r="B186" s="86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>
      <c r="A187" s="85"/>
      <c r="B187" s="86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>
      <c r="A188" s="85"/>
      <c r="B188" s="86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>
      <c r="A189" s="85"/>
      <c r="B189" s="86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>
      <c r="A190" s="85"/>
      <c r="B190" s="86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>
      <c r="A191" s="85"/>
      <c r="B191" s="86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>
      <c r="A192" s="85"/>
      <c r="B192" s="86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>
      <c r="A193" s="85"/>
      <c r="B193" s="86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>
      <c r="A194" s="85"/>
      <c r="B194" s="86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>
      <c r="A195" s="85"/>
      <c r="B195" s="86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>
      <c r="A196" s="85"/>
      <c r="B196" s="86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>
      <c r="A197" s="85"/>
      <c r="B197" s="86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>
      <c r="A198" s="85"/>
      <c r="B198" s="86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>
      <c r="A199" s="85"/>
      <c r="B199" s="86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>
      <c r="A200" s="85"/>
      <c r="B200" s="86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>
      <c r="A201" s="85"/>
      <c r="B201" s="86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>
      <c r="A202" s="85"/>
      <c r="B202" s="86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>
      <c r="A203" s="85"/>
      <c r="B203" s="86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>
      <c r="A204" s="85"/>
      <c r="B204" s="86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>
      <c r="A205" s="85"/>
      <c r="B205" s="86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>
      <c r="A206" s="85"/>
      <c r="B206" s="86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>
      <c r="A207" s="85"/>
      <c r="B207" s="86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>
      <c r="A208" s="85"/>
      <c r="B208" s="86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>
      <c r="A209" s="85"/>
      <c r="B209" s="86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>
      <c r="A210" s="85"/>
      <c r="B210" s="86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>
      <c r="A211" s="85"/>
      <c r="B211" s="86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>
      <c r="A212" s="85"/>
      <c r="B212" s="86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>
      <c r="A213" s="85"/>
      <c r="B213" s="86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>
      <c r="A214" s="85"/>
      <c r="B214" s="86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>
      <c r="A215" s="85"/>
      <c r="B215" s="86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>
      <c r="A216" s="85"/>
      <c r="B216" s="86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>
      <c r="A217" s="85"/>
      <c r="B217" s="86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>
      <c r="A218" s="85"/>
      <c r="B218" s="86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>
      <c r="A219" s="85"/>
      <c r="B219" s="86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>
      <c r="A220" s="85"/>
      <c r="B220" s="86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>
      <c r="A221" s="85"/>
      <c r="B221" s="86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>
      <c r="A222" s="85"/>
      <c r="B222" s="86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>
      <c r="A223" s="85"/>
      <c r="B223" s="86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>
      <c r="A224" s="85"/>
      <c r="B224" s="86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>
      <c r="A225" s="85"/>
      <c r="B225" s="86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>
      <c r="A226" s="85"/>
      <c r="B226" s="86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>
      <c r="A227" s="85"/>
      <c r="B227" s="86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>
      <c r="A228" s="85"/>
      <c r="B228" s="86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>
      <c r="A229" s="85"/>
      <c r="B229" s="86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>
      <c r="A230" s="85"/>
      <c r="B230" s="86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>
      <c r="A231" s="85"/>
      <c r="B231" s="86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>
      <c r="A232" s="85"/>
      <c r="B232" s="86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>
      <c r="A233" s="85"/>
      <c r="B233" s="86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>
      <c r="A234" s="85"/>
      <c r="B234" s="86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>
      <c r="A235" s="85"/>
      <c r="B235" s="86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>
      <c r="A236" s="85"/>
      <c r="B236" s="86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>
      <c r="A237" s="85"/>
      <c r="B237" s="86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>
      <c r="A238" s="85"/>
      <c r="B238" s="86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>
      <c r="A239" s="85"/>
      <c r="B239" s="86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>
      <c r="A240" s="85"/>
      <c r="B240" s="86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>
      <c r="A241" s="85"/>
      <c r="B241" s="86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>
      <c r="A242" s="85"/>
      <c r="B242" s="86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>
      <c r="A243" s="85"/>
      <c r="B243" s="86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>
      <c r="A244" s="85"/>
      <c r="B244" s="86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>
      <c r="A245" s="85"/>
      <c r="B245" s="86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>
      <c r="A246" s="85"/>
      <c r="B246" s="86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>
      <c r="A247" s="85"/>
      <c r="B247" s="86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>
      <c r="A248" s="85"/>
      <c r="B248" s="86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>
      <c r="A249" s="85"/>
      <c r="B249" s="86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>
      <c r="A250" s="85"/>
      <c r="B250" s="86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>
      <c r="A251" s="85"/>
      <c r="B251" s="86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>
      <c r="A252" s="85"/>
      <c r="B252" s="86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>
      <c r="A253" s="85"/>
      <c r="B253" s="86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>
      <c r="A254" s="85"/>
      <c r="B254" s="86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>
      <c r="A255" s="85"/>
      <c r="B255" s="86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>
      <c r="A256" s="85"/>
      <c r="B256" s="86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>
      <c r="A257" s="85"/>
      <c r="B257" s="86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>
      <c r="A258" s="85"/>
      <c r="B258" s="86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>
      <c r="A259" s="85"/>
      <c r="B259" s="86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>
      <c r="A260" s="85"/>
      <c r="B260" s="86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>
      <c r="A261" s="85"/>
      <c r="B261" s="86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>
      <c r="A262" s="85"/>
      <c r="B262" s="86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>
      <c r="A263" s="85"/>
      <c r="B263" s="86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>
      <c r="A264" s="85"/>
      <c r="B264" s="86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>
      <c r="A265" s="85"/>
      <c r="B265" s="86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>
      <c r="A266" s="85"/>
      <c r="B266" s="86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>
      <c r="A267" s="85"/>
      <c r="B267" s="86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>
      <c r="A268" s="85"/>
      <c r="B268" s="86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>
      <c r="A269" s="85"/>
      <c r="B269" s="86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>
      <c r="A270" s="85"/>
      <c r="B270" s="86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>
      <c r="A271" s="85"/>
      <c r="B271" s="86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>
      <c r="A272" s="85"/>
      <c r="B272" s="86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>
      <c r="A273" s="85"/>
      <c r="B273" s="86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>
      <c r="A274" s="85"/>
      <c r="B274" s="86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>
      <c r="A275" s="85"/>
      <c r="B275" s="86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>
      <c r="A276" s="85"/>
      <c r="B276" s="86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>
      <c r="A277" s="85"/>
      <c r="B277" s="86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>
      <c r="A278" s="85"/>
      <c r="B278" s="86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>
      <c r="A279" s="85"/>
      <c r="B279" s="86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>
      <c r="A280" s="85"/>
      <c r="B280" s="86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>
      <c r="A281" s="85"/>
      <c r="B281" s="86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>
      <c r="A282" s="85"/>
      <c r="B282" s="86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>
      <c r="A283" s="85"/>
      <c r="B283" s="86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>
      <c r="A284" s="85"/>
      <c r="B284" s="86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>
      <c r="A285" s="85"/>
      <c r="B285" s="86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>
      <c r="A286" s="85"/>
      <c r="B286" s="86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>
      <c r="A287" s="85"/>
      <c r="B287" s="86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>
      <c r="A288" s="85"/>
      <c r="B288" s="86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>
      <c r="A289" s="85"/>
      <c r="B289" s="86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>
      <c r="A290" s="85"/>
      <c r="B290" s="86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>
      <c r="A291" s="85"/>
      <c r="B291" s="86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>
      <c r="A292" s="85"/>
      <c r="B292" s="86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>
      <c r="A293" s="85"/>
      <c r="B293" s="86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>
      <c r="A294" s="85"/>
      <c r="B294" s="86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>
      <c r="A295" s="85"/>
      <c r="B295" s="86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>
      <c r="A296" s="85"/>
      <c r="B296" s="86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>
      <c r="A297" s="85"/>
      <c r="B297" s="86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>
      <c r="A298" s="85"/>
      <c r="B298" s="86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>
      <c r="A299" s="85"/>
      <c r="B299" s="86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>
      <c r="A300" s="85"/>
      <c r="B300" s="86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>
      <c r="A301" s="85"/>
      <c r="B301" s="86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>
      <c r="A302" s="85"/>
      <c r="B302" s="86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>
      <c r="A303" s="85"/>
      <c r="B303" s="86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>
      <c r="A304" s="85"/>
      <c r="B304" s="86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>
      <c r="A305" s="85"/>
      <c r="B305" s="86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>
      <c r="A306" s="85"/>
      <c r="B306" s="86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>
      <c r="A307" s="85"/>
      <c r="B307" s="86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>
      <c r="A308" s="85"/>
      <c r="B308" s="86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>
      <c r="A309" s="85"/>
      <c r="B309" s="86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>
      <c r="A310" s="85"/>
      <c r="B310" s="86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>
      <c r="A311" s="85"/>
      <c r="B311" s="86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>
      <c r="A312" s="85"/>
      <c r="B312" s="86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>
      <c r="A313" s="85"/>
      <c r="B313" s="86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>
      <c r="A314" s="85"/>
      <c r="B314" s="86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>
      <c r="A315" s="85"/>
      <c r="B315" s="86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>
      <c r="A316" s="85"/>
      <c r="B316" s="86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>
      <c r="A317" s="85"/>
      <c r="B317" s="86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>
      <c r="A318" s="85"/>
      <c r="B318" s="86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>
      <c r="A319" s="85"/>
      <c r="B319" s="86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>
      <c r="A320" s="85"/>
      <c r="B320" s="86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>
      <c r="A321" s="85"/>
      <c r="B321" s="86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>
      <c r="A322" s="85"/>
      <c r="B322" s="86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>
      <c r="A323" s="85"/>
      <c r="B323" s="86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>
      <c r="A324" s="85"/>
      <c r="B324" s="86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>
      <c r="A325" s="85"/>
      <c r="B325" s="86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>
      <c r="A326" s="85"/>
      <c r="B326" s="86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>
      <c r="A327" s="85"/>
      <c r="B327" s="86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>
      <c r="A328" s="85"/>
      <c r="B328" s="86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>
      <c r="A329" s="85"/>
      <c r="B329" s="86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>
      <c r="A330" s="85"/>
      <c r="B330" s="86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>
      <c r="A331" s="85"/>
      <c r="B331" s="86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>
      <c r="A332" s="85"/>
      <c r="B332" s="86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>
      <c r="A333" s="85"/>
      <c r="B333" s="86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>
      <c r="A334" s="85"/>
      <c r="B334" s="86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>
      <c r="A335" s="85"/>
      <c r="B335" s="86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>
      <c r="A336" s="85"/>
      <c r="B336" s="86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>
      <c r="A337" s="85"/>
      <c r="B337" s="86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>
      <c r="A338" s="85"/>
      <c r="B338" s="86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>
      <c r="A339" s="85"/>
      <c r="B339" s="86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>
      <c r="A340" s="85"/>
      <c r="B340" s="86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>
      <c r="A341" s="85"/>
      <c r="B341" s="86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>
      <c r="A342" s="85"/>
      <c r="B342" s="86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>
      <c r="A343" s="85"/>
      <c r="B343" s="86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>
      <c r="A344" s="85"/>
      <c r="B344" s="86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>
      <c r="A345" s="85"/>
      <c r="B345" s="86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>
      <c r="A346" s="85"/>
      <c r="B346" s="86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>
      <c r="A347" s="85"/>
      <c r="B347" s="86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>
      <c r="A348" s="85"/>
      <c r="B348" s="86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>
      <c r="A349" s="85"/>
      <c r="B349" s="86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>
      <c r="A350" s="85"/>
      <c r="B350" s="86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>
      <c r="A351" s="85"/>
      <c r="B351" s="86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>
      <c r="A352" s="85"/>
      <c r="B352" s="86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>
      <c r="A353" s="85"/>
      <c r="B353" s="86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>
      <c r="A354" s="85"/>
      <c r="B354" s="86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>
      <c r="A355" s="85"/>
      <c r="B355" s="86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>
      <c r="A356" s="85"/>
      <c r="B356" s="86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>
      <c r="A357" s="85"/>
      <c r="B357" s="86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>
      <c r="A358" s="85"/>
      <c r="B358" s="86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>
      <c r="A359" s="85"/>
      <c r="B359" s="86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>
      <c r="A360" s="85"/>
      <c r="B360" s="86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>
      <c r="A361" s="85"/>
      <c r="B361" s="86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>
      <c r="A362" s="85"/>
      <c r="B362" s="86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>
      <c r="A363" s="85"/>
      <c r="B363" s="86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>
      <c r="A364" s="85"/>
      <c r="B364" s="86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>
      <c r="A365" s="85"/>
      <c r="B365" s="86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>
      <c r="A366" s="85"/>
      <c r="B366" s="86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>
      <c r="A367" s="85"/>
      <c r="B367" s="86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>
      <c r="A368" s="85"/>
      <c r="B368" s="86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>
      <c r="A369" s="85"/>
      <c r="B369" s="86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>
      <c r="A370" s="85"/>
      <c r="B370" s="86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>
      <c r="A371" s="85"/>
      <c r="B371" s="86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>
      <c r="A372" s="85"/>
      <c r="B372" s="86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>
      <c r="A373" s="85"/>
      <c r="B373" s="86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>
      <c r="A374" s="85"/>
      <c r="B374" s="86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>
      <c r="A375" s="85"/>
      <c r="B375" s="86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>
      <c r="A376" s="85"/>
      <c r="B376" s="86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>
      <c r="A377" s="85"/>
      <c r="B377" s="86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>
      <c r="A378" s="85"/>
      <c r="B378" s="86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>
      <c r="A379" s="85"/>
      <c r="B379" s="86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>
      <c r="A380" s="85"/>
      <c r="B380" s="86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>
      <c r="A381" s="85"/>
      <c r="B381" s="86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>
      <c r="A382" s="85"/>
      <c r="B382" s="86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>
      <c r="A383" s="85"/>
      <c r="B383" s="86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>
      <c r="A384" s="85"/>
      <c r="B384" s="86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>
      <c r="A385" s="85"/>
      <c r="B385" s="86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>
      <c r="A386" s="85"/>
      <c r="B386" s="86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>
      <c r="A387" s="85"/>
      <c r="B387" s="86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>
      <c r="A388" s="85"/>
      <c r="B388" s="86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>
      <c r="A389" s="85"/>
      <c r="B389" s="86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>
      <c r="A390" s="85"/>
      <c r="B390" s="86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>
      <c r="A391" s="85"/>
      <c r="B391" s="86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>
      <c r="A392" s="85"/>
      <c r="B392" s="86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>
      <c r="A393" s="85"/>
      <c r="B393" s="86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>
      <c r="A394" s="85"/>
      <c r="B394" s="86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>
      <c r="A395" s="85"/>
      <c r="B395" s="86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>
      <c r="A396" s="85"/>
      <c r="B396" s="86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>
      <c r="A397" s="85"/>
      <c r="B397" s="86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>
      <c r="A398" s="85"/>
      <c r="B398" s="86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>
      <c r="A399" s="85"/>
      <c r="B399" s="86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>
      <c r="A400" s="85"/>
      <c r="B400" s="86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>
      <c r="A401" s="85"/>
      <c r="B401" s="86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>
      <c r="A402" s="85"/>
      <c r="B402" s="86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>
      <c r="A403" s="85"/>
      <c r="B403" s="86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>
      <c r="A404" s="85"/>
      <c r="B404" s="86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>
      <c r="A405" s="85"/>
      <c r="B405" s="86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>
      <c r="A406" s="85"/>
      <c r="B406" s="86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>
      <c r="A407" s="85"/>
      <c r="B407" s="86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>
      <c r="A408" s="85"/>
      <c r="B408" s="86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>
      <c r="A409" s="85"/>
      <c r="B409" s="86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>
      <c r="A410" s="85"/>
      <c r="B410" s="86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>
      <c r="A411" s="85"/>
      <c r="B411" s="86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>
      <c r="A412" s="85"/>
      <c r="B412" s="86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>
      <c r="A413" s="85"/>
      <c r="B413" s="86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>
      <c r="A414" s="85"/>
      <c r="B414" s="86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>
      <c r="A415" s="85"/>
      <c r="B415" s="86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>
      <c r="A416" s="85"/>
      <c r="B416" s="86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>
      <c r="A417" s="85"/>
      <c r="B417" s="86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>
      <c r="A418" s="85"/>
      <c r="B418" s="86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>
      <c r="A419" s="85"/>
      <c r="B419" s="86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>
      <c r="A420" s="85"/>
      <c r="B420" s="86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>
      <c r="A421" s="85"/>
      <c r="B421" s="86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>
      <c r="A422" s="85"/>
      <c r="B422" s="86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>
      <c r="A423" s="85"/>
      <c r="B423" s="86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>
      <c r="A424" s="85"/>
      <c r="B424" s="86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>
      <c r="A425" s="85"/>
      <c r="B425" s="86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>
      <c r="A426" s="85"/>
      <c r="B426" s="86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>
      <c r="A427" s="85"/>
      <c r="B427" s="86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>
      <c r="A428" s="85"/>
      <c r="B428" s="86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>
      <c r="A429" s="85"/>
      <c r="B429" s="86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>
      <c r="A430" s="85"/>
      <c r="B430" s="86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>
      <c r="A431" s="85"/>
      <c r="B431" s="86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>
      <c r="A432" s="85"/>
      <c r="B432" s="86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>
      <c r="A433" s="85"/>
      <c r="B433" s="86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>
      <c r="A434" s="85"/>
      <c r="B434" s="86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>
      <c r="A435" s="85"/>
      <c r="B435" s="86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>
      <c r="A436" s="85"/>
      <c r="B436" s="86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>
      <c r="A437" s="85"/>
      <c r="B437" s="86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>
      <c r="A438" s="85"/>
      <c r="B438" s="86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>
      <c r="A439" s="85"/>
      <c r="B439" s="86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>
      <c r="A440" s="85"/>
      <c r="B440" s="86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>
      <c r="A441" s="85"/>
      <c r="B441" s="86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>
      <c r="A442" s="85"/>
      <c r="B442" s="86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>
      <c r="A443" s="85"/>
      <c r="B443" s="86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>
      <c r="A444" s="85"/>
      <c r="B444" s="86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>
      <c r="A445" s="85"/>
      <c r="B445" s="86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>
      <c r="A446" s="85"/>
      <c r="B446" s="86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>
      <c r="A447" s="85"/>
      <c r="B447" s="86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>
      <c r="A448" s="85"/>
      <c r="B448" s="86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>
      <c r="A449" s="85"/>
      <c r="B449" s="86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>
      <c r="A450" s="85"/>
      <c r="B450" s="86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>
      <c r="A451" s="85"/>
      <c r="B451" s="86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>
      <c r="A452" s="85"/>
      <c r="B452" s="86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>
      <c r="A453" s="85"/>
      <c r="B453" s="86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>
      <c r="A454" s="85"/>
      <c r="B454" s="86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>
      <c r="A455" s="85"/>
      <c r="B455" s="86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>
      <c r="A456" s="85"/>
      <c r="B456" s="86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>
      <c r="A457" s="85"/>
      <c r="B457" s="86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>
      <c r="A458" s="85"/>
      <c r="B458" s="86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>
      <c r="A459" s="85"/>
      <c r="B459" s="86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>
      <c r="A460" s="85"/>
      <c r="B460" s="86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>
      <c r="A461" s="85"/>
      <c r="B461" s="86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>
      <c r="A462" s="85"/>
      <c r="B462" s="86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>
      <c r="A463" s="85"/>
      <c r="B463" s="86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>
      <c r="A464" s="85"/>
      <c r="B464" s="86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>
      <c r="A465" s="85"/>
      <c r="B465" s="86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>
      <c r="A466" s="85"/>
      <c r="B466" s="86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>
      <c r="A467" s="85"/>
      <c r="B467" s="86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>
      <c r="A468" s="85"/>
      <c r="B468" s="86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>
      <c r="A469" s="85"/>
      <c r="B469" s="86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>
      <c r="A470" s="85"/>
      <c r="B470" s="86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>
      <c r="A471" s="85"/>
      <c r="B471" s="86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>
      <c r="A472" s="85"/>
      <c r="B472" s="86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>
      <c r="A473" s="85"/>
      <c r="B473" s="86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>
      <c r="A474" s="85"/>
      <c r="B474" s="86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>
      <c r="A475" s="85"/>
      <c r="B475" s="86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>
      <c r="A476" s="85"/>
      <c r="B476" s="86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>
      <c r="A477" s="85"/>
      <c r="B477" s="86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>
      <c r="A478" s="85"/>
      <c r="B478" s="86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>
      <c r="A479" s="85"/>
      <c r="B479" s="86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>
      <c r="A480" s="85"/>
      <c r="B480" s="86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>
      <c r="A481" s="85"/>
      <c r="B481" s="86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>
      <c r="A482" s="85"/>
      <c r="B482" s="86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>
      <c r="A483" s="85"/>
      <c r="B483" s="86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>
      <c r="A484" s="85"/>
      <c r="B484" s="86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>
      <c r="A485" s="85"/>
      <c r="B485" s="86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>
      <c r="A486" s="85"/>
      <c r="B486" s="86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>
      <c r="A487" s="85"/>
      <c r="B487" s="86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>
      <c r="A488" s="85"/>
      <c r="B488" s="86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>
      <c r="A489" s="85"/>
      <c r="B489" s="86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>
      <c r="A490" s="85"/>
      <c r="B490" s="86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>
      <c r="A491" s="85"/>
      <c r="B491" s="86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>
      <c r="A492" s="85"/>
      <c r="B492" s="86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>
      <c r="A493" s="85"/>
      <c r="B493" s="86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>
      <c r="A494" s="85"/>
      <c r="B494" s="86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>
      <c r="A495" s="85"/>
      <c r="B495" s="86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>
      <c r="A496" s="85"/>
      <c r="B496" s="86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>
      <c r="A497" s="85"/>
      <c r="B497" s="86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>
      <c r="A498" s="85"/>
      <c r="B498" s="86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>
      <c r="A499" s="85"/>
      <c r="B499" s="86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>
      <c r="A500" s="85"/>
      <c r="B500" s="86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>
      <c r="A501" s="85"/>
      <c r="B501" s="86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>
      <c r="A502" s="85"/>
      <c r="B502" s="86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>
      <c r="A503" s="85"/>
      <c r="B503" s="86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>
      <c r="A504" s="85"/>
      <c r="B504" s="86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>
      <c r="A505" s="85"/>
      <c r="B505" s="86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>
      <c r="A506" s="85"/>
      <c r="B506" s="86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>
      <c r="A507" s="85"/>
      <c r="B507" s="86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>
      <c r="A508" s="85"/>
      <c r="B508" s="86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>
      <c r="A509" s="85"/>
      <c r="B509" s="86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>
      <c r="A510" s="85"/>
      <c r="B510" s="86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>
      <c r="A511" s="85"/>
      <c r="B511" s="86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>
      <c r="A512" s="85"/>
      <c r="B512" s="86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>
      <c r="A513" s="85"/>
      <c r="B513" s="86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>
      <c r="A514" s="85"/>
      <c r="B514" s="86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>
      <c r="A515" s="85"/>
      <c r="B515" s="86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>
      <c r="A516" s="85"/>
      <c r="B516" s="86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>
      <c r="A517" s="85"/>
      <c r="B517" s="86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>
      <c r="A518" s="85"/>
      <c r="B518" s="86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>
      <c r="A519" s="85"/>
      <c r="B519" s="86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>
      <c r="A520" s="85"/>
      <c r="B520" s="86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>
      <c r="A521" s="85"/>
      <c r="B521" s="86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>
      <c r="A522" s="85"/>
      <c r="B522" s="86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>
      <c r="A523" s="85"/>
      <c r="B523" s="86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>
      <c r="A524" s="85"/>
      <c r="B524" s="86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>
      <c r="A525" s="85"/>
      <c r="B525" s="86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>
      <c r="A526" s="85"/>
      <c r="B526" s="86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>
      <c r="A527" s="85"/>
      <c r="B527" s="86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>
      <c r="A528" s="85"/>
      <c r="B528" s="86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>
      <c r="A529" s="85"/>
      <c r="B529" s="86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>
      <c r="A530" s="85"/>
      <c r="B530" s="86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>
      <c r="A531" s="85"/>
      <c r="B531" s="86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>
      <c r="A532" s="85"/>
      <c r="B532" s="86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>
      <c r="A533" s="85"/>
      <c r="B533" s="86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>
      <c r="A534" s="85"/>
      <c r="B534" s="86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>
      <c r="A535" s="85"/>
      <c r="B535" s="86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>
      <c r="A536" s="85"/>
      <c r="B536" s="86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>
      <c r="A537" s="85"/>
      <c r="B537" s="86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>
      <c r="A538" s="85"/>
      <c r="B538" s="86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>
      <c r="A539" s="85"/>
      <c r="B539" s="86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>
      <c r="A540" s="85"/>
      <c r="B540" s="86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>
      <c r="A541" s="85"/>
      <c r="B541" s="86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>
      <c r="A542" s="85"/>
      <c r="B542" s="86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>
      <c r="A543" s="85"/>
      <c r="B543" s="86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>
      <c r="A544" s="85"/>
      <c r="B544" s="86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>
      <c r="A545" s="85"/>
      <c r="B545" s="86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>
      <c r="A546" s="85"/>
      <c r="B546" s="86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>
      <c r="A547" s="85"/>
      <c r="B547" s="86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>
      <c r="A548" s="85"/>
      <c r="B548" s="86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>
      <c r="A549" s="85"/>
      <c r="B549" s="86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>
      <c r="A550" s="85"/>
      <c r="B550" s="86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>
      <c r="A551" s="85"/>
      <c r="B551" s="86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>
      <c r="A552" s="85"/>
      <c r="B552" s="86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>
      <c r="A553" s="85"/>
      <c r="B553" s="86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>
      <c r="A554" s="85"/>
      <c r="B554" s="86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>
      <c r="A555" s="85"/>
      <c r="B555" s="86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>
      <c r="A556" s="85"/>
      <c r="B556" s="86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>
      <c r="A557" s="85"/>
      <c r="B557" s="86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>
      <c r="A558" s="85"/>
      <c r="B558" s="86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>
      <c r="A559" s="85"/>
      <c r="B559" s="86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>
      <c r="A560" s="85"/>
      <c r="B560" s="86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>
      <c r="A561" s="85"/>
      <c r="B561" s="86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>
      <c r="A562" s="85"/>
      <c r="B562" s="86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>
      <c r="A563" s="85"/>
      <c r="B563" s="86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>
      <c r="A564" s="85"/>
      <c r="B564" s="86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>
      <c r="A565" s="85"/>
      <c r="B565" s="86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>
      <c r="A566" s="85"/>
      <c r="B566" s="86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>
      <c r="A567" s="85"/>
      <c r="B567" s="86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>
      <c r="A568" s="85"/>
      <c r="B568" s="86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>
      <c r="A569" s="85"/>
      <c r="B569" s="86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>
      <c r="A570" s="85"/>
      <c r="B570" s="86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>
      <c r="A571" s="85"/>
      <c r="B571" s="86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>
      <c r="A572" s="85"/>
      <c r="B572" s="86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>
      <c r="A573" s="85"/>
      <c r="B573" s="86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>
      <c r="A574" s="85"/>
      <c r="B574" s="86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>
      <c r="A575" s="85"/>
      <c r="B575" s="86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>
      <c r="A576" s="85"/>
      <c r="B576" s="86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>
      <c r="A577" s="85"/>
      <c r="B577" s="86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>
      <c r="A578" s="85"/>
      <c r="B578" s="86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>
      <c r="A579" s="85"/>
      <c r="B579" s="86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>
      <c r="A580" s="85"/>
      <c r="B580" s="86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>
      <c r="A581" s="85"/>
      <c r="B581" s="86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>
      <c r="A582" s="85"/>
      <c r="B582" s="86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>
      <c r="A583" s="85"/>
      <c r="B583" s="86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>
      <c r="A584" s="85"/>
      <c r="B584" s="86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>
      <c r="A585" s="85"/>
      <c r="B585" s="86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>
      <c r="A586" s="85"/>
      <c r="B586" s="86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>
      <c r="A587" s="85"/>
      <c r="B587" s="86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>
      <c r="A588" s="85"/>
      <c r="B588" s="86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>
      <c r="A589" s="85"/>
      <c r="B589" s="86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>
      <c r="A590" s="85"/>
      <c r="B590" s="86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>
      <c r="A591" s="85"/>
      <c r="B591" s="86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>
      <c r="A592" s="85"/>
      <c r="B592" s="86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>
      <c r="A593" s="85"/>
      <c r="B593" s="86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>
      <c r="A594" s="85"/>
      <c r="B594" s="86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>
      <c r="A595" s="85"/>
      <c r="B595" s="86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>
      <c r="A596" s="85"/>
      <c r="B596" s="86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>
      <c r="A597" s="85"/>
      <c r="B597" s="86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>
      <c r="A598" s="85"/>
      <c r="B598" s="86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>
      <c r="A599" s="85"/>
      <c r="B599" s="86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>
      <c r="A600" s="85"/>
      <c r="B600" s="86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>
      <c r="A601" s="85"/>
      <c r="B601" s="86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>
      <c r="A602" s="85"/>
      <c r="B602" s="86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>
      <c r="A603" s="85"/>
      <c r="B603" s="86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>
      <c r="A604" s="85"/>
      <c r="B604" s="86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>
      <c r="A605" s="85"/>
      <c r="B605" s="86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>
      <c r="A606" s="85"/>
      <c r="B606" s="86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>
      <c r="A607" s="85"/>
      <c r="B607" s="86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>
      <c r="A608" s="85"/>
      <c r="B608" s="86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>
      <c r="A609" s="85"/>
      <c r="B609" s="86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>
      <c r="A610" s="85"/>
      <c r="B610" s="86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>
      <c r="A611" s="85"/>
      <c r="B611" s="86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>
      <c r="A612" s="85"/>
      <c r="B612" s="86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>
      <c r="A613" s="85"/>
      <c r="B613" s="86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>
      <c r="A614" s="85"/>
      <c r="B614" s="86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>
      <c r="A615" s="85"/>
      <c r="B615" s="86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>
      <c r="A616" s="85"/>
      <c r="B616" s="86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>
      <c r="A617" s="85"/>
      <c r="B617" s="86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>
      <c r="A618" s="85"/>
      <c r="B618" s="86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>
      <c r="A619" s="85"/>
      <c r="B619" s="86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>
      <c r="A620" s="85"/>
      <c r="B620" s="86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>
      <c r="A621" s="85"/>
      <c r="B621" s="86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>
      <c r="A622" s="85"/>
      <c r="B622" s="86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>
      <c r="A623" s="85"/>
      <c r="B623" s="86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>
      <c r="A624" s="85"/>
      <c r="B624" s="86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>
      <c r="A625" s="85"/>
      <c r="B625" s="86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>
      <c r="A626" s="85"/>
      <c r="B626" s="86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>
      <c r="A627" s="85"/>
      <c r="B627" s="86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>
      <c r="A628" s="85"/>
      <c r="B628" s="86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>
      <c r="A629" s="85"/>
      <c r="B629" s="86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>
      <c r="A630" s="85"/>
      <c r="B630" s="86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>
      <c r="A631" s="85"/>
      <c r="B631" s="86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>
      <c r="A632" s="85"/>
      <c r="B632" s="86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>
      <c r="A633" s="85"/>
      <c r="B633" s="86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>
      <c r="A634" s="85"/>
      <c r="B634" s="86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>
      <c r="A635" s="85"/>
      <c r="B635" s="86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>
      <c r="A636" s="85"/>
      <c r="B636" s="86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>
      <c r="A637" s="85"/>
      <c r="B637" s="86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>
      <c r="A638" s="85"/>
      <c r="B638" s="86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>
      <c r="A639" s="85"/>
      <c r="B639" s="86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>
      <c r="A640" s="85"/>
      <c r="B640" s="86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>
      <c r="A641" s="85"/>
      <c r="B641" s="86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>
      <c r="A642" s="85"/>
      <c r="B642" s="86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>
      <c r="A643" s="85"/>
      <c r="B643" s="86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>
      <c r="A644" s="85"/>
      <c r="B644" s="86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>
      <c r="A645" s="85"/>
      <c r="B645" s="86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>
      <c r="A646" s="85"/>
      <c r="B646" s="86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>
      <c r="A647" s="85"/>
      <c r="B647" s="86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>
      <c r="A648" s="85"/>
      <c r="B648" s="86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>
      <c r="A649" s="85"/>
      <c r="B649" s="86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>
      <c r="A650" s="85"/>
      <c r="B650" s="86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>
      <c r="A651" s="85"/>
      <c r="B651" s="86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>
      <c r="A652" s="85"/>
      <c r="B652" s="86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>
      <c r="A653" s="85"/>
      <c r="B653" s="86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>
      <c r="A654" s="85"/>
      <c r="B654" s="86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>
      <c r="A655" s="85"/>
      <c r="B655" s="86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>
      <c r="A656" s="85"/>
      <c r="B656" s="86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>
      <c r="A657" s="85"/>
      <c r="B657" s="86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>
      <c r="A658" s="85"/>
      <c r="B658" s="86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>
      <c r="A659" s="85"/>
      <c r="B659" s="86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>
      <c r="A660" s="85"/>
      <c r="B660" s="86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>
      <c r="A661" s="85"/>
      <c r="B661" s="86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>
      <c r="A662" s="85"/>
      <c r="B662" s="86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>
      <c r="A663" s="85"/>
      <c r="B663" s="86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>
      <c r="A664" s="85"/>
      <c r="B664" s="86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>
      <c r="A665" s="85"/>
      <c r="B665" s="86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>
      <c r="A666" s="85"/>
      <c r="B666" s="86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>
      <c r="A667" s="85"/>
      <c r="B667" s="86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>
      <c r="A668" s="85"/>
      <c r="B668" s="86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>
      <c r="A669" s="85"/>
      <c r="B669" s="86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>
      <c r="A670" s="85"/>
      <c r="B670" s="86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>
      <c r="A671" s="85"/>
      <c r="B671" s="86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>
      <c r="A672" s="85"/>
      <c r="B672" s="86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>
      <c r="A673" s="85"/>
      <c r="B673" s="86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>
      <c r="A674" s="85"/>
      <c r="B674" s="86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>
      <c r="A675" s="85"/>
      <c r="B675" s="86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>
      <c r="A676" s="85"/>
      <c r="B676" s="86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>
      <c r="A677" s="85"/>
      <c r="B677" s="86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>
      <c r="A678" s="85"/>
      <c r="B678" s="86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>
      <c r="A679" s="85"/>
      <c r="B679" s="86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>
      <c r="A680" s="85"/>
      <c r="B680" s="86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>
      <c r="A681" s="85"/>
      <c r="B681" s="86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>
      <c r="A682" s="85"/>
      <c r="B682" s="86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>
      <c r="A683" s="85"/>
      <c r="B683" s="86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>
      <c r="A684" s="85"/>
      <c r="B684" s="86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>
      <c r="A685" s="85"/>
      <c r="B685" s="86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>
      <c r="A686" s="85"/>
      <c r="B686" s="86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>
      <c r="A687" s="85"/>
      <c r="B687" s="86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>
      <c r="A688" s="85"/>
      <c r="B688" s="86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>
      <c r="A689" s="85"/>
      <c r="B689" s="86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>
      <c r="A690" s="85"/>
      <c r="B690" s="86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>
      <c r="A691" s="85"/>
      <c r="B691" s="86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>
      <c r="A692" s="85"/>
      <c r="B692" s="86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>
      <c r="A693" s="85"/>
      <c r="B693" s="86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>
      <c r="A694" s="85"/>
      <c r="B694" s="86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>
      <c r="A695" s="85"/>
      <c r="B695" s="86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>
      <c r="A696" s="85"/>
      <c r="B696" s="86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>
      <c r="A697" s="85"/>
      <c r="B697" s="86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>
      <c r="A698" s="85"/>
      <c r="B698" s="86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>
      <c r="A699" s="85"/>
      <c r="B699" s="86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>
      <c r="A700" s="85"/>
      <c r="B700" s="86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>
      <c r="A701" s="85"/>
      <c r="B701" s="86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>
      <c r="A702" s="85"/>
      <c r="B702" s="86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>
      <c r="A703" s="85"/>
      <c r="B703" s="86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>
      <c r="A704" s="85"/>
      <c r="B704" s="86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>
      <c r="A705" s="85"/>
      <c r="B705" s="86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>
      <c r="A706" s="85"/>
      <c r="B706" s="86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>
      <c r="A707" s="85"/>
      <c r="B707" s="86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>
      <c r="A708" s="85"/>
      <c r="B708" s="86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>
      <c r="A709" s="85"/>
      <c r="B709" s="86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>
      <c r="A710" s="85"/>
      <c r="B710" s="86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>
      <c r="A711" s="85"/>
      <c r="B711" s="86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>
      <c r="A712" s="85"/>
      <c r="B712" s="86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>
      <c r="A713" s="85"/>
      <c r="B713" s="86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>
      <c r="A714" s="85"/>
      <c r="B714" s="86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>
      <c r="A715" s="85"/>
      <c r="B715" s="86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>
      <c r="A716" s="85"/>
      <c r="B716" s="86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>
      <c r="A717" s="85"/>
      <c r="B717" s="86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>
      <c r="A718" s="85"/>
      <c r="B718" s="86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>
      <c r="A719" s="85"/>
      <c r="B719" s="86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>
      <c r="A720" s="85"/>
      <c r="B720" s="86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>
      <c r="A721" s="85"/>
      <c r="B721" s="86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>
      <c r="A722" s="85"/>
      <c r="B722" s="86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>
      <c r="A723" s="85"/>
      <c r="B723" s="86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>
      <c r="A724" s="85"/>
      <c r="B724" s="86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>
      <c r="A725" s="85"/>
      <c r="B725" s="86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>
      <c r="A726" s="85"/>
      <c r="B726" s="86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>
      <c r="A727" s="85"/>
      <c r="B727" s="86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>
      <c r="A728" s="85"/>
      <c r="B728" s="86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>
      <c r="A729" s="85"/>
      <c r="B729" s="86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>
      <c r="A730" s="85"/>
      <c r="B730" s="86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>
      <c r="A731" s="85"/>
      <c r="B731" s="86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>
      <c r="A732" s="85"/>
      <c r="B732" s="86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>
      <c r="A733" s="85"/>
      <c r="B733" s="86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>
      <c r="A734" s="85"/>
      <c r="B734" s="86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>
      <c r="A735" s="85"/>
      <c r="B735" s="86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>
      <c r="A736" s="85"/>
      <c r="B736" s="86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>
      <c r="A737" s="85"/>
      <c r="B737" s="86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>
      <c r="A738" s="85"/>
      <c r="B738" s="86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>
      <c r="A739" s="85"/>
      <c r="B739" s="86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>
      <c r="A740" s="85"/>
      <c r="B740" s="86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>
      <c r="A741" s="85"/>
      <c r="B741" s="86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>
      <c r="A742" s="85"/>
      <c r="B742" s="86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>
      <c r="A743" s="85"/>
      <c r="B743" s="86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>
      <c r="A744" s="85"/>
      <c r="B744" s="86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>
      <c r="A745" s="85"/>
      <c r="B745" s="86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>
      <c r="A746" s="85"/>
      <c r="B746" s="86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>
      <c r="A747" s="85"/>
      <c r="B747" s="86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>
      <c r="A748" s="85"/>
      <c r="B748" s="86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>
      <c r="A749" s="85"/>
      <c r="B749" s="86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>
      <c r="A750" s="85"/>
      <c r="B750" s="86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>
      <c r="A751" s="85"/>
      <c r="B751" s="86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>
      <c r="A752" s="85"/>
      <c r="B752" s="86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>
      <c r="A753" s="85"/>
      <c r="B753" s="86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>
      <c r="A754" s="85"/>
      <c r="B754" s="86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>
      <c r="A755" s="85"/>
      <c r="B755" s="86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>
      <c r="A756" s="85"/>
      <c r="B756" s="86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>
      <c r="A757" s="85"/>
      <c r="B757" s="86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>
      <c r="A758" s="85"/>
      <c r="B758" s="86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>
      <c r="A759" s="85"/>
      <c r="B759" s="86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>
      <c r="A760" s="85"/>
      <c r="B760" s="86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>
      <c r="A761" s="85"/>
      <c r="B761" s="86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>
      <c r="A762" s="85"/>
      <c r="B762" s="86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>
      <c r="A763" s="85"/>
      <c r="B763" s="86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>
      <c r="A764" s="85"/>
      <c r="B764" s="86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>
      <c r="A765" s="85"/>
      <c r="B765" s="86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>
      <c r="A766" s="85"/>
      <c r="B766" s="86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>
      <c r="A767" s="85"/>
      <c r="B767" s="86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>
      <c r="A768" s="85"/>
      <c r="B768" s="86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>
      <c r="A769" s="85"/>
      <c r="B769" s="86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>
      <c r="A770" s="85"/>
      <c r="B770" s="86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>
      <c r="A771" s="85"/>
      <c r="B771" s="86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>
      <c r="A772" s="85"/>
      <c r="B772" s="86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>
      <c r="A773" s="85"/>
      <c r="B773" s="86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>
      <c r="A774" s="85"/>
      <c r="B774" s="86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>
      <c r="A775" s="85"/>
      <c r="B775" s="86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>
      <c r="A776" s="85"/>
      <c r="B776" s="86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>
      <c r="A777" s="85"/>
      <c r="B777" s="86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>
      <c r="A778" s="85"/>
      <c r="B778" s="86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>
      <c r="A779" s="85"/>
      <c r="B779" s="86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>
      <c r="A780" s="85"/>
      <c r="B780" s="86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>
      <c r="A781" s="85"/>
      <c r="B781" s="86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>
      <c r="A782" s="85"/>
      <c r="B782" s="86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>
      <c r="A783" s="85"/>
      <c r="B783" s="86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>
      <c r="A784" s="85"/>
      <c r="B784" s="86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>
      <c r="A785" s="85"/>
      <c r="B785" s="86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>
      <c r="A786" s="85"/>
      <c r="B786" s="86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>
      <c r="A787" s="85"/>
      <c r="B787" s="86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>
      <c r="A788" s="85"/>
      <c r="B788" s="86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>
      <c r="A789" s="85"/>
      <c r="B789" s="86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>
      <c r="A790" s="85"/>
      <c r="B790" s="86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>
      <c r="A791" s="85"/>
      <c r="B791" s="86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>
      <c r="A792" s="85"/>
      <c r="B792" s="86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>
      <c r="A793" s="85"/>
      <c r="B793" s="86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>
      <c r="A794" s="85"/>
      <c r="B794" s="86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>
      <c r="A795" s="85"/>
      <c r="B795" s="86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>
      <c r="A796" s="85"/>
      <c r="B796" s="86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>
      <c r="A797" s="85"/>
      <c r="B797" s="86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>
      <c r="A798" s="85"/>
      <c r="B798" s="86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>
      <c r="A799" s="85"/>
      <c r="B799" s="86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>
      <c r="A800" s="85"/>
      <c r="B800" s="86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>
      <c r="A801" s="85"/>
      <c r="B801" s="86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>
      <c r="A802" s="85"/>
      <c r="B802" s="86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>
      <c r="A803" s="85"/>
      <c r="B803" s="86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>
      <c r="A804" s="85"/>
      <c r="B804" s="86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>
      <c r="A805" s="85"/>
      <c r="B805" s="86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>
      <c r="A806" s="85"/>
      <c r="B806" s="86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>
      <c r="A807" s="85"/>
      <c r="B807" s="86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>
      <c r="A808" s="85"/>
      <c r="B808" s="86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>
      <c r="A809" s="85"/>
      <c r="B809" s="86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>
      <c r="A810" s="85"/>
      <c r="B810" s="86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>
      <c r="A811" s="85"/>
      <c r="B811" s="86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>
      <c r="A812" s="85"/>
      <c r="B812" s="86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>
      <c r="A813" s="85"/>
      <c r="B813" s="86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>
      <c r="A814" s="85"/>
      <c r="B814" s="86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>
      <c r="A815" s="85"/>
      <c r="B815" s="86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>
      <c r="A816" s="85"/>
      <c r="B816" s="86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>
      <c r="A817" s="85"/>
      <c r="B817" s="86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>
      <c r="A818" s="85"/>
      <c r="B818" s="86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>
      <c r="A819" s="85"/>
      <c r="B819" s="86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>
      <c r="A820" s="85"/>
      <c r="B820" s="86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>
      <c r="A821" s="85"/>
      <c r="B821" s="86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>
      <c r="A822" s="85"/>
      <c r="B822" s="86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>
      <c r="A823" s="85"/>
      <c r="B823" s="86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>
      <c r="A824" s="85"/>
      <c r="B824" s="86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>
      <c r="A825" s="85"/>
      <c r="B825" s="86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>
      <c r="A826" s="85"/>
      <c r="B826" s="86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>
      <c r="A827" s="85"/>
      <c r="B827" s="86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>
      <c r="A828" s="85"/>
      <c r="B828" s="86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>
      <c r="A829" s="85"/>
      <c r="B829" s="86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>
      <c r="A830" s="85"/>
      <c r="B830" s="86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>
      <c r="A831" s="85"/>
      <c r="B831" s="86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>
      <c r="A832" s="85"/>
      <c r="B832" s="86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>
      <c r="A833" s="85"/>
      <c r="B833" s="86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>
      <c r="A834" s="85"/>
      <c r="B834" s="86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>
      <c r="A835" s="85"/>
      <c r="B835" s="86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>
      <c r="A836" s="85"/>
      <c r="B836" s="86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>
      <c r="A837" s="85"/>
      <c r="B837" s="86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>
      <c r="A838" s="85"/>
      <c r="B838" s="86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>
      <c r="A839" s="85"/>
      <c r="B839" s="86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>
      <c r="A840" s="85"/>
      <c r="B840" s="86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>
      <c r="A841" s="85"/>
      <c r="B841" s="86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>
      <c r="A842" s="85"/>
      <c r="B842" s="86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>
      <c r="A843" s="85"/>
      <c r="B843" s="86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>
      <c r="A844" s="85"/>
      <c r="B844" s="86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>
      <c r="A845" s="85"/>
      <c r="B845" s="86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>
      <c r="A846" s="85"/>
      <c r="B846" s="86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>
      <c r="A847" s="85"/>
      <c r="B847" s="86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>
      <c r="A848" s="85"/>
      <c r="B848" s="86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>
      <c r="A849" s="85"/>
      <c r="B849" s="86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>
      <c r="A850" s="85"/>
      <c r="B850" s="86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>
      <c r="A851" s="85"/>
      <c r="B851" s="86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>
      <c r="A852" s="85"/>
      <c r="B852" s="86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>
      <c r="A853" s="85"/>
      <c r="B853" s="86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>
      <c r="A854" s="85"/>
      <c r="B854" s="86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>
      <c r="A855" s="85"/>
      <c r="B855" s="86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>
      <c r="A856" s="85"/>
      <c r="B856" s="86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>
      <c r="A857" s="85"/>
      <c r="B857" s="86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>
      <c r="A858" s="85"/>
      <c r="B858" s="86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>
      <c r="A859" s="85"/>
      <c r="B859" s="86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>
      <c r="A860" s="85"/>
      <c r="B860" s="86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>
      <c r="A861" s="85"/>
      <c r="B861" s="86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>
      <c r="A862" s="85"/>
      <c r="B862" s="86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>
      <c r="A863" s="85"/>
      <c r="B863" s="86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>
      <c r="A864" s="85"/>
      <c r="B864" s="86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>
      <c r="A865" s="85"/>
      <c r="B865" s="86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>
      <c r="A866" s="85"/>
      <c r="B866" s="86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>
      <c r="A867" s="85"/>
      <c r="B867" s="86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>
      <c r="A868" s="85"/>
      <c r="B868" s="86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>
      <c r="A869" s="85"/>
      <c r="B869" s="86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>
      <c r="A870" s="85"/>
      <c r="B870" s="86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>
      <c r="A871" s="85"/>
      <c r="B871" s="86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>
      <c r="A872" s="85"/>
      <c r="B872" s="86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>
      <c r="A873" s="85"/>
      <c r="B873" s="86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>
      <c r="A874" s="85"/>
      <c r="B874" s="86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>
      <c r="A875" s="85"/>
      <c r="B875" s="86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>
      <c r="A876" s="85"/>
      <c r="B876" s="86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>
      <c r="A877" s="85"/>
      <c r="B877" s="86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>
      <c r="A878" s="85"/>
      <c r="B878" s="86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>
      <c r="A879" s="85"/>
      <c r="B879" s="86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>
      <c r="A880" s="85"/>
      <c r="B880" s="86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>
      <c r="A881" s="85"/>
      <c r="B881" s="86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>
      <c r="A882" s="85"/>
      <c r="B882" s="86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>
      <c r="A883" s="85"/>
      <c r="B883" s="86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>
      <c r="A884" s="85"/>
      <c r="B884" s="86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>
      <c r="A885" s="85"/>
      <c r="B885" s="86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>
      <c r="A886" s="85"/>
      <c r="B886" s="86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>
      <c r="A887" s="85"/>
      <c r="B887" s="86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>
      <c r="A888" s="85"/>
      <c r="B888" s="86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>
      <c r="A889" s="85"/>
      <c r="B889" s="86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>
      <c r="A890" s="85"/>
      <c r="B890" s="86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>
      <c r="A891" s="85"/>
      <c r="B891" s="86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>
      <c r="A892" s="85"/>
      <c r="B892" s="86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>
      <c r="A893" s="85"/>
      <c r="B893" s="86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>
      <c r="A894" s="85"/>
      <c r="B894" s="86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>
      <c r="A895" s="85"/>
      <c r="B895" s="86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>
      <c r="A896" s="85"/>
      <c r="B896" s="86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>
      <c r="A897" s="85"/>
      <c r="B897" s="86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>
      <c r="A898" s="85"/>
      <c r="B898" s="86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>
      <c r="A899" s="85"/>
      <c r="B899" s="86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>
      <c r="A900" s="85"/>
      <c r="B900" s="86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>
      <c r="A901" s="85"/>
      <c r="B901" s="86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>
      <c r="A902" s="85"/>
      <c r="B902" s="86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>
      <c r="A903" s="85"/>
      <c r="B903" s="86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>
      <c r="A904" s="85"/>
      <c r="B904" s="86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>
      <c r="A905" s="85"/>
      <c r="B905" s="86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>
      <c r="A906" s="85"/>
      <c r="B906" s="86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>
      <c r="A907" s="85"/>
      <c r="B907" s="86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>
      <c r="A908" s="85"/>
      <c r="B908" s="86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>
      <c r="A909" s="85"/>
      <c r="B909" s="86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>
      <c r="A910" s="85"/>
      <c r="B910" s="86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>
      <c r="A911" s="85"/>
      <c r="B911" s="86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>
      <c r="A912" s="85"/>
      <c r="B912" s="86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>
      <c r="A913" s="85"/>
      <c r="B913" s="86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>
      <c r="A914" s="85"/>
      <c r="B914" s="86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>
      <c r="A915" s="85"/>
      <c r="B915" s="86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>
      <c r="A916" s="85"/>
      <c r="B916" s="86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>
      <c r="A917" s="85"/>
      <c r="B917" s="86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>
      <c r="A918" s="85"/>
      <c r="B918" s="86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>
      <c r="A919" s="85"/>
      <c r="B919" s="86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>
      <c r="A920" s="85"/>
      <c r="B920" s="86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>
      <c r="A921" s="85"/>
      <c r="B921" s="86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>
      <c r="A922" s="85"/>
      <c r="B922" s="86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>
      <c r="A923" s="85"/>
      <c r="B923" s="86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>
      <c r="A924" s="85"/>
      <c r="B924" s="86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>
      <c r="A925" s="85"/>
      <c r="B925" s="86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>
      <c r="A926" s="85"/>
      <c r="B926" s="86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>
      <c r="A927" s="85"/>
      <c r="B927" s="86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>
      <c r="A928" s="85"/>
      <c r="B928" s="86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>
      <c r="A929" s="85"/>
      <c r="B929" s="86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>
      <c r="A930" s="85"/>
      <c r="B930" s="86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>
      <c r="A931" s="85"/>
      <c r="B931" s="86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>
      <c r="A932" s="85"/>
      <c r="B932" s="86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>
      <c r="A933" s="85"/>
      <c r="B933" s="86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>
      <c r="A934" s="85"/>
      <c r="B934" s="86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>
      <c r="A935" s="85"/>
      <c r="B935" s="86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>
      <c r="A936" s="85"/>
      <c r="B936" s="86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>
      <c r="A937" s="85"/>
      <c r="B937" s="86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>
      <c r="A938" s="85"/>
      <c r="B938" s="86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>
      <c r="A939" s="85"/>
      <c r="B939" s="86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>
      <c r="A940" s="85"/>
      <c r="B940" s="86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>
      <c r="A941" s="85"/>
      <c r="B941" s="86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>
      <c r="A942" s="85"/>
      <c r="B942" s="86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>
      <c r="A943" s="85"/>
      <c r="B943" s="86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>
      <c r="A944" s="85"/>
      <c r="B944" s="86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>
      <c r="A945" s="85"/>
      <c r="B945" s="86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>
      <c r="A946" s="85"/>
      <c r="B946" s="86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>
      <c r="A947" s="85"/>
      <c r="B947" s="86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>
      <c r="A948" s="85"/>
      <c r="B948" s="86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>
      <c r="A949" s="85"/>
      <c r="B949" s="86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>
      <c r="A950" s="85"/>
      <c r="B950" s="86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>
      <c r="A951" s="85"/>
      <c r="B951" s="86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>
      <c r="A952" s="85"/>
      <c r="B952" s="86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>
      <c r="A953" s="85"/>
      <c r="B953" s="86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>
      <c r="A954" s="85"/>
      <c r="B954" s="86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>
      <c r="A955" s="85"/>
      <c r="B955" s="86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>
      <c r="A956" s="85"/>
      <c r="B956" s="86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>
      <c r="A957" s="85"/>
      <c r="B957" s="86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>
      <c r="A958" s="85"/>
      <c r="B958" s="86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>
      <c r="A959" s="85"/>
      <c r="B959" s="86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>
      <c r="A960" s="85"/>
      <c r="B960" s="86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>
      <c r="A961" s="85"/>
      <c r="B961" s="86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>
      <c r="A962" s="85"/>
      <c r="B962" s="86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>
      <c r="A963" s="85"/>
      <c r="B963" s="86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>
      <c r="A964" s="85"/>
      <c r="B964" s="86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>
      <c r="A965" s="85"/>
      <c r="B965" s="86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>
      <c r="A966" s="85"/>
      <c r="B966" s="86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>
      <c r="A967" s="85"/>
      <c r="B967" s="86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>
      <c r="A968" s="85"/>
      <c r="B968" s="86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>
      <c r="A969" s="85"/>
      <c r="B969" s="86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>
      <c r="A970" s="85"/>
      <c r="B970" s="86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>
      <c r="A971" s="85"/>
      <c r="B971" s="86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>
      <c r="A972" s="85"/>
      <c r="B972" s="86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>
      <c r="A973" s="85"/>
      <c r="B973" s="86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>
      <c r="A974" s="85"/>
      <c r="B974" s="86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>
      <c r="A975" s="85"/>
      <c r="B975" s="86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>
      <c r="A976" s="85"/>
      <c r="B976" s="86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>
      <c r="A977" s="85"/>
      <c r="B977" s="86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>
      <c r="A978" s="85"/>
      <c r="B978" s="86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>
      <c r="A979" s="85"/>
      <c r="B979" s="86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>
      <c r="A980" s="85"/>
      <c r="B980" s="86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>
      <c r="A981" s="85"/>
      <c r="B981" s="86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>
      <c r="A982" s="85"/>
      <c r="B982" s="86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>
      <c r="A983" s="85"/>
      <c r="B983" s="86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>
      <c r="A984" s="85"/>
      <c r="B984" s="86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>
      <c r="A985" s="85"/>
      <c r="B985" s="86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>
      <c r="A986" s="85"/>
      <c r="B986" s="86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>
      <c r="A987" s="85"/>
      <c r="B987" s="86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>
      <c r="A988" s="85"/>
      <c r="B988" s="86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>
      <c r="A989" s="85"/>
      <c r="B989" s="86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>
      <c r="A990" s="85"/>
      <c r="B990" s="86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>
      <c r="A991" s="85"/>
      <c r="B991" s="86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>
      <c r="A992" s="85"/>
      <c r="B992" s="86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>
      <c r="A993" s="85"/>
      <c r="B993" s="86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>
      <c r="A994" s="85"/>
      <c r="B994" s="86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>
      <c r="A995" s="85"/>
      <c r="B995" s="86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>
      <c r="A996" s="85"/>
      <c r="B996" s="86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>
      <c r="A997" s="85"/>
      <c r="B997" s="86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>
      <c r="A998" s="85"/>
      <c r="B998" s="86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>
      <c r="A999" s="85"/>
      <c r="B999" s="86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2" max="2" width="5.38"/>
    <col customWidth="1" min="3" max="3" width="15.63"/>
    <col customWidth="1" min="4" max="4" width="22.25"/>
    <col customWidth="1" min="5" max="5" width="24.38"/>
  </cols>
  <sheetData>
    <row r="1">
      <c r="A1" s="87" t="str">
        <f>IFERROR(__xludf.DUMMYFUNCTION("QUERY('Master Old'!B1:R1000,""select * where A='Rose'"",1)"),"#VALUE!")</f>
        <v>#VALUE!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2" max="2" width="9.88"/>
    <col customWidth="1" min="3" max="3" width="8.75"/>
    <col customWidth="1" min="4" max="4" width="23.25"/>
    <col customWidth="1" min="5" max="5" width="17.0"/>
    <col customWidth="1" min="7" max="7" width="10.0"/>
    <col customWidth="1" min="8" max="8" width="7.25"/>
  </cols>
  <sheetData>
    <row r="1">
      <c r="A1" s="88" t="str">
        <f>IFERROR(__xludf.DUMMYFUNCTION("QUERY('Master Old'!B1:R1000,""select * where A='Sparkling'"",1)"),"#VALUE!")</f>
        <v>#VALUE!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9"/>
      <c r="V1" s="83"/>
      <c r="W1" s="83"/>
      <c r="X1" s="83"/>
      <c r="Y1" s="83"/>
      <c r="Z1" s="83"/>
    </row>
    <row r="2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90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63"/>
    <col customWidth="1" min="5" max="5" width="31.75"/>
    <col customWidth="1" min="6" max="6" width="19.0"/>
  </cols>
  <sheetData>
    <row r="1">
      <c r="A1" s="91" t="str">
        <f>IFERROR(__xludf.DUMMYFUNCTION("QUERY('Master Old'!B1:R1000,""select * where A='Dessert'"",1)"),"#VALUE!")</f>
        <v>#VALUE!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0"/>
      <c r="B8" s="20"/>
      <c r="C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hidden="1" min="1" max="1" width="12.63"/>
    <col customWidth="1" min="4" max="4" width="23.75"/>
    <col customWidth="1" min="5" max="5" width="26.13"/>
    <col customWidth="1" min="6" max="6" width="48.0"/>
    <col hidden="1" min="7" max="9" width="12.63"/>
    <col customWidth="1" min="10" max="10" width="36.88"/>
  </cols>
  <sheetData>
    <row r="1">
      <c r="A1" s="87" t="str">
        <f>IFERROR(__xludf.DUMMYFUNCTION("QUERY('Master Old'!B1:R1000,""select * where O&gt;750"",1)"),"Category")</f>
        <v>Category</v>
      </c>
      <c r="B1" s="33" t="str">
        <f>IFERROR(__xludf.DUMMYFUNCTION("""COMPUTED_VALUE"""),"Qty")</f>
        <v>Qty</v>
      </c>
      <c r="C1" s="33" t="str">
        <f>IFERROR(__xludf.DUMMYFUNCTION("""COMPUTED_VALUE"""),"Vintage ")</f>
        <v>Vintage </v>
      </c>
      <c r="D1" s="33" t="str">
        <f>IFERROR(__xludf.DUMMYFUNCTION("""COMPUTED_VALUE"""),"Winery ")</f>
        <v>Winery </v>
      </c>
      <c r="E1" s="33" t="str">
        <f>IFERROR(__xludf.DUMMYFUNCTION("""COMPUTED_VALUE"""),"Wine ")</f>
        <v>Wine </v>
      </c>
      <c r="F1" s="33" t="str">
        <f>IFERROR(__xludf.DUMMYFUNCTION("""COMPUTED_VALUE"""),"Varietal(s)")</f>
        <v>Varietal(s)</v>
      </c>
      <c r="G1" s="33" t="str">
        <f>IFERROR(__xludf.DUMMYFUNCTION("""COMPUTED_VALUE"""),"Country ")</f>
        <v>Country </v>
      </c>
      <c r="H1" s="33" t="str">
        <f>IFERROR(__xludf.DUMMYFUNCTION("""COMPUTED_VALUE"""),"State ")</f>
        <v>State </v>
      </c>
      <c r="I1" s="33" t="str">
        <f>IFERROR(__xludf.DUMMYFUNCTION("""COMPUTED_VALUE"""),"Region ")</f>
        <v>Region </v>
      </c>
      <c r="J1" s="33" t="str">
        <f>IFERROR(__xludf.DUMMYFUNCTION("""COMPUTED_VALUE"""),"Appelation")</f>
        <v>Appelation</v>
      </c>
      <c r="K1" s="33" t="str">
        <f>IFERROR(__xludf.DUMMYFUNCTION("""COMPUTED_VALUE"""),"Sub AVA")</f>
        <v>Sub AVA</v>
      </c>
      <c r="L1" s="33" t="str">
        <f>IFERROR(__xludf.DUMMYFUNCTION("""COMPUTED_VALUE""")," ")</f>
        <v> </v>
      </c>
      <c r="M1" s="33" t="str">
        <f>IFERROR(__xludf.DUMMYFUNCTION("""COMPUTED_VALUE"""),"Retail Price ")</f>
        <v>Retail Price </v>
      </c>
      <c r="N1" s="33" t="str">
        <f>IFERROR(__xludf.DUMMYFUNCTION("""COMPUTED_VALUE"""),"Volume")</f>
        <v>Volume</v>
      </c>
      <c r="O1" s="33" t="str">
        <f>IFERROR(__xludf.DUMMYFUNCTION("""COMPUTED_VALUE"""),"Fridge")</f>
        <v>Fridge</v>
      </c>
      <c r="P1" s="33" t="str">
        <f>IFERROR(__xludf.DUMMYFUNCTION("""COMPUTED_VALUE"""),"Box #")</f>
        <v>Box #</v>
      </c>
      <c r="Q1" s="33" t="str">
        <f>IFERROR(__xludf.DUMMYFUNCTION("""COMPUTED_VALUE"""),"Notes")</f>
        <v>Notes</v>
      </c>
      <c r="R1" s="33"/>
      <c r="S1" s="83"/>
      <c r="T1" s="83"/>
      <c r="U1" s="83"/>
      <c r="V1" s="83"/>
      <c r="W1" s="83"/>
      <c r="X1" s="83"/>
      <c r="Y1" s="83"/>
      <c r="Z1" s="83"/>
    </row>
    <row r="2">
      <c r="A2" s="85" t="str">
        <f>IFERROR(__xludf.DUMMYFUNCTION("""COMPUTED_VALUE"""),"Red")</f>
        <v>Red</v>
      </c>
      <c r="B2" s="20">
        <f>IFERROR(__xludf.DUMMYFUNCTION("""COMPUTED_VALUE"""),1.0)</f>
        <v>1</v>
      </c>
      <c r="C2" s="20">
        <f>IFERROR(__xludf.DUMMYFUNCTION("""COMPUTED_VALUE"""),2019.0)</f>
        <v>2019</v>
      </c>
      <c r="D2" s="20" t="str">
        <f>IFERROR(__xludf.DUMMYFUNCTION("""COMPUTED_VALUE"""),"Bella Glos ")</f>
        <v>Bella Glos </v>
      </c>
      <c r="E2" s="20" t="str">
        <f>IFERROR(__xludf.DUMMYFUNCTION("""COMPUTED_VALUE"""),"Clark &amp; Telephone ")</f>
        <v>Clark &amp; Telephone </v>
      </c>
      <c r="F2" s="20" t="str">
        <f>IFERROR(__xludf.DUMMYFUNCTION("""COMPUTED_VALUE"""),"Pinot Noir")</f>
        <v>Pinot Noir</v>
      </c>
      <c r="G2" s="20" t="str">
        <f>IFERROR(__xludf.DUMMYFUNCTION("""COMPUTED_VALUE"""),"USA ")</f>
        <v>USA </v>
      </c>
      <c r="H2" s="20" t="str">
        <f>IFERROR(__xludf.DUMMYFUNCTION("""COMPUTED_VALUE"""),"CA")</f>
        <v>CA</v>
      </c>
      <c r="I2" s="20" t="str">
        <f>IFERROR(__xludf.DUMMYFUNCTION("""COMPUTED_VALUE"""),"Central Coast")</f>
        <v>Central Coast</v>
      </c>
      <c r="J2" s="20" t="str">
        <f>IFERROR(__xludf.DUMMYFUNCTION("""COMPUTED_VALUE"""),"Santa Barbara County ")</f>
        <v>Santa Barbara County </v>
      </c>
      <c r="K2" s="20"/>
      <c r="L2" s="20"/>
      <c r="M2" s="75">
        <f>IFERROR(__xludf.DUMMYFUNCTION("""COMPUTED_VALUE"""),100.0)</f>
        <v>100</v>
      </c>
      <c r="N2" s="20">
        <f>IFERROR(__xludf.DUMMYFUNCTION("""COMPUTED_VALUE"""),1500.0)</f>
        <v>1500</v>
      </c>
      <c r="O2" s="20"/>
      <c r="P2" s="20"/>
      <c r="Q2" s="20"/>
      <c r="R2" s="20"/>
      <c r="S2" s="85"/>
      <c r="T2" s="85"/>
      <c r="U2" s="85"/>
      <c r="V2" s="85"/>
      <c r="W2" s="85"/>
      <c r="X2" s="85"/>
      <c r="Y2" s="85"/>
      <c r="Z2" s="85"/>
    </row>
    <row r="3">
      <c r="A3" s="85" t="str">
        <f>IFERROR(__xludf.DUMMYFUNCTION("""COMPUTED_VALUE"""),"Red")</f>
        <v>Red</v>
      </c>
      <c r="B3" s="20">
        <f>IFERROR(__xludf.DUMMYFUNCTION("""COMPUTED_VALUE"""),1.0)</f>
        <v>1</v>
      </c>
      <c r="C3" s="20">
        <f>IFERROR(__xludf.DUMMYFUNCTION("""COMPUTED_VALUE"""),2016.0)</f>
        <v>2016</v>
      </c>
      <c r="D3" s="20" t="str">
        <f>IFERROR(__xludf.DUMMYFUNCTION("""COMPUTED_VALUE"""),"Chateau La Prade")</f>
        <v>Chateau La Prade</v>
      </c>
      <c r="E3" s="20" t="str">
        <f>IFERROR(__xludf.DUMMYFUNCTION("""COMPUTED_VALUE"""),"Cotes de Francs")</f>
        <v>Cotes de Francs</v>
      </c>
      <c r="F3" s="20" t="str">
        <f>IFERROR(__xludf.DUMMYFUNCTION("""COMPUTED_VALUE"""),"Right Bank Blend")</f>
        <v>Right Bank Blend</v>
      </c>
      <c r="G3" s="20" t="str">
        <f>IFERROR(__xludf.DUMMYFUNCTION("""COMPUTED_VALUE"""),"FR")</f>
        <v>FR</v>
      </c>
      <c r="H3" s="20"/>
      <c r="I3" s="20" t="str">
        <f>IFERROR(__xludf.DUMMYFUNCTION("""COMPUTED_VALUE"""),"Bordeaux")</f>
        <v>Bordeaux</v>
      </c>
      <c r="J3" s="20" t="str">
        <f>IFERROR(__xludf.DUMMYFUNCTION("""COMPUTED_VALUE"""),"Cotes de Francs")</f>
        <v>Cotes de Francs</v>
      </c>
      <c r="K3" s="20"/>
      <c r="L3" s="20"/>
      <c r="M3" s="75">
        <f>IFERROR(__xludf.DUMMYFUNCTION("""COMPUTED_VALUE"""),50.0)</f>
        <v>50</v>
      </c>
      <c r="N3" s="20">
        <f>IFERROR(__xludf.DUMMYFUNCTION("""COMPUTED_VALUE"""),1500.0)</f>
        <v>1500</v>
      </c>
      <c r="O3" s="20"/>
      <c r="P3" s="20"/>
      <c r="Q3" s="20" t="str">
        <f>IFERROR(__xludf.DUMMYFUNCTION("""COMPUTED_VALUE"""),"85% Merlot ")</f>
        <v>85% Merlot </v>
      </c>
      <c r="R3" s="20"/>
      <c r="S3" s="85"/>
      <c r="T3" s="85"/>
      <c r="U3" s="85"/>
      <c r="V3" s="85"/>
      <c r="W3" s="85"/>
      <c r="X3" s="85"/>
      <c r="Y3" s="85"/>
      <c r="Z3" s="85"/>
    </row>
    <row r="4">
      <c r="A4" s="85" t="str">
        <f>IFERROR(__xludf.DUMMYFUNCTION("""COMPUTED_VALUE"""),"Red")</f>
        <v>Red</v>
      </c>
      <c r="B4" s="20">
        <f>IFERROR(__xludf.DUMMYFUNCTION("""COMPUTED_VALUE"""),1.0)</f>
        <v>1</v>
      </c>
      <c r="C4" s="20">
        <f>IFERROR(__xludf.DUMMYFUNCTION("""COMPUTED_VALUE"""),2015.0)</f>
        <v>2015</v>
      </c>
      <c r="D4" s="20" t="str">
        <f>IFERROR(__xludf.DUMMYFUNCTION("""COMPUTED_VALUE"""),"Château de Cayx")</f>
        <v>Château de Cayx</v>
      </c>
      <c r="E4" s="20" t="str">
        <f>IFERROR(__xludf.DUMMYFUNCTION("""COMPUTED_VALUE"""),"Cahors")</f>
        <v>Cahors</v>
      </c>
      <c r="F4" s="20" t="str">
        <f>IFERROR(__xludf.DUMMYFUNCTION("""COMPUTED_VALUE"""),"Malbec")</f>
        <v>Malbec</v>
      </c>
      <c r="G4" s="20" t="str">
        <f>IFERROR(__xludf.DUMMYFUNCTION("""COMPUTED_VALUE"""),"FR")</f>
        <v>FR</v>
      </c>
      <c r="H4" s="20"/>
      <c r="I4" s="20" t="str">
        <f>IFERROR(__xludf.DUMMYFUNCTION("""COMPUTED_VALUE"""),"Cahors")</f>
        <v>Cahors</v>
      </c>
      <c r="J4" s="20" t="str">
        <f>IFERROR(__xludf.DUMMYFUNCTION("""COMPUTED_VALUE"""),"Cahors")</f>
        <v>Cahors</v>
      </c>
      <c r="K4" s="20"/>
      <c r="L4" s="20"/>
      <c r="M4" s="75">
        <f>IFERROR(__xludf.DUMMYFUNCTION("""COMPUTED_VALUE"""),60.0)</f>
        <v>60</v>
      </c>
      <c r="N4" s="20">
        <f>IFERROR(__xludf.DUMMYFUNCTION("""COMPUTED_VALUE"""),1500.0)</f>
        <v>1500</v>
      </c>
      <c r="O4" s="20"/>
      <c r="P4" s="20"/>
      <c r="Q4" s="20"/>
      <c r="R4" s="20"/>
      <c r="S4" s="85"/>
      <c r="T4" s="85"/>
      <c r="U4" s="85"/>
      <c r="V4" s="85"/>
      <c r="W4" s="85"/>
      <c r="X4" s="85"/>
      <c r="Y4" s="85"/>
      <c r="Z4" s="85"/>
    </row>
    <row r="5">
      <c r="A5" s="85" t="str">
        <f>IFERROR(__xludf.DUMMYFUNCTION("""COMPUTED_VALUE"""),"Red")</f>
        <v>Red</v>
      </c>
      <c r="B5" s="20">
        <f>IFERROR(__xludf.DUMMYFUNCTION("""COMPUTED_VALUE"""),1.0)</f>
        <v>1</v>
      </c>
      <c r="C5" s="20">
        <f>IFERROR(__xludf.DUMMYFUNCTION("""COMPUTED_VALUE"""),2016.0)</f>
        <v>2016</v>
      </c>
      <c r="D5" s="20" t="str">
        <f>IFERROR(__xludf.DUMMYFUNCTION("""COMPUTED_VALUE"""),"Chateau Dauzac ")</f>
        <v>Chateau Dauzac </v>
      </c>
      <c r="E5" s="20" t="str">
        <f>IFERROR(__xludf.DUMMYFUNCTION("""COMPUTED_VALUE"""),"Labastide Dauzac Margeaux")</f>
        <v>Labastide Dauzac Margeaux</v>
      </c>
      <c r="F5" s="20" t="str">
        <f>IFERROR(__xludf.DUMMYFUNCTION("""COMPUTED_VALUE"""),"Bordeaux Red Blend")</f>
        <v>Bordeaux Red Blend</v>
      </c>
      <c r="G5" s="20" t="str">
        <f>IFERROR(__xludf.DUMMYFUNCTION("""COMPUTED_VALUE"""),"FR")</f>
        <v>FR</v>
      </c>
      <c r="H5" s="20"/>
      <c r="I5" s="20" t="str">
        <f>IFERROR(__xludf.DUMMYFUNCTION("""COMPUTED_VALUE"""),"Bordeaux")</f>
        <v>Bordeaux</v>
      </c>
      <c r="J5" s="20" t="str">
        <f>IFERROR(__xludf.DUMMYFUNCTION("""COMPUTED_VALUE"""),"Margeaux")</f>
        <v>Margeaux</v>
      </c>
      <c r="K5" s="20"/>
      <c r="L5" s="20"/>
      <c r="M5" s="75">
        <f>IFERROR(__xludf.DUMMYFUNCTION("""COMPUTED_VALUE"""),75.0)</f>
        <v>75</v>
      </c>
      <c r="N5" s="20">
        <f>IFERROR(__xludf.DUMMYFUNCTION("""COMPUTED_VALUE"""),1500.0)</f>
        <v>1500</v>
      </c>
      <c r="O5" s="20"/>
      <c r="P5" s="20"/>
      <c r="Q5" s="20"/>
      <c r="R5" s="20"/>
      <c r="S5" s="85"/>
      <c r="T5" s="85"/>
      <c r="U5" s="85"/>
      <c r="V5" s="85"/>
      <c r="W5" s="85"/>
      <c r="X5" s="85"/>
      <c r="Y5" s="85"/>
      <c r="Z5" s="85"/>
    </row>
    <row r="6">
      <c r="A6" s="85" t="str">
        <f>IFERROR(__xludf.DUMMYFUNCTION("""COMPUTED_VALUE"""),"Red")</f>
        <v>Red</v>
      </c>
      <c r="B6" s="20">
        <f>IFERROR(__xludf.DUMMYFUNCTION("""COMPUTED_VALUE"""),1.0)</f>
        <v>1</v>
      </c>
      <c r="C6" s="20">
        <f>IFERROR(__xludf.DUMMYFUNCTION("""COMPUTED_VALUE"""),2016.0)</f>
        <v>2016</v>
      </c>
      <c r="D6" s="20" t="str">
        <f>IFERROR(__xludf.DUMMYFUNCTION("""COMPUTED_VALUE"""),"Husch Vineyards ")</f>
        <v>Husch Vineyards </v>
      </c>
      <c r="E6" s="20" t="str">
        <f>IFERROR(__xludf.DUMMYFUNCTION("""COMPUTED_VALUE"""),"Cabernet Sauvignon")</f>
        <v>Cabernet Sauvignon</v>
      </c>
      <c r="F6" s="20" t="str">
        <f>IFERROR(__xludf.DUMMYFUNCTION("""COMPUTED_VALUE"""),"Cabernet Sauvignon")</f>
        <v>Cabernet Sauvignon</v>
      </c>
      <c r="G6" s="20" t="str">
        <f>IFERROR(__xludf.DUMMYFUNCTION("""COMPUTED_VALUE"""),"USA ")</f>
        <v>USA </v>
      </c>
      <c r="H6" s="20" t="str">
        <f>IFERROR(__xludf.DUMMYFUNCTION("""COMPUTED_VALUE"""),"CA")</f>
        <v>CA</v>
      </c>
      <c r="I6" s="20" t="str">
        <f>IFERROR(__xludf.DUMMYFUNCTION("""COMPUTED_VALUE"""),"North Coast ")</f>
        <v>North Coast </v>
      </c>
      <c r="J6" s="20" t="str">
        <f>IFERROR(__xludf.DUMMYFUNCTION("""COMPUTED_VALUE"""),"Mendocino County")</f>
        <v>Mendocino County</v>
      </c>
      <c r="K6" s="20" t="str">
        <f>IFERROR(__xludf.DUMMYFUNCTION("""COMPUTED_VALUE"""),"Ukiah Valley")</f>
        <v>Ukiah Valley</v>
      </c>
      <c r="L6" s="20"/>
      <c r="M6" s="75">
        <f>IFERROR(__xludf.DUMMYFUNCTION("""COMPUTED_VALUE"""),90.0)</f>
        <v>90</v>
      </c>
      <c r="N6" s="20">
        <f>IFERROR(__xludf.DUMMYFUNCTION("""COMPUTED_VALUE"""),1500.0)</f>
        <v>1500</v>
      </c>
      <c r="O6" s="20"/>
      <c r="P6" s="20"/>
      <c r="Q6" s="20"/>
      <c r="R6" s="20"/>
      <c r="S6" s="85"/>
      <c r="T6" s="85"/>
      <c r="U6" s="85"/>
      <c r="V6" s="85"/>
      <c r="W6" s="85"/>
      <c r="X6" s="85"/>
      <c r="Y6" s="85"/>
      <c r="Z6" s="85"/>
    </row>
    <row r="7">
      <c r="A7" s="85" t="str">
        <f>IFERROR(__xludf.DUMMYFUNCTION("""COMPUTED_VALUE"""),"Red")</f>
        <v>Red</v>
      </c>
      <c r="B7" s="20">
        <f>IFERROR(__xludf.DUMMYFUNCTION("""COMPUTED_VALUE"""),1.0)</f>
        <v>1</v>
      </c>
      <c r="C7" s="20">
        <f>IFERROR(__xludf.DUMMYFUNCTION("""COMPUTED_VALUE"""),2018.0)</f>
        <v>2018</v>
      </c>
      <c r="D7" s="20" t="str">
        <f>IFERROR(__xludf.DUMMYFUNCTION("""COMPUTED_VALUE"""),"Ridge Vineyards")</f>
        <v>Ridge Vineyards</v>
      </c>
      <c r="E7" s="20" t="str">
        <f>IFERROR(__xludf.DUMMYFUNCTION("""COMPUTED_VALUE"""),"Geyserville Zinfandel ")</f>
        <v>Geyserville Zinfandel </v>
      </c>
      <c r="F7" s="20" t="str">
        <f>IFERROR(__xludf.DUMMYFUNCTION("""COMPUTED_VALUE"""),"Zinfandel Blend")</f>
        <v>Zinfandel Blend</v>
      </c>
      <c r="G7" s="20" t="str">
        <f>IFERROR(__xludf.DUMMYFUNCTION("""COMPUTED_VALUE"""),"USA ")</f>
        <v>USA </v>
      </c>
      <c r="H7" s="20" t="str">
        <f>IFERROR(__xludf.DUMMYFUNCTION("""COMPUTED_VALUE"""),"CA")</f>
        <v>CA</v>
      </c>
      <c r="I7" s="20" t="str">
        <f>IFERROR(__xludf.DUMMYFUNCTION("""COMPUTED_VALUE"""),"North Coast ")</f>
        <v>North Coast </v>
      </c>
      <c r="J7" s="20" t="str">
        <f>IFERROR(__xludf.DUMMYFUNCTION("""COMPUTED_VALUE"""),"Sonoma County ")</f>
        <v>Sonoma County </v>
      </c>
      <c r="K7" s="20" t="str">
        <f>IFERROR(__xludf.DUMMYFUNCTION("""COMPUTED_VALUE"""),"Alexander Valley")</f>
        <v>Alexander Valley</v>
      </c>
      <c r="L7" s="20"/>
      <c r="M7" s="75">
        <f>IFERROR(__xludf.DUMMYFUNCTION("""COMPUTED_VALUE"""),200.0)</f>
        <v>200</v>
      </c>
      <c r="N7" s="20">
        <f>IFERROR(__xludf.DUMMYFUNCTION("""COMPUTED_VALUE"""),3000.0)</f>
        <v>3000</v>
      </c>
      <c r="O7" s="20"/>
      <c r="P7" s="20"/>
      <c r="Q7" s="20" t="str">
        <f>IFERROR(__xludf.DUMMYFUNCTION("""COMPUTED_VALUE"""),"68% Zinfandel, 20% Carignane, 10% Petite Sirah, 2% Alicante Bouschet")</f>
        <v>68% Zinfandel, 20% Carignane, 10% Petite Sirah, 2% Alicante Bouschet</v>
      </c>
      <c r="R7" s="20"/>
      <c r="S7" s="85"/>
      <c r="T7" s="85"/>
      <c r="U7" s="85"/>
      <c r="V7" s="85"/>
      <c r="W7" s="85"/>
      <c r="X7" s="85"/>
      <c r="Y7" s="85"/>
      <c r="Z7" s="85"/>
    </row>
    <row r="8">
      <c r="A8" s="85" t="str">
        <f>IFERROR(__xludf.DUMMYFUNCTION("""COMPUTED_VALUE"""),"Red")</f>
        <v>Red</v>
      </c>
      <c r="B8" s="20">
        <f>IFERROR(__xludf.DUMMYFUNCTION("""COMPUTED_VALUE"""),1.0)</f>
        <v>1</v>
      </c>
      <c r="C8" s="20">
        <f>IFERROR(__xludf.DUMMYFUNCTION("""COMPUTED_VALUE"""),2017.0)</f>
        <v>2017</v>
      </c>
      <c r="D8" s="20" t="str">
        <f>IFERROR(__xludf.DUMMYFUNCTION("""COMPUTED_VALUE"""),"Vina Robles ")</f>
        <v>Vina Robles </v>
      </c>
      <c r="E8" s="20" t="str">
        <f>IFERROR(__xludf.DUMMYFUNCTION("""COMPUTED_VALUE"""),"Cabernet Sauvignon")</f>
        <v>Cabernet Sauvignon</v>
      </c>
      <c r="F8" s="20" t="str">
        <f>IFERROR(__xludf.DUMMYFUNCTION("""COMPUTED_VALUE"""),"Cabernet Sauvignon")</f>
        <v>Cabernet Sauvignon</v>
      </c>
      <c r="G8" s="20" t="str">
        <f>IFERROR(__xludf.DUMMYFUNCTION("""COMPUTED_VALUE"""),"USA ")</f>
        <v>USA </v>
      </c>
      <c r="H8" s="20" t="str">
        <f>IFERROR(__xludf.DUMMYFUNCTION("""COMPUTED_VALUE"""),"CA")</f>
        <v>CA</v>
      </c>
      <c r="I8" s="20" t="str">
        <f>IFERROR(__xludf.DUMMYFUNCTION("""COMPUTED_VALUE"""),"Central Coast ")</f>
        <v>Central Coast </v>
      </c>
      <c r="J8" s="20" t="str">
        <f>IFERROR(__xludf.DUMMYFUNCTION("""COMPUTED_VALUE"""),"Paso Robles ")</f>
        <v>Paso Robles </v>
      </c>
      <c r="K8" s="20"/>
      <c r="L8" s="20"/>
      <c r="M8" s="75">
        <f>IFERROR(__xludf.DUMMYFUNCTION("""COMPUTED_VALUE"""),300.0)</f>
        <v>300</v>
      </c>
      <c r="N8" s="20">
        <f>IFERROR(__xludf.DUMMYFUNCTION("""COMPUTED_VALUE"""),3000.0)</f>
        <v>3000</v>
      </c>
      <c r="O8" s="20"/>
      <c r="P8" s="20"/>
      <c r="Q8" s="20"/>
      <c r="R8" s="20"/>
      <c r="S8" s="85"/>
      <c r="T8" s="85"/>
      <c r="U8" s="85"/>
      <c r="V8" s="85"/>
      <c r="W8" s="85"/>
      <c r="X8" s="85"/>
      <c r="Y8" s="85"/>
      <c r="Z8" s="85"/>
    </row>
    <row r="9">
      <c r="A9" s="85" t="str">
        <f>IFERROR(__xludf.DUMMYFUNCTION("""COMPUTED_VALUE"""),"Red")</f>
        <v>Red</v>
      </c>
      <c r="B9" s="20">
        <f>IFERROR(__xludf.DUMMYFUNCTION("""COMPUTED_VALUE"""),1.0)</f>
        <v>1</v>
      </c>
      <c r="C9" s="20">
        <f>IFERROR(__xludf.DUMMYFUNCTION("""COMPUTED_VALUE"""),2015.0)</f>
        <v>2015</v>
      </c>
      <c r="D9" s="20" t="str">
        <f>IFERROR(__xludf.DUMMYFUNCTION("""COMPUTED_VALUE"""),"Duckhorn Vineyards")</f>
        <v>Duckhorn Vineyards</v>
      </c>
      <c r="E9" s="20" t="str">
        <f>IFERROR(__xludf.DUMMYFUNCTION("""COMPUTED_VALUE"""),"Estate Merlot")</f>
        <v>Estate Merlot</v>
      </c>
      <c r="F9" s="20" t="str">
        <f>IFERROR(__xludf.DUMMYFUNCTION("""COMPUTED_VALUE"""),"Merlot")</f>
        <v>Merlot</v>
      </c>
      <c r="G9" s="20" t="str">
        <f>IFERROR(__xludf.DUMMYFUNCTION("""COMPUTED_VALUE"""),"USA ")</f>
        <v>USA </v>
      </c>
      <c r="H9" s="20" t="str">
        <f>IFERROR(__xludf.DUMMYFUNCTION("""COMPUTED_VALUE"""),"CA")</f>
        <v>CA</v>
      </c>
      <c r="I9" s="20" t="str">
        <f>IFERROR(__xludf.DUMMYFUNCTION("""COMPUTED_VALUE"""),"North Coast")</f>
        <v>North Coast</v>
      </c>
      <c r="J9" s="20" t="str">
        <f>IFERROR(__xludf.DUMMYFUNCTION("""COMPUTED_VALUE"""),"Napa Valley")</f>
        <v>Napa Valley</v>
      </c>
      <c r="K9" s="20"/>
      <c r="L9" s="20"/>
      <c r="M9" s="75">
        <f>IFERROR(__xludf.DUMMYFUNCTION("""COMPUTED_VALUE"""),312.0)</f>
        <v>312</v>
      </c>
      <c r="N9" s="20">
        <f>IFERROR(__xludf.DUMMYFUNCTION("""COMPUTED_VALUE"""),3000.0)</f>
        <v>3000</v>
      </c>
      <c r="O9" s="20"/>
      <c r="P9" s="20"/>
      <c r="Q9" s="20"/>
      <c r="R9" s="20"/>
      <c r="S9" s="85"/>
      <c r="T9" s="85"/>
      <c r="U9" s="85"/>
      <c r="V9" s="85"/>
      <c r="W9" s="85"/>
      <c r="X9" s="85"/>
      <c r="Y9" s="85"/>
      <c r="Z9" s="85"/>
    </row>
    <row r="10">
      <c r="A10" s="85" t="str">
        <f>IFERROR(__xludf.DUMMYFUNCTION("""COMPUTED_VALUE"""),"Red")</f>
        <v>Red</v>
      </c>
      <c r="B10" s="20">
        <f>IFERROR(__xludf.DUMMYFUNCTION("""COMPUTED_VALUE"""),1.0)</f>
        <v>1</v>
      </c>
      <c r="C10" s="20">
        <f>IFERROR(__xludf.DUMMYFUNCTION("""COMPUTED_VALUE"""),2015.0)</f>
        <v>2015</v>
      </c>
      <c r="D10" s="20" t="str">
        <f>IFERROR(__xludf.DUMMYFUNCTION("""COMPUTED_VALUE"""),"Duckhorn Vineyards")</f>
        <v>Duckhorn Vineyards</v>
      </c>
      <c r="E10" s="20" t="str">
        <f>IFERROR(__xludf.DUMMYFUNCTION("""COMPUTED_VALUE"""),"Estate Cabernet Sauvignon")</f>
        <v>Estate Cabernet Sauvignon</v>
      </c>
      <c r="F10" s="20" t="str">
        <f>IFERROR(__xludf.DUMMYFUNCTION("""COMPUTED_VALUE"""),"Cabernet Sauvignon")</f>
        <v>Cabernet Sauvignon</v>
      </c>
      <c r="G10" s="20" t="str">
        <f>IFERROR(__xludf.DUMMYFUNCTION("""COMPUTED_VALUE"""),"USA ")</f>
        <v>USA </v>
      </c>
      <c r="H10" s="20" t="str">
        <f>IFERROR(__xludf.DUMMYFUNCTION("""COMPUTED_VALUE"""),"CA")</f>
        <v>CA</v>
      </c>
      <c r="I10" s="20" t="str">
        <f>IFERROR(__xludf.DUMMYFUNCTION("""COMPUTED_VALUE"""),"North Coast")</f>
        <v>North Coast</v>
      </c>
      <c r="J10" s="20" t="str">
        <f>IFERROR(__xludf.DUMMYFUNCTION("""COMPUTED_VALUE"""),"Napa Valley")</f>
        <v>Napa Valley</v>
      </c>
      <c r="K10" s="20"/>
      <c r="L10" s="20"/>
      <c r="M10" s="75">
        <f>IFERROR(__xludf.DUMMYFUNCTION("""COMPUTED_VALUE"""),156.0)</f>
        <v>156</v>
      </c>
      <c r="N10" s="20">
        <f>IFERROR(__xludf.DUMMYFUNCTION("""COMPUTED_VALUE"""),1500.0)</f>
        <v>1500</v>
      </c>
      <c r="O10" s="20"/>
      <c r="P10" s="20"/>
      <c r="Q10" s="20"/>
      <c r="R10" s="20"/>
      <c r="S10" s="85"/>
      <c r="T10" s="85"/>
      <c r="U10" s="85"/>
      <c r="V10" s="85"/>
      <c r="W10" s="85"/>
      <c r="X10" s="85"/>
      <c r="Y10" s="85"/>
      <c r="Z10" s="85"/>
    </row>
    <row r="11">
      <c r="A11" s="85" t="str">
        <f>IFERROR(__xludf.DUMMYFUNCTION("""COMPUTED_VALUE"""),"Red")</f>
        <v>Red</v>
      </c>
      <c r="B11" s="20">
        <f>IFERROR(__xludf.DUMMYFUNCTION("""COMPUTED_VALUE"""),1.0)</f>
        <v>1</v>
      </c>
      <c r="C11" s="20">
        <f>IFERROR(__xludf.DUMMYFUNCTION("""COMPUTED_VALUE"""),2018.0)</f>
        <v>2018</v>
      </c>
      <c r="D11" s="20" t="str">
        <f>IFERROR(__xludf.DUMMYFUNCTION("""COMPUTED_VALUE"""),"Booker")</f>
        <v>Booker</v>
      </c>
      <c r="E11" s="20" t="str">
        <f>IFERROR(__xludf.DUMMYFUNCTION("""COMPUTED_VALUE"""),"Oublié")</f>
        <v>Oublié</v>
      </c>
      <c r="F11" s="20" t="str">
        <f>IFERROR(__xludf.DUMMYFUNCTION("""COMPUTED_VALUE"""),"Rhone Blend")</f>
        <v>Rhone Blend</v>
      </c>
      <c r="G11" s="20" t="str">
        <f>IFERROR(__xludf.DUMMYFUNCTION("""COMPUTED_VALUE"""),"USA ")</f>
        <v>USA </v>
      </c>
      <c r="H11" s="20" t="str">
        <f>IFERROR(__xludf.DUMMYFUNCTION("""COMPUTED_VALUE"""),"CA")</f>
        <v>CA</v>
      </c>
      <c r="I11" s="20" t="str">
        <f>IFERROR(__xludf.DUMMYFUNCTION("""COMPUTED_VALUE"""),"Central Coast ")</f>
        <v>Central Coast </v>
      </c>
      <c r="J11" s="20" t="str">
        <f>IFERROR(__xludf.DUMMYFUNCTION("""COMPUTED_VALUE"""),"Paso Robles ")</f>
        <v>Paso Robles </v>
      </c>
      <c r="K11" s="20"/>
      <c r="L11" s="20"/>
      <c r="M11" s="75">
        <f>IFERROR(__xludf.DUMMYFUNCTION("""COMPUTED_VALUE"""),160.0)</f>
        <v>160</v>
      </c>
      <c r="N11" s="20">
        <f>IFERROR(__xludf.DUMMYFUNCTION("""COMPUTED_VALUE"""),1500.0)</f>
        <v>1500</v>
      </c>
      <c r="O11" s="20"/>
      <c r="P11" s="20"/>
      <c r="Q11" s="20"/>
      <c r="R11" s="20"/>
      <c r="S11" s="85"/>
      <c r="T11" s="85"/>
      <c r="U11" s="85"/>
      <c r="V11" s="85"/>
      <c r="W11" s="85"/>
      <c r="X11" s="85"/>
      <c r="Y11" s="85"/>
      <c r="Z11" s="85"/>
    </row>
    <row r="12">
      <c r="A12" s="85" t="str">
        <f>IFERROR(__xludf.DUMMYFUNCTION("""COMPUTED_VALUE"""),"Red")</f>
        <v>Red</v>
      </c>
      <c r="B12" s="20">
        <f>IFERROR(__xludf.DUMMYFUNCTION("""COMPUTED_VALUE"""),1.0)</f>
        <v>1</v>
      </c>
      <c r="C12" s="20">
        <f>IFERROR(__xludf.DUMMYFUNCTION("""COMPUTED_VALUE"""),2014.0)</f>
        <v>2014</v>
      </c>
      <c r="D12" s="20" t="str">
        <f>IFERROR(__xludf.DUMMYFUNCTION("""COMPUTED_VALUE"""),"Sequioa Grove")</f>
        <v>Sequioa Grove</v>
      </c>
      <c r="E12" s="20" t="str">
        <f>IFERROR(__xludf.DUMMYFUNCTION("""COMPUTED_VALUE"""),"Estate Cabernet Sauvignon")</f>
        <v>Estate Cabernet Sauvignon</v>
      </c>
      <c r="F12" s="20" t="str">
        <f>IFERROR(__xludf.DUMMYFUNCTION("""COMPUTED_VALUE"""),"Cabernet Sauvignon")</f>
        <v>Cabernet Sauvignon</v>
      </c>
      <c r="G12" s="20" t="str">
        <f>IFERROR(__xludf.DUMMYFUNCTION("""COMPUTED_VALUE"""),"USA ")</f>
        <v>USA </v>
      </c>
      <c r="H12" s="20" t="str">
        <f>IFERROR(__xludf.DUMMYFUNCTION("""COMPUTED_VALUE"""),"CA")</f>
        <v>CA</v>
      </c>
      <c r="I12" s="20" t="str">
        <f>IFERROR(__xludf.DUMMYFUNCTION("""COMPUTED_VALUE"""),"North Coast")</f>
        <v>North Coast</v>
      </c>
      <c r="J12" s="20" t="str">
        <f>IFERROR(__xludf.DUMMYFUNCTION("""COMPUTED_VALUE"""),"Napa Valley")</f>
        <v>Napa Valley</v>
      </c>
      <c r="K12" s="20"/>
      <c r="L12" s="20"/>
      <c r="M12" s="75">
        <f>IFERROR(__xludf.DUMMYFUNCTION("""COMPUTED_VALUE"""),95.0)</f>
        <v>95</v>
      </c>
      <c r="N12" s="20">
        <f>IFERROR(__xludf.DUMMYFUNCTION("""COMPUTED_VALUE"""),1500.0)</f>
        <v>1500</v>
      </c>
      <c r="O12" s="20"/>
      <c r="P12" s="20"/>
      <c r="Q12" s="20"/>
      <c r="R12" s="20"/>
      <c r="S12" s="85"/>
      <c r="T12" s="85"/>
      <c r="U12" s="85"/>
      <c r="V12" s="85"/>
      <c r="W12" s="85"/>
      <c r="X12" s="85"/>
      <c r="Y12" s="85"/>
      <c r="Z12" s="85"/>
    </row>
    <row r="13">
      <c r="A13" s="85" t="str">
        <f>IFERROR(__xludf.DUMMYFUNCTION("""COMPUTED_VALUE"""),"Red")</f>
        <v>Red</v>
      </c>
      <c r="B13" s="20">
        <f>IFERROR(__xludf.DUMMYFUNCTION("""COMPUTED_VALUE"""),1.0)</f>
        <v>1</v>
      </c>
      <c r="C13" s="20">
        <f>IFERROR(__xludf.DUMMYFUNCTION("""COMPUTED_VALUE"""),2018.0)</f>
        <v>2018</v>
      </c>
      <c r="D13" s="20" t="str">
        <f>IFERROR(__xludf.DUMMYFUNCTION("""COMPUTED_VALUE"""),"Austin Hope")</f>
        <v>Austin Hope</v>
      </c>
      <c r="E13" s="20" t="str">
        <f>IFERROR(__xludf.DUMMYFUNCTION("""COMPUTED_VALUE"""),"Cabernet Sauvignon")</f>
        <v>Cabernet Sauvignon</v>
      </c>
      <c r="F13" s="20" t="str">
        <f>IFERROR(__xludf.DUMMYFUNCTION("""COMPUTED_VALUE"""),"Cabernet Sauvignon")</f>
        <v>Cabernet Sauvignon</v>
      </c>
      <c r="G13" s="20" t="str">
        <f>IFERROR(__xludf.DUMMYFUNCTION("""COMPUTED_VALUE"""),"USA ")</f>
        <v>USA </v>
      </c>
      <c r="H13" s="20" t="str">
        <f>IFERROR(__xludf.DUMMYFUNCTION("""COMPUTED_VALUE"""),"CA")</f>
        <v>CA</v>
      </c>
      <c r="I13" s="20" t="str">
        <f>IFERROR(__xludf.DUMMYFUNCTION("""COMPUTED_VALUE"""),"Central Coast ")</f>
        <v>Central Coast </v>
      </c>
      <c r="J13" s="20" t="str">
        <f>IFERROR(__xludf.DUMMYFUNCTION("""COMPUTED_VALUE"""),"Paso Robles ")</f>
        <v>Paso Robles </v>
      </c>
      <c r="K13" s="20"/>
      <c r="L13" s="20"/>
      <c r="M13" s="75">
        <f>IFERROR(__xludf.DUMMYFUNCTION("""COMPUTED_VALUE"""),132.0)</f>
        <v>132</v>
      </c>
      <c r="N13" s="20">
        <f>IFERROR(__xludf.DUMMYFUNCTION("""COMPUTED_VALUE"""),1500.0)</f>
        <v>1500</v>
      </c>
      <c r="O13" s="20"/>
      <c r="P13" s="20"/>
      <c r="Q13" s="20"/>
      <c r="R13" s="20"/>
      <c r="S13" s="85"/>
      <c r="T13" s="85"/>
      <c r="U13" s="85"/>
      <c r="V13" s="85"/>
      <c r="W13" s="85"/>
      <c r="X13" s="85"/>
      <c r="Y13" s="85"/>
      <c r="Z13" s="85"/>
    </row>
    <row r="14">
      <c r="A14" s="85" t="str">
        <f>IFERROR(__xludf.DUMMYFUNCTION("""COMPUTED_VALUE"""),"Red")</f>
        <v>Red</v>
      </c>
      <c r="B14" s="20">
        <f>IFERROR(__xludf.DUMMYFUNCTION("""COMPUTED_VALUE"""),1.0)</f>
        <v>1</v>
      </c>
      <c r="C14" s="20">
        <f>IFERROR(__xludf.DUMMYFUNCTION("""COMPUTED_VALUE"""),2015.0)</f>
        <v>2015</v>
      </c>
      <c r="D14" s="20" t="str">
        <f>IFERROR(__xludf.DUMMYFUNCTION("""COMPUTED_VALUE"""),"Duckhorn Vineyards")</f>
        <v>Duckhorn Vineyards</v>
      </c>
      <c r="E14" s="20" t="str">
        <f>IFERROR(__xludf.DUMMYFUNCTION("""COMPUTED_VALUE"""),"Monitor Ledge Cabernet")</f>
        <v>Monitor Ledge Cabernet</v>
      </c>
      <c r="F14" s="20" t="str">
        <f>IFERROR(__xludf.DUMMYFUNCTION("""COMPUTED_VALUE"""),"Cabernet Sauvignon")</f>
        <v>Cabernet Sauvignon</v>
      </c>
      <c r="G14" s="20" t="str">
        <f>IFERROR(__xludf.DUMMYFUNCTION("""COMPUTED_VALUE"""),"USA ")</f>
        <v>USA </v>
      </c>
      <c r="H14" s="20" t="str">
        <f>IFERROR(__xludf.DUMMYFUNCTION("""COMPUTED_VALUE"""),"CA")</f>
        <v>CA</v>
      </c>
      <c r="I14" s="20" t="str">
        <f>IFERROR(__xludf.DUMMYFUNCTION("""COMPUTED_VALUE"""),"North Coast")</f>
        <v>North Coast</v>
      </c>
      <c r="J14" s="20" t="str">
        <f>IFERROR(__xludf.DUMMYFUNCTION("""COMPUTED_VALUE"""),"Napa Valley")</f>
        <v>Napa Valley</v>
      </c>
      <c r="K14" s="20"/>
      <c r="L14" s="20"/>
      <c r="M14" s="75">
        <f>IFERROR(__xludf.DUMMYFUNCTION("""COMPUTED_VALUE"""),210.0)</f>
        <v>210</v>
      </c>
      <c r="N14" s="20">
        <f>IFERROR(__xludf.DUMMYFUNCTION("""COMPUTED_VALUE"""),1500.0)</f>
        <v>1500</v>
      </c>
      <c r="O14" s="20"/>
      <c r="P14" s="20"/>
      <c r="Q14" s="20"/>
      <c r="R14" s="20"/>
      <c r="S14" s="85"/>
      <c r="T14" s="85"/>
      <c r="U14" s="85"/>
      <c r="V14" s="85"/>
      <c r="W14" s="85"/>
      <c r="X14" s="85"/>
      <c r="Y14" s="85"/>
      <c r="Z14" s="85"/>
    </row>
    <row r="15">
      <c r="A15" s="85" t="str">
        <f>IFERROR(__xludf.DUMMYFUNCTION("""COMPUTED_VALUE"""),"Red")</f>
        <v>Red</v>
      </c>
      <c r="B15" s="20">
        <f>IFERROR(__xludf.DUMMYFUNCTION("""COMPUTED_VALUE"""),1.0)</f>
        <v>1</v>
      </c>
      <c r="C15" s="20">
        <f>IFERROR(__xludf.DUMMYFUNCTION("""COMPUTED_VALUE"""),2017.0)</f>
        <v>2017</v>
      </c>
      <c r="D15" s="20" t="str">
        <f>IFERROR(__xludf.DUMMYFUNCTION("""COMPUTED_VALUE"""),"Big Basin Vineyards ")</f>
        <v>Big Basin Vineyards </v>
      </c>
      <c r="E15" s="20" t="str">
        <f>IFERROR(__xludf.DUMMYFUNCTION("""COMPUTED_VALUE"""),"Rattlesnake Rock Syrah ")</f>
        <v>Rattlesnake Rock Syrah </v>
      </c>
      <c r="F15" s="20" t="str">
        <f>IFERROR(__xludf.DUMMYFUNCTION("""COMPUTED_VALUE"""),"Syrah")</f>
        <v>Syrah</v>
      </c>
      <c r="G15" s="20" t="str">
        <f>IFERROR(__xludf.DUMMYFUNCTION("""COMPUTED_VALUE"""),"USA")</f>
        <v>USA</v>
      </c>
      <c r="H15" s="20" t="str">
        <f>IFERROR(__xludf.DUMMYFUNCTION("""COMPUTED_VALUE"""),"CA")</f>
        <v>CA</v>
      </c>
      <c r="I15" s="20" t="str">
        <f>IFERROR(__xludf.DUMMYFUNCTION("""COMPUTED_VALUE"""),"Central Coast ")</f>
        <v>Central Coast </v>
      </c>
      <c r="J15" s="20" t="str">
        <f>IFERROR(__xludf.DUMMYFUNCTION("""COMPUTED_VALUE"""),"Santa Cruz Mountains")</f>
        <v>Santa Cruz Mountains</v>
      </c>
      <c r="K15" s="20" t="str">
        <f>IFERROR(__xludf.DUMMYFUNCTION("""COMPUTED_VALUE"""),"Santa Cruz County")</f>
        <v>Santa Cruz County</v>
      </c>
      <c r="L15" s="20" t="str">
        <f>IFERROR(__xludf.DUMMYFUNCTION("""COMPUTED_VALUE"""),"Estate, Boulder Creek")</f>
        <v>Estate, Boulder Creek</v>
      </c>
      <c r="M15" s="75">
        <f>IFERROR(__xludf.DUMMYFUNCTION("""COMPUTED_VALUE"""),119.0)</f>
        <v>119</v>
      </c>
      <c r="N15" s="20">
        <f>IFERROR(__xludf.DUMMYFUNCTION("""COMPUTED_VALUE"""),1500.0)</f>
        <v>1500</v>
      </c>
      <c r="O15" s="20"/>
      <c r="P15" s="20"/>
      <c r="Q15" s="20"/>
      <c r="R15" s="20"/>
      <c r="S15" s="85"/>
      <c r="T15" s="85"/>
      <c r="U15" s="85"/>
      <c r="V15" s="85"/>
      <c r="W15" s="85"/>
      <c r="X15" s="85"/>
      <c r="Y15" s="85"/>
      <c r="Z15" s="85"/>
    </row>
    <row r="16">
      <c r="A16" s="85" t="str">
        <f>IFERROR(__xludf.DUMMYFUNCTION("""COMPUTED_VALUE"""),"Red")</f>
        <v>Red</v>
      </c>
      <c r="B16" s="20">
        <f>IFERROR(__xludf.DUMMYFUNCTION("""COMPUTED_VALUE"""),1.0)</f>
        <v>1</v>
      </c>
      <c r="C16" s="20">
        <f>IFERROR(__xludf.DUMMYFUNCTION("""COMPUTED_VALUE"""),2016.0)</f>
        <v>2016</v>
      </c>
      <c r="D16" s="20" t="str">
        <f>IFERROR(__xludf.DUMMYFUNCTION("""COMPUTED_VALUE"""),"Vina Robles")</f>
        <v>Vina Robles</v>
      </c>
      <c r="E16" s="20" t="str">
        <f>IFERROR(__xludf.DUMMYFUNCTION("""COMPUTED_VALUE"""),"Estate Cabernet Sauvignon")</f>
        <v>Estate Cabernet Sauvignon</v>
      </c>
      <c r="F16" s="20" t="str">
        <f>IFERROR(__xludf.DUMMYFUNCTION("""COMPUTED_VALUE"""),"Cabernet Sauvignon")</f>
        <v>Cabernet Sauvignon</v>
      </c>
      <c r="G16" s="20" t="str">
        <f>IFERROR(__xludf.DUMMYFUNCTION("""COMPUTED_VALUE"""),"USA")</f>
        <v>USA</v>
      </c>
      <c r="H16" s="20" t="str">
        <f>IFERROR(__xludf.DUMMYFUNCTION("""COMPUTED_VALUE"""),"CA")</f>
        <v>CA</v>
      </c>
      <c r="I16" s="20" t="str">
        <f>IFERROR(__xludf.DUMMYFUNCTION("""COMPUTED_VALUE"""),"Central Coast ")</f>
        <v>Central Coast </v>
      </c>
      <c r="J16" s="20" t="str">
        <f>IFERROR(__xludf.DUMMYFUNCTION("""COMPUTED_VALUE"""),"Paso Robles ")</f>
        <v>Paso Robles </v>
      </c>
      <c r="K16" s="20"/>
      <c r="L16" s="20"/>
      <c r="M16" s="75">
        <f>IFERROR(__xludf.DUMMYFUNCTION("""COMPUTED_VALUE"""),55.0)</f>
        <v>55</v>
      </c>
      <c r="N16" s="20">
        <f>IFERROR(__xludf.DUMMYFUNCTION("""COMPUTED_VALUE"""),1500.0)</f>
        <v>1500</v>
      </c>
      <c r="O16" s="20"/>
      <c r="P16" s="20"/>
      <c r="Q16" s="20"/>
      <c r="R16" s="20"/>
      <c r="S16" s="85"/>
      <c r="T16" s="85"/>
      <c r="U16" s="85"/>
      <c r="V16" s="85"/>
      <c r="W16" s="85"/>
      <c r="X16" s="85"/>
      <c r="Y16" s="85"/>
      <c r="Z16" s="85"/>
    </row>
    <row r="17">
      <c r="A17" s="85" t="str">
        <f>IFERROR(__xludf.DUMMYFUNCTION("""COMPUTED_VALUE"""),"Red")</f>
        <v>Red</v>
      </c>
      <c r="B17" s="20">
        <f>IFERROR(__xludf.DUMMYFUNCTION("""COMPUTED_VALUE"""),1.0)</f>
        <v>1</v>
      </c>
      <c r="C17" s="20">
        <f>IFERROR(__xludf.DUMMYFUNCTION("""COMPUTED_VALUE"""),2018.0)</f>
        <v>2018</v>
      </c>
      <c r="D17" s="20" t="str">
        <f>IFERROR(__xludf.DUMMYFUNCTION("""COMPUTED_VALUE"""),"Prisoner Wine Company")</f>
        <v>Prisoner Wine Company</v>
      </c>
      <c r="E17" s="20" t="str">
        <f>IFERROR(__xludf.DUMMYFUNCTION("""COMPUTED_VALUE"""),"The Prisoner")</f>
        <v>The Prisoner</v>
      </c>
      <c r="F17" s="20" t="str">
        <f>IFERROR(__xludf.DUMMYFUNCTION("""COMPUTED_VALUE"""),"Zinfandel Blend")</f>
        <v>Zinfandel Blend</v>
      </c>
      <c r="G17" s="20" t="str">
        <f>IFERROR(__xludf.DUMMYFUNCTION("""COMPUTED_VALUE"""),"USA ")</f>
        <v>USA </v>
      </c>
      <c r="H17" s="20" t="str">
        <f>IFERROR(__xludf.DUMMYFUNCTION("""COMPUTED_VALUE"""),"CA")</f>
        <v>CA</v>
      </c>
      <c r="I17" s="20" t="str">
        <f>IFERROR(__xludf.DUMMYFUNCTION("""COMPUTED_VALUE"""),"North Coast ")</f>
        <v>North Coast </v>
      </c>
      <c r="J17" s="20" t="str">
        <f>IFERROR(__xludf.DUMMYFUNCTION("""COMPUTED_VALUE"""),"Napa Valley ")</f>
        <v>Napa Valley </v>
      </c>
      <c r="K17" s="20"/>
      <c r="L17" s="20"/>
      <c r="M17" s="75">
        <f>IFERROR(__xludf.DUMMYFUNCTION("""COMPUTED_VALUE"""),110.0)</f>
        <v>110</v>
      </c>
      <c r="N17" s="20">
        <f>IFERROR(__xludf.DUMMYFUNCTION("""COMPUTED_VALUE"""),1500.0)</f>
        <v>1500</v>
      </c>
      <c r="O17" s="20"/>
      <c r="P17" s="20"/>
      <c r="Q17" s="20"/>
      <c r="R17" s="20"/>
      <c r="S17" s="85"/>
      <c r="T17" s="85"/>
      <c r="U17" s="85"/>
      <c r="V17" s="85"/>
      <c r="W17" s="85"/>
      <c r="X17" s="85"/>
      <c r="Y17" s="85"/>
      <c r="Z17" s="85"/>
    </row>
    <row r="18">
      <c r="A18" s="85" t="str">
        <f>IFERROR(__xludf.DUMMYFUNCTION("""COMPUTED_VALUE"""),"Red")</f>
        <v>Red</v>
      </c>
      <c r="B18" s="20">
        <f>IFERROR(__xludf.DUMMYFUNCTION("""COMPUTED_VALUE"""),1.0)</f>
        <v>1</v>
      </c>
      <c r="C18" s="20">
        <f>IFERROR(__xludf.DUMMYFUNCTION("""COMPUTED_VALUE"""),2016.0)</f>
        <v>2016</v>
      </c>
      <c r="D18" s="20" t="str">
        <f>IFERROR(__xludf.DUMMYFUNCTION("""COMPUTED_VALUE"""),"Mount Veeder Winery")</f>
        <v>Mount Veeder Winery</v>
      </c>
      <c r="E18" s="20" t="str">
        <f>IFERROR(__xludf.DUMMYFUNCTION("""COMPUTED_VALUE"""),"Cabernet Sauvignon")</f>
        <v>Cabernet Sauvignon</v>
      </c>
      <c r="F18" s="20" t="str">
        <f>IFERROR(__xludf.DUMMYFUNCTION("""COMPUTED_VALUE"""),"Cabernet Sauvignon")</f>
        <v>Cabernet Sauvignon</v>
      </c>
      <c r="G18" s="20" t="str">
        <f>IFERROR(__xludf.DUMMYFUNCTION("""COMPUTED_VALUE"""),"USA ")</f>
        <v>USA </v>
      </c>
      <c r="H18" s="20" t="str">
        <f>IFERROR(__xludf.DUMMYFUNCTION("""COMPUTED_VALUE"""),"CA")</f>
        <v>CA</v>
      </c>
      <c r="I18" s="20" t="str">
        <f>IFERROR(__xludf.DUMMYFUNCTION("""COMPUTED_VALUE"""),"North Coast")</f>
        <v>North Coast</v>
      </c>
      <c r="J18" s="20" t="str">
        <f>IFERROR(__xludf.DUMMYFUNCTION("""COMPUTED_VALUE"""),"Napa Valley")</f>
        <v>Napa Valley</v>
      </c>
      <c r="K18" s="20"/>
      <c r="L18" s="20"/>
      <c r="M18" s="75">
        <f>IFERROR(__xludf.DUMMYFUNCTION("""COMPUTED_VALUE"""),90.0)</f>
        <v>90</v>
      </c>
      <c r="N18" s="20">
        <f>IFERROR(__xludf.DUMMYFUNCTION("""COMPUTED_VALUE"""),1500.0)</f>
        <v>1500</v>
      </c>
      <c r="O18" s="20"/>
      <c r="P18" s="20"/>
      <c r="Q18" s="20"/>
      <c r="R18" s="20"/>
      <c r="S18" s="85"/>
      <c r="T18" s="85"/>
      <c r="U18" s="85"/>
      <c r="V18" s="85"/>
      <c r="W18" s="85"/>
      <c r="X18" s="85"/>
      <c r="Y18" s="85"/>
      <c r="Z18" s="85"/>
    </row>
    <row r="19">
      <c r="A19" s="85" t="str">
        <f>IFERROR(__xludf.DUMMYFUNCTION("""COMPUTED_VALUE"""),"Red")</f>
        <v>Red</v>
      </c>
      <c r="B19" s="20">
        <f>IFERROR(__xludf.DUMMYFUNCTION("""COMPUTED_VALUE"""),1.0)</f>
        <v>1</v>
      </c>
      <c r="C19" s="20">
        <f>IFERROR(__xludf.DUMMYFUNCTION("""COMPUTED_VALUE"""),2017.0)</f>
        <v>2017</v>
      </c>
      <c r="D19" s="20" t="str">
        <f>IFERROR(__xludf.DUMMYFUNCTION("""COMPUTED_VALUE"""),"Domaine Anderson")</f>
        <v>Domaine Anderson</v>
      </c>
      <c r="E19" s="20" t="str">
        <f>IFERROR(__xludf.DUMMYFUNCTION("""COMPUTED_VALUE"""),"Pinot Noir")</f>
        <v>Pinot Noir</v>
      </c>
      <c r="F19" s="20" t="str">
        <f>IFERROR(__xludf.DUMMYFUNCTION("""COMPUTED_VALUE"""),"Pinot Noir")</f>
        <v>Pinot Noir</v>
      </c>
      <c r="G19" s="20" t="str">
        <f>IFERROR(__xludf.DUMMYFUNCTION("""COMPUTED_VALUE"""),"USA")</f>
        <v>USA</v>
      </c>
      <c r="H19" s="20" t="str">
        <f>IFERROR(__xludf.DUMMYFUNCTION("""COMPUTED_VALUE"""),"CA")</f>
        <v>CA</v>
      </c>
      <c r="I19" s="20" t="str">
        <f>IFERROR(__xludf.DUMMYFUNCTION("""COMPUTED_VALUE"""),"North Coast")</f>
        <v>North Coast</v>
      </c>
      <c r="J19" s="20" t="str">
        <f>IFERROR(__xludf.DUMMYFUNCTION("""COMPUTED_VALUE"""),"Mendocino County")</f>
        <v>Mendocino County</v>
      </c>
      <c r="K19" s="20" t="str">
        <f>IFERROR(__xludf.DUMMYFUNCTION("""COMPUTED_VALUE"""),"Anderson Valley")</f>
        <v>Anderson Valley</v>
      </c>
      <c r="L19" s="20"/>
      <c r="M19" s="75">
        <f>IFERROR(__xludf.DUMMYFUNCTION("""COMPUTED_VALUE"""),90.0)</f>
        <v>90</v>
      </c>
      <c r="N19" s="20">
        <f>IFERROR(__xludf.DUMMYFUNCTION("""COMPUTED_VALUE"""),1500.0)</f>
        <v>1500</v>
      </c>
      <c r="O19" s="20"/>
      <c r="P19" s="20"/>
      <c r="Q19" s="20"/>
      <c r="R19" s="20"/>
      <c r="S19" s="85"/>
      <c r="T19" s="85"/>
      <c r="U19" s="85"/>
      <c r="V19" s="85"/>
      <c r="W19" s="85"/>
      <c r="X19" s="85"/>
      <c r="Y19" s="85"/>
      <c r="Z19" s="85"/>
    </row>
    <row r="20">
      <c r="A20" s="85" t="str">
        <f>IFERROR(__xludf.DUMMYFUNCTION("""COMPUTED_VALUE"""),"Red")</f>
        <v>Red</v>
      </c>
      <c r="B20" s="20">
        <f>IFERROR(__xludf.DUMMYFUNCTION("""COMPUTED_VALUE"""),1.0)</f>
        <v>1</v>
      </c>
      <c r="C20" s="20">
        <f>IFERROR(__xludf.DUMMYFUNCTION("""COMPUTED_VALUE"""),2014.0)</f>
        <v>2014</v>
      </c>
      <c r="D20" s="20" t="str">
        <f>IFERROR(__xludf.DUMMYFUNCTION("""COMPUTED_VALUE"""),"G &amp; C Lurton Vineyards")</f>
        <v>G &amp; C Lurton Vineyards</v>
      </c>
      <c r="E20" s="20" t="str">
        <f>IFERROR(__xludf.DUMMYFUNCTION("""COMPUTED_VALUE"""),"Acaibo ")</f>
        <v>Acaibo </v>
      </c>
      <c r="F20" s="20" t="str">
        <f>IFERROR(__xludf.DUMMYFUNCTION("""COMPUTED_VALUE"""),"Bordeaux Red Blend")</f>
        <v>Bordeaux Red Blend</v>
      </c>
      <c r="G20" s="20" t="str">
        <f>IFERROR(__xludf.DUMMYFUNCTION("""COMPUTED_VALUE"""),"USA ")</f>
        <v>USA </v>
      </c>
      <c r="H20" s="20" t="str">
        <f>IFERROR(__xludf.DUMMYFUNCTION("""COMPUTED_VALUE"""),"CA")</f>
        <v>CA</v>
      </c>
      <c r="I20" s="20" t="str">
        <f>IFERROR(__xludf.DUMMYFUNCTION("""COMPUTED_VALUE"""),"North Coast ")</f>
        <v>North Coast </v>
      </c>
      <c r="J20" s="20" t="str">
        <f>IFERROR(__xludf.DUMMYFUNCTION("""COMPUTED_VALUE"""),"Sonoma County")</f>
        <v>Sonoma County</v>
      </c>
      <c r="K20" s="20" t="str">
        <f>IFERROR(__xludf.DUMMYFUNCTION("""COMPUTED_VALUE"""),"Chalk Hill")</f>
        <v>Chalk Hill</v>
      </c>
      <c r="L20" s="20"/>
      <c r="M20" s="75">
        <f>IFERROR(__xludf.DUMMYFUNCTION("""COMPUTED_VALUE"""),160.0)</f>
        <v>160</v>
      </c>
      <c r="N20" s="20">
        <f>IFERROR(__xludf.DUMMYFUNCTION("""COMPUTED_VALUE"""),1500.0)</f>
        <v>1500</v>
      </c>
      <c r="O20" s="20"/>
      <c r="P20" s="20"/>
      <c r="Q20" s="20"/>
      <c r="R20" s="20"/>
      <c r="S20" s="85"/>
      <c r="T20" s="85"/>
      <c r="U20" s="85"/>
      <c r="V20" s="85"/>
      <c r="W20" s="85"/>
      <c r="X20" s="85"/>
      <c r="Y20" s="85"/>
      <c r="Z20" s="85"/>
    </row>
    <row r="21">
      <c r="A21" s="85" t="str">
        <f>IFERROR(__xludf.DUMMYFUNCTION("""COMPUTED_VALUE"""),"Red")</f>
        <v>Red</v>
      </c>
      <c r="B21" s="20">
        <f>IFERROR(__xludf.DUMMYFUNCTION("""COMPUTED_VALUE"""),1.0)</f>
        <v>1</v>
      </c>
      <c r="C21" s="20">
        <f>IFERROR(__xludf.DUMMYFUNCTION("""COMPUTED_VALUE"""),2018.0)</f>
        <v>2018</v>
      </c>
      <c r="D21" s="20" t="str">
        <f>IFERROR(__xludf.DUMMYFUNCTION("""COMPUTED_VALUE"""),"Joseph Phelps Vineyards")</f>
        <v>Joseph Phelps Vineyards</v>
      </c>
      <c r="E21" s="20" t="str">
        <f>IFERROR(__xludf.DUMMYFUNCTION("""COMPUTED_VALUE"""),"Cabernet Sauvignon")</f>
        <v>Cabernet Sauvignon</v>
      </c>
      <c r="F21" s="20" t="str">
        <f>IFERROR(__xludf.DUMMYFUNCTION("""COMPUTED_VALUE"""),"Cabernet Sauvignon")</f>
        <v>Cabernet Sauvignon</v>
      </c>
      <c r="G21" s="20" t="str">
        <f>IFERROR(__xludf.DUMMYFUNCTION("""COMPUTED_VALUE"""),"USA ")</f>
        <v>USA </v>
      </c>
      <c r="H21" s="20" t="str">
        <f>IFERROR(__xludf.DUMMYFUNCTION("""COMPUTED_VALUE"""),"CA")</f>
        <v>CA</v>
      </c>
      <c r="I21" s="20" t="str">
        <f>IFERROR(__xludf.DUMMYFUNCTION("""COMPUTED_VALUE"""),"North Coast ")</f>
        <v>North Coast </v>
      </c>
      <c r="J21" s="20" t="str">
        <f>IFERROR(__xludf.DUMMYFUNCTION("""COMPUTED_VALUE"""),"Napa Valley ")</f>
        <v>Napa Valley </v>
      </c>
      <c r="K21" s="20"/>
      <c r="L21" s="20"/>
      <c r="M21" s="75">
        <f>IFERROR(__xludf.DUMMYFUNCTION("""COMPUTED_VALUE"""),170.0)</f>
        <v>170</v>
      </c>
      <c r="N21" s="20">
        <f>IFERROR(__xludf.DUMMYFUNCTION("""COMPUTED_VALUE"""),1500.0)</f>
        <v>1500</v>
      </c>
      <c r="O21" s="20"/>
      <c r="P21" s="20"/>
      <c r="Q21" s="20"/>
      <c r="R21" s="20"/>
      <c r="S21" s="85"/>
      <c r="T21" s="85"/>
      <c r="U21" s="85"/>
      <c r="V21" s="85"/>
      <c r="W21" s="85"/>
      <c r="X21" s="85"/>
      <c r="Y21" s="85"/>
      <c r="Z21" s="85"/>
    </row>
    <row r="22">
      <c r="A22" s="85" t="str">
        <f>IFERROR(__xludf.DUMMYFUNCTION("""COMPUTED_VALUE"""),"Red")</f>
        <v>Red</v>
      </c>
      <c r="B22" s="85">
        <f>IFERROR(__xludf.DUMMYFUNCTION("""COMPUTED_VALUE"""),1.0)</f>
        <v>1</v>
      </c>
      <c r="C22" s="85">
        <f>IFERROR(__xludf.DUMMYFUNCTION("""COMPUTED_VALUE"""),2017.0)</f>
        <v>2017</v>
      </c>
      <c r="D22" s="85" t="str">
        <f>IFERROR(__xludf.DUMMYFUNCTION("""COMPUTED_VALUE"""),"Vina Robles ")</f>
        <v>Vina Robles </v>
      </c>
      <c r="E22" s="85" t="str">
        <f>IFERROR(__xludf.DUMMYFUNCTION("""COMPUTED_VALUE"""),"Cabernet Sauvignon")</f>
        <v>Cabernet Sauvignon</v>
      </c>
      <c r="F22" s="85" t="str">
        <f>IFERROR(__xludf.DUMMYFUNCTION("""COMPUTED_VALUE"""),"Cabernet Sauvignon")</f>
        <v>Cabernet Sauvignon</v>
      </c>
      <c r="G22" s="85" t="str">
        <f>IFERROR(__xludf.DUMMYFUNCTION("""COMPUTED_VALUE"""),"USA ")</f>
        <v>USA </v>
      </c>
      <c r="H22" s="85" t="str">
        <f>IFERROR(__xludf.DUMMYFUNCTION("""COMPUTED_VALUE"""),"CA")</f>
        <v>CA</v>
      </c>
      <c r="I22" s="85" t="str">
        <f>IFERROR(__xludf.DUMMYFUNCTION("""COMPUTED_VALUE"""),"Central Coast ")</f>
        <v>Central Coast </v>
      </c>
      <c r="J22" s="85" t="str">
        <f>IFERROR(__xludf.DUMMYFUNCTION("""COMPUTED_VALUE"""),"Paso Robles ")</f>
        <v>Paso Robles </v>
      </c>
      <c r="K22" s="85"/>
      <c r="L22" s="85"/>
      <c r="M22" s="92">
        <f>IFERROR(__xludf.DUMMYFUNCTION("""COMPUTED_VALUE"""),56.0)</f>
        <v>56</v>
      </c>
      <c r="N22" s="85">
        <f>IFERROR(__xludf.DUMMYFUNCTION("""COMPUTED_VALUE"""),1500.0)</f>
        <v>1500</v>
      </c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>
      <c r="A23" s="85" t="str">
        <f>IFERROR(__xludf.DUMMYFUNCTION("""COMPUTED_VALUE"""),"Red")</f>
        <v>Red</v>
      </c>
      <c r="B23" s="85">
        <f>IFERROR(__xludf.DUMMYFUNCTION("""COMPUTED_VALUE"""),1.0)</f>
        <v>1</v>
      </c>
      <c r="C23" s="85">
        <f>IFERROR(__xludf.DUMMYFUNCTION("""COMPUTED_VALUE"""),2017.0)</f>
        <v>2017</v>
      </c>
      <c r="D23" s="85" t="str">
        <f>IFERROR(__xludf.DUMMYFUNCTION("""COMPUTED_VALUE"""),"Ridge Vineyards")</f>
        <v>Ridge Vineyards</v>
      </c>
      <c r="E23" s="85" t="str">
        <f>IFERROR(__xludf.DUMMYFUNCTION("""COMPUTED_VALUE"""),"Estate Cabernet Sauvignon")</f>
        <v>Estate Cabernet Sauvignon</v>
      </c>
      <c r="F23" s="85" t="str">
        <f>IFERROR(__xludf.DUMMYFUNCTION("""COMPUTED_VALUE"""),"Cabernet Sauvignon")</f>
        <v>Cabernet Sauvignon</v>
      </c>
      <c r="G23" s="85" t="str">
        <f>IFERROR(__xludf.DUMMYFUNCTION("""COMPUTED_VALUE"""),"USA ")</f>
        <v>USA </v>
      </c>
      <c r="H23" s="85" t="str">
        <f>IFERROR(__xludf.DUMMYFUNCTION("""COMPUTED_VALUE"""),"CA")</f>
        <v>CA</v>
      </c>
      <c r="I23" s="85" t="str">
        <f>IFERROR(__xludf.DUMMYFUNCTION("""COMPUTED_VALUE"""),"Central Coast ")</f>
        <v>Central Coast </v>
      </c>
      <c r="J23" s="85" t="str">
        <f>IFERROR(__xludf.DUMMYFUNCTION("""COMPUTED_VALUE"""),"Santa Cruz Mountains")</f>
        <v>Santa Cruz Mountains</v>
      </c>
      <c r="K23" s="85"/>
      <c r="L23" s="85"/>
      <c r="M23" s="92">
        <f>IFERROR(__xludf.DUMMYFUNCTION("""COMPUTED_VALUE"""),133.0)</f>
        <v>133</v>
      </c>
      <c r="N23" s="85">
        <f>IFERROR(__xludf.DUMMYFUNCTION("""COMPUTED_VALUE"""),1500.0)</f>
        <v>1500</v>
      </c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>
      <c r="A24" s="85" t="str">
        <f>IFERROR(__xludf.DUMMYFUNCTION("""COMPUTED_VALUE"""),"Red")</f>
        <v>Red</v>
      </c>
      <c r="B24" s="20">
        <f>IFERROR(__xludf.DUMMYFUNCTION("""COMPUTED_VALUE"""),1.0)</f>
        <v>1</v>
      </c>
      <c r="C24" s="20">
        <f>IFERROR(__xludf.DUMMYFUNCTION("""COMPUTED_VALUE"""),2016.0)</f>
        <v>2016</v>
      </c>
      <c r="D24" s="20" t="str">
        <f>IFERROR(__xludf.DUMMYFUNCTION("""COMPUTED_VALUE"""),"Keenan Winery")</f>
        <v>Keenan Winery</v>
      </c>
      <c r="E24" s="20" t="str">
        <f>IFERROR(__xludf.DUMMYFUNCTION("""COMPUTED_VALUE"""),"Cabernet Franc ")</f>
        <v>Cabernet Franc </v>
      </c>
      <c r="F24" s="20" t="str">
        <f>IFERROR(__xludf.DUMMYFUNCTION("""COMPUTED_VALUE"""),"Cabernet Franc ")</f>
        <v>Cabernet Franc </v>
      </c>
      <c r="G24" s="20" t="str">
        <f>IFERROR(__xludf.DUMMYFUNCTION("""COMPUTED_VALUE"""),"USA")</f>
        <v>USA</v>
      </c>
      <c r="H24" s="20" t="str">
        <f>IFERROR(__xludf.DUMMYFUNCTION("""COMPUTED_VALUE"""),"CA")</f>
        <v>CA</v>
      </c>
      <c r="I24" s="20" t="str">
        <f>IFERROR(__xludf.DUMMYFUNCTION("""COMPUTED_VALUE"""),"North Coast")</f>
        <v>North Coast</v>
      </c>
      <c r="J24" s="20" t="str">
        <f>IFERROR(__xludf.DUMMYFUNCTION("""COMPUTED_VALUE"""),"Napa Valley ")</f>
        <v>Napa Valley </v>
      </c>
      <c r="K24" s="20" t="str">
        <f>IFERROR(__xludf.DUMMYFUNCTION("""COMPUTED_VALUE"""),"Spring Mountain ")</f>
        <v>Spring Mountain </v>
      </c>
      <c r="L24" s="20" t="str">
        <f>IFERROR(__xludf.DUMMYFUNCTION("""COMPUTED_VALUE"""),"Upper Bowl ")</f>
        <v>Upper Bowl </v>
      </c>
      <c r="M24" s="75">
        <f>IFERROR(__xludf.DUMMYFUNCTION("""COMPUTED_VALUE"""),150.0)</f>
        <v>150</v>
      </c>
      <c r="N24" s="20">
        <f>IFERROR(__xludf.DUMMYFUNCTION("""COMPUTED_VALUE"""),1500.0)</f>
        <v>1500</v>
      </c>
      <c r="O24" s="20"/>
      <c r="P24" s="20"/>
      <c r="Q24" s="20"/>
      <c r="R24" s="20"/>
      <c r="S24" s="85"/>
      <c r="T24" s="85"/>
      <c r="U24" s="85"/>
      <c r="V24" s="85"/>
      <c r="W24" s="85"/>
      <c r="X24" s="85"/>
      <c r="Y24" s="85"/>
      <c r="Z24" s="85"/>
    </row>
    <row r="25">
      <c r="A25" s="85" t="str">
        <f>IFERROR(__xludf.DUMMYFUNCTION("""COMPUTED_VALUE"""),"Red")</f>
        <v>Red</v>
      </c>
      <c r="B25" s="20">
        <f>IFERROR(__xludf.DUMMYFUNCTION("""COMPUTED_VALUE"""),1.0)</f>
        <v>1</v>
      </c>
      <c r="C25" s="20">
        <f>IFERROR(__xludf.DUMMYFUNCTION("""COMPUTED_VALUE"""),2018.0)</f>
        <v>2018</v>
      </c>
      <c r="D25" s="20" t="str">
        <f>IFERROR(__xludf.DUMMYFUNCTION("""COMPUTED_VALUE"""),"Silverado Vineyards")</f>
        <v>Silverado Vineyards</v>
      </c>
      <c r="E25" s="20" t="str">
        <f>IFERROR(__xludf.DUMMYFUNCTION("""COMPUTED_VALUE"""),"Estate Cabernet Sauvignon")</f>
        <v>Estate Cabernet Sauvignon</v>
      </c>
      <c r="F25" s="20" t="str">
        <f>IFERROR(__xludf.DUMMYFUNCTION("""COMPUTED_VALUE"""),"Cabernet Sauvignon")</f>
        <v>Cabernet Sauvignon</v>
      </c>
      <c r="G25" s="20" t="str">
        <f>IFERROR(__xludf.DUMMYFUNCTION("""COMPUTED_VALUE"""),"USA ")</f>
        <v>USA </v>
      </c>
      <c r="H25" s="20" t="str">
        <f>IFERROR(__xludf.DUMMYFUNCTION("""COMPUTED_VALUE"""),"CA ")</f>
        <v>CA </v>
      </c>
      <c r="I25" s="20" t="str">
        <f>IFERROR(__xludf.DUMMYFUNCTION("""COMPUTED_VALUE"""),"North Coast")</f>
        <v>North Coast</v>
      </c>
      <c r="J25" s="20" t="str">
        <f>IFERROR(__xludf.DUMMYFUNCTION("""COMPUTED_VALUE"""),"Napa Valley")</f>
        <v>Napa Valley</v>
      </c>
      <c r="K25" s="20"/>
      <c r="L25" s="20"/>
      <c r="M25" s="75">
        <f>IFERROR(__xludf.DUMMYFUNCTION("""COMPUTED_VALUE"""),250.0)</f>
        <v>250</v>
      </c>
      <c r="N25" s="20">
        <f>IFERROR(__xludf.DUMMYFUNCTION("""COMPUTED_VALUE"""),3000.0)</f>
        <v>3000</v>
      </c>
      <c r="O25" s="20"/>
      <c r="P25" s="20"/>
      <c r="Q25" s="20"/>
      <c r="R25" s="20"/>
      <c r="S25" s="85"/>
      <c r="T25" s="85"/>
      <c r="U25" s="85"/>
      <c r="V25" s="85"/>
      <c r="W25" s="85"/>
      <c r="X25" s="85"/>
      <c r="Y25" s="85"/>
      <c r="Z25" s="85"/>
    </row>
    <row r="26">
      <c r="A26" s="85" t="str">
        <f>IFERROR(__xludf.DUMMYFUNCTION("""COMPUTED_VALUE"""),"Red")</f>
        <v>Red</v>
      </c>
      <c r="B26" s="20">
        <f>IFERROR(__xludf.DUMMYFUNCTION("""COMPUTED_VALUE"""),1.0)</f>
        <v>1</v>
      </c>
      <c r="C26" s="20">
        <f>IFERROR(__xludf.DUMMYFUNCTION("""COMPUTED_VALUE"""),2019.0)</f>
        <v>2019</v>
      </c>
      <c r="D26" s="20" t="str">
        <f>IFERROR(__xludf.DUMMYFUNCTION("""COMPUTED_VALUE"""),"Joseph Phelps Vineyards")</f>
        <v>Joseph Phelps Vineyards</v>
      </c>
      <c r="E26" s="20" t="str">
        <f>IFERROR(__xludf.DUMMYFUNCTION("""COMPUTED_VALUE"""),"Estate Cabernet Sauvignon")</f>
        <v>Estate Cabernet Sauvignon</v>
      </c>
      <c r="F26" s="20" t="str">
        <f>IFERROR(__xludf.DUMMYFUNCTION("""COMPUTED_VALUE"""),"Cabernet Sauvignon")</f>
        <v>Cabernet Sauvignon</v>
      </c>
      <c r="G26" s="20" t="str">
        <f>IFERROR(__xludf.DUMMYFUNCTION("""COMPUTED_VALUE"""),"USA ")</f>
        <v>USA </v>
      </c>
      <c r="H26" s="20" t="str">
        <f>IFERROR(__xludf.DUMMYFUNCTION("""COMPUTED_VALUE"""),"CA ")</f>
        <v>CA </v>
      </c>
      <c r="I26" s="20" t="str">
        <f>IFERROR(__xludf.DUMMYFUNCTION("""COMPUTED_VALUE"""),"North Coast")</f>
        <v>North Coast</v>
      </c>
      <c r="J26" s="20" t="str">
        <f>IFERROR(__xludf.DUMMYFUNCTION("""COMPUTED_VALUE"""),"Napa Valley")</f>
        <v>Napa Valley</v>
      </c>
      <c r="K26" s="20" t="str">
        <f>IFERROR(__xludf.DUMMYFUNCTION("""COMPUTED_VALUE"""),"St Helena ")</f>
        <v>St Helena </v>
      </c>
      <c r="L26" s="20"/>
      <c r="M26" s="75">
        <f>IFERROR(__xludf.DUMMYFUNCTION("""COMPUTED_VALUE"""),190.0)</f>
        <v>190</v>
      </c>
      <c r="N26" s="20">
        <f>IFERROR(__xludf.DUMMYFUNCTION("""COMPUTED_VALUE"""),1500.0)</f>
        <v>1500</v>
      </c>
      <c r="O26" s="20"/>
      <c r="P26" s="20"/>
      <c r="Q26" s="20"/>
      <c r="R26" s="20"/>
      <c r="S26" s="85"/>
      <c r="T26" s="85"/>
      <c r="U26" s="85"/>
      <c r="V26" s="85"/>
      <c r="W26" s="85"/>
      <c r="X26" s="85"/>
      <c r="Y26" s="85"/>
      <c r="Z26" s="85"/>
    </row>
    <row r="27">
      <c r="A27" s="85" t="str">
        <f>IFERROR(__xludf.DUMMYFUNCTION("""COMPUTED_VALUE"""),"Red")</f>
        <v>Red</v>
      </c>
      <c r="B27" s="20">
        <f>IFERROR(__xludf.DUMMYFUNCTION("""COMPUTED_VALUE"""),1.0)</f>
        <v>1</v>
      </c>
      <c r="C27" s="20">
        <f>IFERROR(__xludf.DUMMYFUNCTION("""COMPUTED_VALUE"""),2019.0)</f>
        <v>2019</v>
      </c>
      <c r="D27" s="20" t="str">
        <f>IFERROR(__xludf.DUMMYFUNCTION("""COMPUTED_VALUE"""),"Joseph Phelps Vineyards")</f>
        <v>Joseph Phelps Vineyards</v>
      </c>
      <c r="E27" s="20" t="str">
        <f>IFERROR(__xludf.DUMMYFUNCTION("""COMPUTED_VALUE"""),"Freestone Pinot Noir")</f>
        <v>Freestone Pinot Noir</v>
      </c>
      <c r="F27" s="20" t="str">
        <f>IFERROR(__xludf.DUMMYFUNCTION("""COMPUTED_VALUE"""),"Pinot Noir")</f>
        <v>Pinot Noir</v>
      </c>
      <c r="G27" s="20" t="str">
        <f>IFERROR(__xludf.DUMMYFUNCTION("""COMPUTED_VALUE"""),"USA ")</f>
        <v>USA </v>
      </c>
      <c r="H27" s="20" t="str">
        <f>IFERROR(__xludf.DUMMYFUNCTION("""COMPUTED_VALUE"""),"CA ")</f>
        <v>CA </v>
      </c>
      <c r="I27" s="20" t="str">
        <f>IFERROR(__xludf.DUMMYFUNCTION("""COMPUTED_VALUE"""),"North Coast")</f>
        <v>North Coast</v>
      </c>
      <c r="J27" s="20" t="str">
        <f>IFERROR(__xludf.DUMMYFUNCTION("""COMPUTED_VALUE"""),"Sonoma County")</f>
        <v>Sonoma County</v>
      </c>
      <c r="K27" s="20" t="str">
        <f>IFERROR(__xludf.DUMMYFUNCTION("""COMPUTED_VALUE"""),"Sonoma Coast")</f>
        <v>Sonoma Coast</v>
      </c>
      <c r="L27" s="20"/>
      <c r="M27" s="75">
        <f>IFERROR(__xludf.DUMMYFUNCTION("""COMPUTED_VALUE"""),145.0)</f>
        <v>145</v>
      </c>
      <c r="N27" s="20">
        <f>IFERROR(__xludf.DUMMYFUNCTION("""COMPUTED_VALUE"""),1500.0)</f>
        <v>1500</v>
      </c>
      <c r="O27" s="20"/>
      <c r="P27" s="20"/>
      <c r="Q27" s="20"/>
      <c r="R27" s="20"/>
      <c r="S27" s="85"/>
      <c r="T27" s="85"/>
      <c r="U27" s="85"/>
      <c r="V27" s="85"/>
      <c r="W27" s="85"/>
      <c r="X27" s="85"/>
      <c r="Y27" s="85"/>
      <c r="Z27" s="85"/>
    </row>
    <row r="28">
      <c r="A28" s="85" t="str">
        <f>IFERROR(__xludf.DUMMYFUNCTION("""COMPUTED_VALUE"""),"Red")</f>
        <v>Red</v>
      </c>
      <c r="B28" s="85">
        <f>IFERROR(__xludf.DUMMYFUNCTION("""COMPUTED_VALUE"""),1.0)</f>
        <v>1</v>
      </c>
      <c r="C28" s="85">
        <f>IFERROR(__xludf.DUMMYFUNCTION("""COMPUTED_VALUE"""),1994.0)</f>
        <v>1994</v>
      </c>
      <c r="D28" s="85" t="str">
        <f>IFERROR(__xludf.DUMMYFUNCTION("""COMPUTED_VALUE"""),"Duckhorn Vineyards")</f>
        <v>Duckhorn Vineyards</v>
      </c>
      <c r="E28" s="85" t="str">
        <f>IFERROR(__xludf.DUMMYFUNCTION("""COMPUTED_VALUE"""),"Duke's Merlot (30th Anniversary)")</f>
        <v>Duke's Merlot (30th Anniversary)</v>
      </c>
      <c r="F28" s="85" t="str">
        <f>IFERROR(__xludf.DUMMYFUNCTION("""COMPUTED_VALUE"""),"Merlot")</f>
        <v>Merlot</v>
      </c>
      <c r="G28" s="85" t="str">
        <f>IFERROR(__xludf.DUMMYFUNCTION("""COMPUTED_VALUE"""),"USA ")</f>
        <v>USA </v>
      </c>
      <c r="H28" s="85" t="str">
        <f>IFERROR(__xludf.DUMMYFUNCTION("""COMPUTED_VALUE"""),"CA")</f>
        <v>CA</v>
      </c>
      <c r="I28" s="85" t="str">
        <f>IFERROR(__xludf.DUMMYFUNCTION("""COMPUTED_VALUE"""),"North Coast")</f>
        <v>North Coast</v>
      </c>
      <c r="J28" s="85" t="str">
        <f>IFERROR(__xludf.DUMMYFUNCTION("""COMPUTED_VALUE"""),"Napa Valley")</f>
        <v>Napa Valley</v>
      </c>
      <c r="K28" s="85" t="str">
        <f>IFERROR(__xludf.DUMMYFUNCTION("""COMPUTED_VALUE"""),"St. Helena ")</f>
        <v>St. Helena </v>
      </c>
      <c r="L28" s="85"/>
      <c r="M28" s="92">
        <f>IFERROR(__xludf.DUMMYFUNCTION("""COMPUTED_VALUE"""),300.0)</f>
        <v>300</v>
      </c>
      <c r="N28" s="85">
        <f>IFERROR(__xludf.DUMMYFUNCTION("""COMPUTED_VALUE"""),3000.0)</f>
        <v>3000</v>
      </c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>
      <c r="A29" s="8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85"/>
      <c r="T29" s="85"/>
      <c r="U29" s="85"/>
      <c r="V29" s="85"/>
      <c r="W29" s="85"/>
      <c r="X29" s="85"/>
      <c r="Y29" s="85"/>
      <c r="Z29" s="85"/>
    </row>
    <row r="30">
      <c r="A30" s="77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85"/>
      <c r="T30" s="85"/>
      <c r="U30" s="85"/>
      <c r="V30" s="85"/>
      <c r="W30" s="85"/>
      <c r="X30" s="85"/>
      <c r="Y30" s="85"/>
      <c r="Z30" s="85"/>
    </row>
    <row r="31">
      <c r="A31" s="8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85"/>
      <c r="T31" s="85"/>
      <c r="U31" s="85"/>
      <c r="V31" s="85"/>
      <c r="W31" s="85"/>
      <c r="X31" s="85"/>
      <c r="Y31" s="85"/>
      <c r="Z31" s="85"/>
    </row>
    <row r="32">
      <c r="A32" s="8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85"/>
      <c r="T32" s="85"/>
      <c r="U32" s="85"/>
      <c r="V32" s="85"/>
      <c r="W32" s="85"/>
      <c r="X32" s="85"/>
      <c r="Y32" s="85"/>
      <c r="Z32" s="85"/>
    </row>
    <row r="33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>
      <c r="A34" s="8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85"/>
      <c r="T34" s="85"/>
      <c r="U34" s="85"/>
      <c r="V34" s="85"/>
      <c r="W34" s="85"/>
      <c r="X34" s="85"/>
      <c r="Y34" s="85"/>
      <c r="Z34" s="85"/>
    </row>
    <row r="3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4.88"/>
    <col customWidth="1" min="3" max="3" width="8.63"/>
    <col customWidth="1" min="4" max="4" width="24.63"/>
    <col customWidth="1" min="5" max="5" width="32.13"/>
    <col customWidth="1" min="6" max="6" width="30.38"/>
    <col hidden="1" min="7" max="8" width="12.63"/>
    <col customWidth="1" min="9" max="9" width="25.0"/>
    <col customWidth="1" min="10" max="10" width="21.5"/>
    <col hidden="1" min="11" max="12" width="12.63"/>
    <col customWidth="1" min="14" max="14" width="8.0"/>
    <col customWidth="1" min="16" max="16" width="9.63"/>
    <col customWidth="1" min="17" max="17" width="8.75"/>
    <col customWidth="1" min="18" max="18" width="7.75"/>
    <col customWidth="1" min="19" max="19" width="10.25"/>
    <col customWidth="1" min="20" max="20" width="33.38"/>
  </cols>
  <sheetData>
    <row r="1">
      <c r="A1" s="87" t="str">
        <f>IFERROR(__xludf.DUMMYFUNCTION("QUERY('Master Old'!B1:R990,""select * where G='FR'"",1)"),"Category")</f>
        <v>Category</v>
      </c>
      <c r="B1" s="83" t="str">
        <f>IFERROR(__xludf.DUMMYFUNCTION("""COMPUTED_VALUE"""),"Qty")</f>
        <v>Qty</v>
      </c>
      <c r="C1" s="83" t="str">
        <f>IFERROR(__xludf.DUMMYFUNCTION("""COMPUTED_VALUE"""),"Vintage ")</f>
        <v>Vintage </v>
      </c>
      <c r="D1" s="83" t="str">
        <f>IFERROR(__xludf.DUMMYFUNCTION("""COMPUTED_VALUE"""),"Winery ")</f>
        <v>Winery </v>
      </c>
      <c r="E1" s="83" t="str">
        <f>IFERROR(__xludf.DUMMYFUNCTION("""COMPUTED_VALUE"""),"Wine ")</f>
        <v>Wine </v>
      </c>
      <c r="F1" s="83" t="str">
        <f>IFERROR(__xludf.DUMMYFUNCTION("""COMPUTED_VALUE"""),"Varietal(s)")</f>
        <v>Varietal(s)</v>
      </c>
      <c r="G1" s="83" t="str">
        <f>IFERROR(__xludf.DUMMYFUNCTION("""COMPUTED_VALUE"""),"Country ")</f>
        <v>Country </v>
      </c>
      <c r="H1" s="83" t="str">
        <f>IFERROR(__xludf.DUMMYFUNCTION("""COMPUTED_VALUE"""),"State ")</f>
        <v>State </v>
      </c>
      <c r="I1" s="83" t="str">
        <f>IFERROR(__xludf.DUMMYFUNCTION("""COMPUTED_VALUE"""),"Region ")</f>
        <v>Region </v>
      </c>
      <c r="J1" s="83" t="str">
        <f>IFERROR(__xludf.DUMMYFUNCTION("""COMPUTED_VALUE"""),"Appelation")</f>
        <v>Appelation</v>
      </c>
      <c r="K1" s="83" t="str">
        <f>IFERROR(__xludf.DUMMYFUNCTION("""COMPUTED_VALUE"""),"Sub AVA")</f>
        <v>Sub AVA</v>
      </c>
      <c r="L1" s="83" t="str">
        <f>IFERROR(__xludf.DUMMYFUNCTION("""COMPUTED_VALUE""")," ")</f>
        <v> </v>
      </c>
      <c r="M1" s="83" t="str">
        <f>IFERROR(__xludf.DUMMYFUNCTION("""COMPUTED_VALUE"""),"Retail Price ")</f>
        <v>Retail Price </v>
      </c>
      <c r="N1" s="83" t="str">
        <f>IFERROR(__xludf.DUMMYFUNCTION("""COMPUTED_VALUE"""),"Volume")</f>
        <v>Volume</v>
      </c>
      <c r="O1" s="83" t="str">
        <f>IFERROR(__xludf.DUMMYFUNCTION("""COMPUTED_VALUE"""),"Fridge")</f>
        <v>Fridge</v>
      </c>
      <c r="P1" s="83" t="str">
        <f>IFERROR(__xludf.DUMMYFUNCTION("""COMPUTED_VALUE"""),"Box #")</f>
        <v>Box #</v>
      </c>
      <c r="Q1" s="83" t="str">
        <f>IFERROR(__xludf.DUMMYFUNCTION("""COMPUTED_VALUE"""),"Notes")</f>
        <v>Notes</v>
      </c>
      <c r="R1" s="83"/>
      <c r="S1" s="83"/>
      <c r="T1" s="83"/>
      <c r="U1" s="83"/>
      <c r="V1" s="83"/>
      <c r="W1" s="83"/>
      <c r="X1" s="83"/>
      <c r="Y1" s="83"/>
      <c r="Z1" s="83"/>
    </row>
    <row r="2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</sheetData>
  <autoFilter ref="$A$1:$Q$990">
    <sortState ref="A1:Q990">
      <sortCondition descending="1" ref="C1:C990"/>
    </sortState>
  </autoFil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4.88"/>
    <col customWidth="1" min="3" max="3" width="8.63"/>
    <col customWidth="1" min="4" max="4" width="24.63"/>
    <col customWidth="1" min="5" max="5" width="32.13"/>
    <col customWidth="1" min="6" max="6" width="30.38"/>
    <col hidden="1" min="7" max="8" width="12.63"/>
    <col customWidth="1" min="9" max="9" width="25.0"/>
    <col customWidth="1" min="10" max="10" width="21.5"/>
    <col hidden="1" min="11" max="12" width="12.63"/>
    <col customWidth="1" min="14" max="14" width="8.0"/>
    <col customWidth="1" min="16" max="16" width="9.63"/>
    <col customWidth="1" min="17" max="17" width="8.75"/>
    <col customWidth="1" min="18" max="18" width="7.75"/>
    <col customWidth="1" min="19" max="19" width="10.25"/>
    <col customWidth="1" min="20" max="20" width="33.38"/>
  </cols>
  <sheetData>
    <row r="1">
      <c r="A1" s="87" t="str">
        <f>IFERROR(__xludf.DUMMYFUNCTION("QUERY('Master Old'!B1:R990,""select * where G='IT'"",1)"),"Category")</f>
        <v>Category</v>
      </c>
      <c r="B1" s="83" t="str">
        <f>IFERROR(__xludf.DUMMYFUNCTION("""COMPUTED_VALUE"""),"Qty")</f>
        <v>Qty</v>
      </c>
      <c r="C1" s="83" t="str">
        <f>IFERROR(__xludf.DUMMYFUNCTION("""COMPUTED_VALUE"""),"Vintage ")</f>
        <v>Vintage </v>
      </c>
      <c r="D1" s="83" t="str">
        <f>IFERROR(__xludf.DUMMYFUNCTION("""COMPUTED_VALUE"""),"Winery ")</f>
        <v>Winery </v>
      </c>
      <c r="E1" s="83" t="str">
        <f>IFERROR(__xludf.DUMMYFUNCTION("""COMPUTED_VALUE"""),"Wine ")</f>
        <v>Wine </v>
      </c>
      <c r="F1" s="83" t="str">
        <f>IFERROR(__xludf.DUMMYFUNCTION("""COMPUTED_VALUE"""),"Varietal(s)")</f>
        <v>Varietal(s)</v>
      </c>
      <c r="G1" s="83" t="str">
        <f>IFERROR(__xludf.DUMMYFUNCTION("""COMPUTED_VALUE"""),"Country ")</f>
        <v>Country </v>
      </c>
      <c r="H1" s="83" t="str">
        <f>IFERROR(__xludf.DUMMYFUNCTION("""COMPUTED_VALUE"""),"State ")</f>
        <v>State </v>
      </c>
      <c r="I1" s="83" t="str">
        <f>IFERROR(__xludf.DUMMYFUNCTION("""COMPUTED_VALUE"""),"Region ")</f>
        <v>Region </v>
      </c>
      <c r="J1" s="83" t="str">
        <f>IFERROR(__xludf.DUMMYFUNCTION("""COMPUTED_VALUE"""),"Appelation")</f>
        <v>Appelation</v>
      </c>
      <c r="K1" s="83" t="str">
        <f>IFERROR(__xludf.DUMMYFUNCTION("""COMPUTED_VALUE"""),"Sub AVA")</f>
        <v>Sub AVA</v>
      </c>
      <c r="L1" s="83" t="str">
        <f>IFERROR(__xludf.DUMMYFUNCTION("""COMPUTED_VALUE""")," ")</f>
        <v> </v>
      </c>
      <c r="M1" s="83" t="str">
        <f>IFERROR(__xludf.DUMMYFUNCTION("""COMPUTED_VALUE"""),"Retail Price ")</f>
        <v>Retail Price </v>
      </c>
      <c r="N1" s="83" t="str">
        <f>IFERROR(__xludf.DUMMYFUNCTION("""COMPUTED_VALUE"""),"Volume")</f>
        <v>Volume</v>
      </c>
      <c r="O1" s="83" t="str">
        <f>IFERROR(__xludf.DUMMYFUNCTION("""COMPUTED_VALUE"""),"Fridge")</f>
        <v>Fridge</v>
      </c>
      <c r="P1" s="83" t="str">
        <f>IFERROR(__xludf.DUMMYFUNCTION("""COMPUTED_VALUE"""),"Box #")</f>
        <v>Box #</v>
      </c>
      <c r="Q1" s="83" t="str">
        <f>IFERROR(__xludf.DUMMYFUNCTION("""COMPUTED_VALUE"""),"Notes")</f>
        <v>Notes</v>
      </c>
      <c r="R1" s="83"/>
      <c r="S1" s="83"/>
      <c r="T1" s="83"/>
      <c r="U1" s="83"/>
      <c r="V1" s="83"/>
      <c r="W1" s="83"/>
      <c r="X1" s="83"/>
      <c r="Y1" s="83"/>
      <c r="Z1" s="83"/>
    </row>
    <row r="2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</sheetData>
  <autoFilter ref="$A$1:$Q$990">
    <sortState ref="A1:Q990">
      <sortCondition descending="1" ref="C1:C990"/>
    </sortState>
  </autoFilter>
  <drawing r:id="rId1"/>
</worksheet>
</file>