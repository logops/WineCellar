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rahuljoshi/Downloads/"/>
    </mc:Choice>
  </mc:AlternateContent>
  <xr:revisionPtr revIDLastSave="0" documentId="8_{CBFB7612-7C90-214A-BF23-91B382C8CEAA}" xr6:coauthVersionLast="47" xr6:coauthVersionMax="47" xr10:uidLastSave="{00000000-0000-0000-0000-000000000000}"/>
  <bookViews>
    <workbookView xWindow="36540" yWindow="2240" windowWidth="30240" windowHeight="17880" xr2:uid="{00000000-000D-0000-FFFF-FFFF00000000}"/>
  </bookViews>
  <sheets>
    <sheet name="Updated 122223" sheetId="1" r:id="rId1"/>
    <sheet name="Wine Wish List" sheetId="2" r:id="rId2"/>
    <sheet name="Short Drinking Window" sheetId="3" r:id="rId3"/>
    <sheet name="Master_New" sheetId="4" state="hidden" r:id="rId4"/>
    <sheet name="Groveland 1110" sheetId="5" state="hidden" r:id="rId5"/>
    <sheet name="Sheet7" sheetId="6" state="hidden" r:id="rId6"/>
    <sheet name="Sheet8" sheetId="7" state="hidden" r:id="rId7"/>
  </sheets>
  <definedNames>
    <definedName name="_xlnm._FilterDatabase" localSheetId="3" hidden="1">Master_New!$A$1:$AC$999</definedName>
    <definedName name="_xlnm._FilterDatabase" localSheetId="0" hidden="1">'Updated 122223'!$A$1:$W$201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7" l="1"/>
  <c r="C27" i="7"/>
  <c r="C26" i="7"/>
  <c r="C25" i="7"/>
  <c r="C24" i="7"/>
  <c r="C23" i="7"/>
  <c r="C21" i="7"/>
  <c r="C19" i="7"/>
  <c r="C18" i="7"/>
  <c r="C17" i="7"/>
  <c r="C16" i="7"/>
  <c r="C15" i="7"/>
  <c r="C14" i="7"/>
  <c r="C13" i="7"/>
  <c r="C11" i="7"/>
  <c r="C10" i="7"/>
  <c r="C9" i="7"/>
  <c r="C8" i="7"/>
  <c r="C7" i="7"/>
  <c r="C6" i="7"/>
  <c r="C5" i="7"/>
  <c r="C4" i="7"/>
  <c r="C3" i="7"/>
  <c r="C2" i="7"/>
  <c r="J176" i="6"/>
  <c r="J175" i="6"/>
  <c r="J174" i="6"/>
  <c r="J173" i="6"/>
  <c r="J172" i="6"/>
  <c r="G172" i="6"/>
  <c r="J171" i="6"/>
  <c r="G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G147" i="6"/>
  <c r="J146" i="6"/>
  <c r="J145" i="6"/>
  <c r="J144" i="6"/>
  <c r="J143" i="6"/>
  <c r="G143" i="6"/>
  <c r="J142" i="6"/>
  <c r="J141" i="6"/>
  <c r="J140" i="6"/>
  <c r="J139" i="6"/>
  <c r="J138" i="6"/>
  <c r="J137" i="6"/>
  <c r="J136" i="6"/>
  <c r="J135" i="6"/>
  <c r="J134" i="6"/>
  <c r="G134" i="6"/>
  <c r="J133" i="6"/>
  <c r="J132" i="6"/>
  <c r="J131" i="6"/>
  <c r="G131" i="6"/>
  <c r="J130" i="6"/>
  <c r="J129" i="6"/>
  <c r="J128" i="6"/>
  <c r="J127" i="6"/>
  <c r="J126" i="6"/>
  <c r="J125" i="6"/>
  <c r="J124" i="6"/>
  <c r="J123" i="6"/>
  <c r="J122" i="6"/>
  <c r="J121" i="6"/>
  <c r="J120" i="6"/>
  <c r="G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G108" i="6"/>
  <c r="J107" i="6"/>
  <c r="J106" i="6"/>
  <c r="J105" i="6"/>
  <c r="J104" i="6"/>
  <c r="J103" i="6"/>
  <c r="J102" i="6"/>
  <c r="J101" i="6"/>
  <c r="J100" i="6"/>
  <c r="G100" i="6"/>
  <c r="J99" i="6"/>
  <c r="J98" i="6"/>
  <c r="G98" i="6"/>
  <c r="J97" i="6"/>
  <c r="J96" i="6"/>
  <c r="J95" i="6"/>
  <c r="G95" i="6"/>
  <c r="J94" i="6"/>
  <c r="J93" i="6"/>
  <c r="J92" i="6"/>
  <c r="J91" i="6"/>
  <c r="J90" i="6"/>
  <c r="J89" i="6"/>
  <c r="J88" i="6"/>
  <c r="J87" i="6"/>
  <c r="J86" i="6"/>
  <c r="J85" i="6"/>
  <c r="J84" i="6"/>
  <c r="J83" i="6"/>
  <c r="G83" i="6"/>
  <c r="J82" i="6"/>
  <c r="J81" i="6"/>
  <c r="G81" i="6"/>
  <c r="J80" i="6"/>
  <c r="G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G61" i="6"/>
  <c r="J60" i="6"/>
  <c r="J59" i="6"/>
  <c r="J58" i="6"/>
  <c r="J57" i="6"/>
  <c r="G57" i="6"/>
  <c r="J56" i="6"/>
  <c r="J55" i="6"/>
  <c r="J54" i="6"/>
  <c r="J53" i="6"/>
  <c r="J52" i="6"/>
  <c r="G52" i="6"/>
  <c r="J51" i="6"/>
  <c r="G51" i="6"/>
  <c r="J50" i="6"/>
  <c r="J49" i="6"/>
  <c r="J48" i="6"/>
  <c r="J47" i="6"/>
  <c r="G47" i="6"/>
  <c r="J46" i="6"/>
  <c r="J45" i="6"/>
  <c r="J44" i="6"/>
  <c r="G44" i="6"/>
  <c r="J43" i="6"/>
  <c r="J42" i="6"/>
  <c r="J41" i="6"/>
  <c r="J40" i="6"/>
  <c r="G40" i="6"/>
  <c r="J39" i="6"/>
  <c r="J38" i="6"/>
  <c r="J37" i="6"/>
  <c r="G37" i="6"/>
  <c r="J36" i="6"/>
  <c r="J35" i="6"/>
  <c r="J34" i="6"/>
  <c r="J33" i="6"/>
  <c r="G33" i="6"/>
  <c r="J32" i="6"/>
  <c r="J31" i="6"/>
  <c r="J30" i="6"/>
  <c r="G30" i="6"/>
  <c r="J29" i="6"/>
  <c r="J28" i="6"/>
  <c r="J27" i="6"/>
  <c r="J26" i="6"/>
  <c r="J25" i="6"/>
  <c r="J24" i="6"/>
  <c r="J23" i="6"/>
  <c r="J22" i="6"/>
  <c r="J21" i="6"/>
  <c r="J20" i="6"/>
  <c r="J19" i="6"/>
  <c r="J18" i="6"/>
  <c r="G18" i="6"/>
  <c r="J17" i="6"/>
  <c r="G17" i="6"/>
  <c r="J16" i="6"/>
  <c r="J15" i="6"/>
  <c r="J14" i="6"/>
  <c r="J13" i="6"/>
  <c r="J12" i="6"/>
  <c r="J11" i="6"/>
  <c r="J10" i="6"/>
  <c r="J9" i="6"/>
  <c r="J8" i="6"/>
  <c r="J7" i="6"/>
  <c r="J6" i="6"/>
  <c r="J5" i="6"/>
  <c r="G5" i="6"/>
  <c r="J4" i="6"/>
  <c r="J3" i="6"/>
  <c r="H17" i="5"/>
  <c r="W61" i="3"/>
  <c r="V61" i="3"/>
  <c r="U61" i="3"/>
  <c r="T61" i="3"/>
  <c r="S61" i="3"/>
  <c r="Q61" i="3"/>
  <c r="P61" i="3"/>
  <c r="O61" i="3"/>
  <c r="N61" i="3"/>
  <c r="L61" i="3"/>
  <c r="K61" i="3"/>
  <c r="J61" i="3"/>
  <c r="H61" i="3"/>
  <c r="G61" i="3"/>
  <c r="F61" i="3"/>
  <c r="E61" i="3"/>
  <c r="D61" i="3"/>
  <c r="C61" i="3"/>
  <c r="B61" i="3"/>
  <c r="A61" i="3"/>
  <c r="W60" i="3"/>
  <c r="V60" i="3"/>
  <c r="U60" i="3"/>
  <c r="T60" i="3"/>
  <c r="S60" i="3"/>
  <c r="Q60" i="3"/>
  <c r="P60" i="3"/>
  <c r="O60" i="3"/>
  <c r="N60" i="3"/>
  <c r="M60" i="3"/>
  <c r="J60" i="3"/>
  <c r="I60" i="3"/>
  <c r="H60" i="3"/>
  <c r="G60" i="3"/>
  <c r="F60" i="3"/>
  <c r="E60" i="3"/>
  <c r="D60" i="3"/>
  <c r="C60" i="3"/>
  <c r="B60" i="3"/>
  <c r="A60" i="3"/>
  <c r="W59" i="3"/>
  <c r="V59" i="3"/>
  <c r="U59" i="3"/>
  <c r="T59" i="3"/>
  <c r="S59" i="3"/>
  <c r="Q59" i="3"/>
  <c r="P59" i="3"/>
  <c r="O59" i="3"/>
  <c r="N59" i="3"/>
  <c r="M59" i="3"/>
  <c r="J59" i="3"/>
  <c r="I59" i="3"/>
  <c r="H59" i="3"/>
  <c r="G59" i="3"/>
  <c r="F59" i="3"/>
  <c r="E59" i="3"/>
  <c r="D59" i="3"/>
  <c r="C59" i="3"/>
  <c r="B59" i="3"/>
  <c r="A59" i="3"/>
  <c r="W58" i="3"/>
  <c r="V58" i="3"/>
  <c r="U58" i="3"/>
  <c r="T58" i="3"/>
  <c r="S58" i="3"/>
  <c r="Q58" i="3"/>
  <c r="P58" i="3"/>
  <c r="O58" i="3"/>
  <c r="N58" i="3"/>
  <c r="M58" i="3"/>
  <c r="J58" i="3"/>
  <c r="I58" i="3"/>
  <c r="H58" i="3"/>
  <c r="G58" i="3"/>
  <c r="F58" i="3"/>
  <c r="E58" i="3"/>
  <c r="D58" i="3"/>
  <c r="C58" i="3"/>
  <c r="B58" i="3"/>
  <c r="A58" i="3"/>
  <c r="W57" i="3"/>
  <c r="V57" i="3"/>
  <c r="U57" i="3"/>
  <c r="T57" i="3"/>
  <c r="S57" i="3"/>
  <c r="Q57" i="3"/>
  <c r="P57" i="3"/>
  <c r="O57" i="3"/>
  <c r="N57" i="3"/>
  <c r="K57" i="3"/>
  <c r="J57" i="3"/>
  <c r="H57" i="3"/>
  <c r="G57" i="3"/>
  <c r="F57" i="3"/>
  <c r="E57" i="3"/>
  <c r="D57" i="3"/>
  <c r="C57" i="3"/>
  <c r="B57" i="3"/>
  <c r="A57" i="3"/>
  <c r="W56" i="3"/>
  <c r="V56" i="3"/>
  <c r="U56" i="3"/>
  <c r="T56" i="3"/>
  <c r="S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W55" i="3"/>
  <c r="V55" i="3"/>
  <c r="U55" i="3"/>
  <c r="T55" i="3"/>
  <c r="S55" i="3"/>
  <c r="Q55" i="3"/>
  <c r="P55" i="3"/>
  <c r="N55" i="3"/>
  <c r="J55" i="3"/>
  <c r="I55" i="3"/>
  <c r="H55" i="3"/>
  <c r="G55" i="3"/>
  <c r="F55" i="3"/>
  <c r="E55" i="3"/>
  <c r="D55" i="3"/>
  <c r="C55" i="3"/>
  <c r="B55" i="3"/>
  <c r="A55" i="3"/>
  <c r="W54" i="3"/>
  <c r="V54" i="3"/>
  <c r="U54" i="3"/>
  <c r="T54" i="3"/>
  <c r="S54" i="3"/>
  <c r="Q54" i="3"/>
  <c r="P54" i="3"/>
  <c r="O54" i="3"/>
  <c r="N54" i="3"/>
  <c r="M54" i="3"/>
  <c r="K54" i="3"/>
  <c r="J54" i="3"/>
  <c r="I54" i="3"/>
  <c r="H54" i="3"/>
  <c r="G54" i="3"/>
  <c r="F54" i="3"/>
  <c r="E54" i="3"/>
  <c r="D54" i="3"/>
  <c r="C54" i="3"/>
  <c r="B54" i="3"/>
  <c r="A54" i="3"/>
  <c r="W53" i="3"/>
  <c r="V53" i="3"/>
  <c r="U53" i="3"/>
  <c r="T53" i="3"/>
  <c r="S53" i="3"/>
  <c r="Q53" i="3"/>
  <c r="P53" i="3"/>
  <c r="O53" i="3"/>
  <c r="N53" i="3"/>
  <c r="K53" i="3"/>
  <c r="J53" i="3"/>
  <c r="I53" i="3"/>
  <c r="H53" i="3"/>
  <c r="G53" i="3"/>
  <c r="F53" i="3"/>
  <c r="E53" i="3"/>
  <c r="D53" i="3"/>
  <c r="C53" i="3"/>
  <c r="B53" i="3"/>
  <c r="A53" i="3"/>
  <c r="W52" i="3"/>
  <c r="V52" i="3"/>
  <c r="U52" i="3"/>
  <c r="T52" i="3"/>
  <c r="S52" i="3"/>
  <c r="Q52" i="3"/>
  <c r="P52" i="3"/>
  <c r="O52" i="3"/>
  <c r="N52" i="3"/>
  <c r="L52" i="3"/>
  <c r="H52" i="3"/>
  <c r="G52" i="3"/>
  <c r="F52" i="3"/>
  <c r="E52" i="3"/>
  <c r="D52" i="3"/>
  <c r="C52" i="3"/>
  <c r="B52" i="3"/>
  <c r="A52" i="3"/>
  <c r="W51" i="3"/>
  <c r="V51" i="3"/>
  <c r="U51" i="3"/>
  <c r="T51" i="3"/>
  <c r="S51" i="3"/>
  <c r="Q51" i="3"/>
  <c r="P51" i="3"/>
  <c r="O51" i="3"/>
  <c r="N51" i="3"/>
  <c r="J51" i="3"/>
  <c r="I51" i="3"/>
  <c r="H51" i="3"/>
  <c r="G51" i="3"/>
  <c r="F51" i="3"/>
  <c r="E51" i="3"/>
  <c r="C51" i="3"/>
  <c r="B51" i="3"/>
  <c r="A51" i="3"/>
  <c r="W50" i="3"/>
  <c r="V50" i="3"/>
  <c r="U50" i="3"/>
  <c r="T50" i="3"/>
  <c r="S50" i="3"/>
  <c r="Q50" i="3"/>
  <c r="P50" i="3"/>
  <c r="O50" i="3"/>
  <c r="N50" i="3"/>
  <c r="M50" i="3"/>
  <c r="J50" i="3"/>
  <c r="I50" i="3"/>
  <c r="H50" i="3"/>
  <c r="G50" i="3"/>
  <c r="F50" i="3"/>
  <c r="E50" i="3"/>
  <c r="D50" i="3"/>
  <c r="C50" i="3"/>
  <c r="B50" i="3"/>
  <c r="A50" i="3"/>
  <c r="W49" i="3"/>
  <c r="V49" i="3"/>
  <c r="U49" i="3"/>
  <c r="T49" i="3"/>
  <c r="S49" i="3"/>
  <c r="Q49" i="3"/>
  <c r="P49" i="3"/>
  <c r="O49" i="3"/>
  <c r="N49" i="3"/>
  <c r="L49" i="3"/>
  <c r="K49" i="3"/>
  <c r="J49" i="3"/>
  <c r="I49" i="3"/>
  <c r="H49" i="3"/>
  <c r="G49" i="3"/>
  <c r="F49" i="3"/>
  <c r="E49" i="3"/>
  <c r="D49" i="3"/>
  <c r="C49" i="3"/>
  <c r="B49" i="3"/>
  <c r="A49" i="3"/>
  <c r="W48" i="3"/>
  <c r="V48" i="3"/>
  <c r="U48" i="3"/>
  <c r="T48" i="3"/>
  <c r="S48" i="3"/>
  <c r="Q48" i="3"/>
  <c r="P48" i="3"/>
  <c r="O48" i="3"/>
  <c r="N48" i="3"/>
  <c r="M48" i="3"/>
  <c r="J48" i="3"/>
  <c r="I48" i="3"/>
  <c r="H48" i="3"/>
  <c r="G48" i="3"/>
  <c r="F48" i="3"/>
  <c r="E48" i="3"/>
  <c r="D48" i="3"/>
  <c r="C48" i="3"/>
  <c r="B48" i="3"/>
  <c r="A48" i="3"/>
  <c r="W47" i="3"/>
  <c r="V47" i="3"/>
  <c r="U47" i="3"/>
  <c r="T47" i="3"/>
  <c r="S47" i="3"/>
  <c r="Q47" i="3"/>
  <c r="P47" i="3"/>
  <c r="O47" i="3"/>
  <c r="N47" i="3"/>
  <c r="K47" i="3"/>
  <c r="J47" i="3"/>
  <c r="I47" i="3"/>
  <c r="H47" i="3"/>
  <c r="G47" i="3"/>
  <c r="F47" i="3"/>
  <c r="E47" i="3"/>
  <c r="D47" i="3"/>
  <c r="C47" i="3"/>
  <c r="B47" i="3"/>
  <c r="A47" i="3"/>
  <c r="W46" i="3"/>
  <c r="V46" i="3"/>
  <c r="U46" i="3"/>
  <c r="T46" i="3"/>
  <c r="S46" i="3"/>
  <c r="Q46" i="3"/>
  <c r="P46" i="3"/>
  <c r="O46" i="3"/>
  <c r="N46" i="3"/>
  <c r="K46" i="3"/>
  <c r="J46" i="3"/>
  <c r="H46" i="3"/>
  <c r="G46" i="3"/>
  <c r="F46" i="3"/>
  <c r="E46" i="3"/>
  <c r="D46" i="3"/>
  <c r="C46" i="3"/>
  <c r="B46" i="3"/>
  <c r="A46" i="3"/>
  <c r="W45" i="3"/>
  <c r="V45" i="3"/>
  <c r="U45" i="3"/>
  <c r="T45" i="3"/>
  <c r="S45" i="3"/>
  <c r="Q45" i="3"/>
  <c r="P45" i="3"/>
  <c r="O45" i="3"/>
  <c r="N45" i="3"/>
  <c r="K45" i="3"/>
  <c r="J45" i="3"/>
  <c r="I45" i="3"/>
  <c r="H45" i="3"/>
  <c r="G45" i="3"/>
  <c r="F45" i="3"/>
  <c r="E45" i="3"/>
  <c r="D45" i="3"/>
  <c r="C45" i="3"/>
  <c r="B45" i="3"/>
  <c r="A45" i="3"/>
  <c r="W44" i="3"/>
  <c r="V44" i="3"/>
  <c r="U44" i="3"/>
  <c r="T44" i="3"/>
  <c r="S44" i="3"/>
  <c r="Q44" i="3"/>
  <c r="P44" i="3"/>
  <c r="O44" i="3"/>
  <c r="N44" i="3"/>
  <c r="K44" i="3"/>
  <c r="J44" i="3"/>
  <c r="I44" i="3"/>
  <c r="H44" i="3"/>
  <c r="G44" i="3"/>
  <c r="F44" i="3"/>
  <c r="E44" i="3"/>
  <c r="D44" i="3"/>
  <c r="C44" i="3"/>
  <c r="B44" i="3"/>
  <c r="A44" i="3"/>
  <c r="W43" i="3"/>
  <c r="V43" i="3"/>
  <c r="U43" i="3"/>
  <c r="T43" i="3"/>
  <c r="S43" i="3"/>
  <c r="Q43" i="3"/>
  <c r="P43" i="3"/>
  <c r="O43" i="3"/>
  <c r="N43" i="3"/>
  <c r="I43" i="3"/>
  <c r="H43" i="3"/>
  <c r="G43" i="3"/>
  <c r="F43" i="3"/>
  <c r="E43" i="3"/>
  <c r="D43" i="3"/>
  <c r="C43" i="3"/>
  <c r="B43" i="3"/>
  <c r="A43" i="3"/>
  <c r="W42" i="3"/>
  <c r="V42" i="3"/>
  <c r="U42" i="3"/>
  <c r="T42" i="3"/>
  <c r="S42" i="3"/>
  <c r="Q42" i="3"/>
  <c r="P42" i="3"/>
  <c r="O42" i="3"/>
  <c r="N42" i="3"/>
  <c r="K42" i="3"/>
  <c r="J42" i="3"/>
  <c r="I42" i="3"/>
  <c r="H42" i="3"/>
  <c r="G42" i="3"/>
  <c r="F42" i="3"/>
  <c r="E42" i="3"/>
  <c r="D42" i="3"/>
  <c r="C42" i="3"/>
  <c r="B42" i="3"/>
  <c r="A42" i="3"/>
  <c r="W41" i="3"/>
  <c r="V41" i="3"/>
  <c r="U41" i="3"/>
  <c r="T41" i="3"/>
  <c r="S41" i="3"/>
  <c r="Q41" i="3"/>
  <c r="P41" i="3"/>
  <c r="O41" i="3"/>
  <c r="N41" i="3"/>
  <c r="M41" i="3"/>
  <c r="J41" i="3"/>
  <c r="I41" i="3"/>
  <c r="H41" i="3"/>
  <c r="G41" i="3"/>
  <c r="F41" i="3"/>
  <c r="E41" i="3"/>
  <c r="D41" i="3"/>
  <c r="C41" i="3"/>
  <c r="B41" i="3"/>
  <c r="A41" i="3"/>
  <c r="W40" i="3"/>
  <c r="V40" i="3"/>
  <c r="U40" i="3"/>
  <c r="T40" i="3"/>
  <c r="S40" i="3"/>
  <c r="Q40" i="3"/>
  <c r="P40" i="3"/>
  <c r="O40" i="3"/>
  <c r="N40" i="3"/>
  <c r="K40" i="3"/>
  <c r="J40" i="3"/>
  <c r="I40" i="3"/>
  <c r="H40" i="3"/>
  <c r="G40" i="3"/>
  <c r="F40" i="3"/>
  <c r="E40" i="3"/>
  <c r="D40" i="3"/>
  <c r="C40" i="3"/>
  <c r="B40" i="3"/>
  <c r="A40" i="3"/>
  <c r="W39" i="3"/>
  <c r="V39" i="3"/>
  <c r="U39" i="3"/>
  <c r="T39" i="3"/>
  <c r="S39" i="3"/>
  <c r="Q39" i="3"/>
  <c r="P39" i="3"/>
  <c r="O39" i="3"/>
  <c r="N39" i="3"/>
  <c r="M39" i="3"/>
  <c r="K39" i="3"/>
  <c r="J39" i="3"/>
  <c r="I39" i="3"/>
  <c r="H39" i="3"/>
  <c r="G39" i="3"/>
  <c r="F39" i="3"/>
  <c r="E39" i="3"/>
  <c r="D39" i="3"/>
  <c r="C39" i="3"/>
  <c r="B39" i="3"/>
  <c r="A39" i="3"/>
  <c r="W38" i="3"/>
  <c r="V38" i="3"/>
  <c r="U38" i="3"/>
  <c r="T38" i="3"/>
  <c r="S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W37" i="3"/>
  <c r="V37" i="3"/>
  <c r="U37" i="3"/>
  <c r="T37" i="3"/>
  <c r="S37" i="3"/>
  <c r="Q37" i="3"/>
  <c r="P37" i="3"/>
  <c r="O37" i="3"/>
  <c r="N37" i="3"/>
  <c r="M37" i="3"/>
  <c r="J37" i="3"/>
  <c r="I37" i="3"/>
  <c r="H37" i="3"/>
  <c r="G37" i="3"/>
  <c r="F37" i="3"/>
  <c r="E37" i="3"/>
  <c r="D37" i="3"/>
  <c r="C37" i="3"/>
  <c r="B37" i="3"/>
  <c r="A37" i="3"/>
  <c r="W36" i="3"/>
  <c r="V36" i="3"/>
  <c r="U36" i="3"/>
  <c r="T36" i="3"/>
  <c r="S36" i="3"/>
  <c r="Q36" i="3"/>
  <c r="P36" i="3"/>
  <c r="O36" i="3"/>
  <c r="M36" i="3"/>
  <c r="K36" i="3"/>
  <c r="J36" i="3"/>
  <c r="I36" i="3"/>
  <c r="H36" i="3"/>
  <c r="G36" i="3"/>
  <c r="F36" i="3"/>
  <c r="E36" i="3"/>
  <c r="D36" i="3"/>
  <c r="C36" i="3"/>
  <c r="B36" i="3"/>
  <c r="A36" i="3"/>
  <c r="W35" i="3"/>
  <c r="V35" i="3"/>
  <c r="U35" i="3"/>
  <c r="T35" i="3"/>
  <c r="S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W34" i="3"/>
  <c r="V34" i="3"/>
  <c r="U34" i="3"/>
  <c r="T34" i="3"/>
  <c r="S34" i="3"/>
  <c r="Q34" i="3"/>
  <c r="P34" i="3"/>
  <c r="O34" i="3"/>
  <c r="N34" i="3"/>
  <c r="L34" i="3"/>
  <c r="K34" i="3"/>
  <c r="J34" i="3"/>
  <c r="I34" i="3"/>
  <c r="H34" i="3"/>
  <c r="G34" i="3"/>
  <c r="F34" i="3"/>
  <c r="E34" i="3"/>
  <c r="D34" i="3"/>
  <c r="C34" i="3"/>
  <c r="B34" i="3"/>
  <c r="A34" i="3"/>
  <c r="W33" i="3"/>
  <c r="V33" i="3"/>
  <c r="U33" i="3"/>
  <c r="T33" i="3"/>
  <c r="S33" i="3"/>
  <c r="Q33" i="3"/>
  <c r="P33" i="3"/>
  <c r="O33" i="3"/>
  <c r="N33" i="3"/>
  <c r="K33" i="3"/>
  <c r="J33" i="3"/>
  <c r="I33" i="3"/>
  <c r="H33" i="3"/>
  <c r="G33" i="3"/>
  <c r="F33" i="3"/>
  <c r="E33" i="3"/>
  <c r="D33" i="3"/>
  <c r="C33" i="3"/>
  <c r="B33" i="3"/>
  <c r="A33" i="3"/>
  <c r="W32" i="3"/>
  <c r="V32" i="3"/>
  <c r="U32" i="3"/>
  <c r="T32" i="3"/>
  <c r="S32" i="3"/>
  <c r="Q32" i="3"/>
  <c r="P32" i="3"/>
  <c r="O32" i="3"/>
  <c r="N32" i="3"/>
  <c r="M32" i="3"/>
  <c r="K32" i="3"/>
  <c r="J32" i="3"/>
  <c r="I32" i="3"/>
  <c r="H32" i="3"/>
  <c r="G32" i="3"/>
  <c r="F32" i="3"/>
  <c r="E32" i="3"/>
  <c r="D32" i="3"/>
  <c r="C32" i="3"/>
  <c r="B32" i="3"/>
  <c r="A32" i="3"/>
  <c r="W31" i="3"/>
  <c r="V31" i="3"/>
  <c r="U31" i="3"/>
  <c r="T31" i="3"/>
  <c r="S31" i="3"/>
  <c r="Q31" i="3"/>
  <c r="P31" i="3"/>
  <c r="O31" i="3"/>
  <c r="N31" i="3"/>
  <c r="K31" i="3"/>
  <c r="J31" i="3"/>
  <c r="I31" i="3"/>
  <c r="H31" i="3"/>
  <c r="G31" i="3"/>
  <c r="F31" i="3"/>
  <c r="E31" i="3"/>
  <c r="D31" i="3"/>
  <c r="C31" i="3"/>
  <c r="B31" i="3"/>
  <c r="A31" i="3"/>
  <c r="W30" i="3"/>
  <c r="V30" i="3"/>
  <c r="U30" i="3"/>
  <c r="T30" i="3"/>
  <c r="S30" i="3"/>
  <c r="R30" i="3"/>
  <c r="Q30" i="3"/>
  <c r="P30" i="3"/>
  <c r="O30" i="3"/>
  <c r="N30" i="3"/>
  <c r="M30" i="3"/>
  <c r="J30" i="3"/>
  <c r="H30" i="3"/>
  <c r="G30" i="3"/>
  <c r="F30" i="3"/>
  <c r="E30" i="3"/>
  <c r="D30" i="3"/>
  <c r="C30" i="3"/>
  <c r="B30" i="3"/>
  <c r="A30" i="3"/>
  <c r="W29" i="3"/>
  <c r="V29" i="3"/>
  <c r="U29" i="3"/>
  <c r="T29" i="3"/>
  <c r="S29" i="3"/>
  <c r="Q29" i="3"/>
  <c r="P29" i="3"/>
  <c r="O29" i="3"/>
  <c r="N29" i="3"/>
  <c r="K29" i="3"/>
  <c r="J29" i="3"/>
  <c r="I29" i="3"/>
  <c r="H29" i="3"/>
  <c r="G29" i="3"/>
  <c r="F29" i="3"/>
  <c r="E29" i="3"/>
  <c r="D29" i="3"/>
  <c r="C29" i="3"/>
  <c r="B29" i="3"/>
  <c r="A29" i="3"/>
  <c r="W28" i="3"/>
  <c r="V28" i="3"/>
  <c r="U28" i="3"/>
  <c r="T28" i="3"/>
  <c r="S28" i="3"/>
  <c r="Q28" i="3"/>
  <c r="P28" i="3"/>
  <c r="O28" i="3"/>
  <c r="N28" i="3"/>
  <c r="K28" i="3"/>
  <c r="J28" i="3"/>
  <c r="I28" i="3"/>
  <c r="H28" i="3"/>
  <c r="G28" i="3"/>
  <c r="F28" i="3"/>
  <c r="E28" i="3"/>
  <c r="D28" i="3"/>
  <c r="C28" i="3"/>
  <c r="B28" i="3"/>
  <c r="A28" i="3"/>
  <c r="W27" i="3"/>
  <c r="V27" i="3"/>
  <c r="U27" i="3"/>
  <c r="T27" i="3"/>
  <c r="S27" i="3"/>
  <c r="Q27" i="3"/>
  <c r="P27" i="3"/>
  <c r="O27" i="3"/>
  <c r="N27" i="3"/>
  <c r="L27" i="3"/>
  <c r="K27" i="3"/>
  <c r="J27" i="3"/>
  <c r="I27" i="3"/>
  <c r="H27" i="3"/>
  <c r="G27" i="3"/>
  <c r="F27" i="3"/>
  <c r="E27" i="3"/>
  <c r="D27" i="3"/>
  <c r="C27" i="3"/>
  <c r="B27" i="3"/>
  <c r="A27" i="3"/>
  <c r="W26" i="3"/>
  <c r="V26" i="3"/>
  <c r="U26" i="3"/>
  <c r="T26" i="3"/>
  <c r="S26" i="3"/>
  <c r="Q26" i="3"/>
  <c r="P26" i="3"/>
  <c r="O26" i="3"/>
  <c r="N26" i="3"/>
  <c r="J26" i="3"/>
  <c r="I26" i="3"/>
  <c r="H26" i="3"/>
  <c r="G26" i="3"/>
  <c r="F26" i="3"/>
  <c r="E26" i="3"/>
  <c r="D26" i="3"/>
  <c r="C26" i="3"/>
  <c r="B26" i="3"/>
  <c r="A26" i="3"/>
  <c r="W25" i="3"/>
  <c r="V25" i="3"/>
  <c r="U25" i="3"/>
  <c r="T25" i="3"/>
  <c r="S25" i="3"/>
  <c r="Q25" i="3"/>
  <c r="P25" i="3"/>
  <c r="O25" i="3"/>
  <c r="N25" i="3"/>
  <c r="M25" i="3"/>
  <c r="K25" i="3"/>
  <c r="I25" i="3"/>
  <c r="H25" i="3"/>
  <c r="G25" i="3"/>
  <c r="F25" i="3"/>
  <c r="E25" i="3"/>
  <c r="D25" i="3"/>
  <c r="C25" i="3"/>
  <c r="B25" i="3"/>
  <c r="A25" i="3"/>
  <c r="W24" i="3"/>
  <c r="V24" i="3"/>
  <c r="U24" i="3"/>
  <c r="T24" i="3"/>
  <c r="S24" i="3"/>
  <c r="Q24" i="3"/>
  <c r="P24" i="3"/>
  <c r="O24" i="3"/>
  <c r="N24" i="3"/>
  <c r="J24" i="3"/>
  <c r="I24" i="3"/>
  <c r="H24" i="3"/>
  <c r="G24" i="3"/>
  <c r="F24" i="3"/>
  <c r="E24" i="3"/>
  <c r="D24" i="3"/>
  <c r="C24" i="3"/>
  <c r="B24" i="3"/>
  <c r="A24" i="3"/>
  <c r="W23" i="3"/>
  <c r="V23" i="3"/>
  <c r="U23" i="3"/>
  <c r="T23" i="3"/>
  <c r="S23" i="3"/>
  <c r="Q23" i="3"/>
  <c r="P23" i="3"/>
  <c r="O23" i="3"/>
  <c r="N23" i="3"/>
  <c r="L23" i="3"/>
  <c r="K23" i="3"/>
  <c r="J23" i="3"/>
  <c r="I23" i="3"/>
  <c r="H23" i="3"/>
  <c r="G23" i="3"/>
  <c r="F23" i="3"/>
  <c r="E23" i="3"/>
  <c r="D23" i="3"/>
  <c r="C23" i="3"/>
  <c r="B23" i="3"/>
  <c r="A23" i="3"/>
  <c r="W22" i="3"/>
  <c r="V22" i="3"/>
  <c r="U22" i="3"/>
  <c r="T22" i="3"/>
  <c r="S22" i="3"/>
  <c r="Q22" i="3"/>
  <c r="P22" i="3"/>
  <c r="O22" i="3"/>
  <c r="N22" i="3"/>
  <c r="K22" i="3"/>
  <c r="J22" i="3"/>
  <c r="I22" i="3"/>
  <c r="H22" i="3"/>
  <c r="G22" i="3"/>
  <c r="F22" i="3"/>
  <c r="E22" i="3"/>
  <c r="D22" i="3"/>
  <c r="C22" i="3"/>
  <c r="B22" i="3"/>
  <c r="A22" i="3"/>
  <c r="W21" i="3"/>
  <c r="V21" i="3"/>
  <c r="U21" i="3"/>
  <c r="T21" i="3"/>
  <c r="S21" i="3"/>
  <c r="Q21" i="3"/>
  <c r="P21" i="3"/>
  <c r="O21" i="3"/>
  <c r="N21" i="3"/>
  <c r="L21" i="3"/>
  <c r="K21" i="3"/>
  <c r="J21" i="3"/>
  <c r="I21" i="3"/>
  <c r="H21" i="3"/>
  <c r="G21" i="3"/>
  <c r="F21" i="3"/>
  <c r="E21" i="3"/>
  <c r="D21" i="3"/>
  <c r="C21" i="3"/>
  <c r="B21" i="3"/>
  <c r="A21" i="3"/>
  <c r="W20" i="3"/>
  <c r="V20" i="3"/>
  <c r="U20" i="3"/>
  <c r="T20" i="3"/>
  <c r="S20" i="3"/>
  <c r="Q20" i="3"/>
  <c r="P20" i="3"/>
  <c r="O20" i="3"/>
  <c r="N20" i="3"/>
  <c r="L20" i="3"/>
  <c r="K20" i="3"/>
  <c r="J20" i="3"/>
  <c r="I20" i="3"/>
  <c r="H20" i="3"/>
  <c r="G20" i="3"/>
  <c r="F20" i="3"/>
  <c r="E20" i="3"/>
  <c r="D20" i="3"/>
  <c r="C20" i="3"/>
  <c r="B20" i="3"/>
  <c r="A20" i="3"/>
  <c r="W19" i="3"/>
  <c r="V19" i="3"/>
  <c r="U19" i="3"/>
  <c r="T19" i="3"/>
  <c r="S19" i="3"/>
  <c r="Q19" i="3"/>
  <c r="P19" i="3"/>
  <c r="O19" i="3"/>
  <c r="N19" i="3"/>
  <c r="L19" i="3"/>
  <c r="K19" i="3"/>
  <c r="J19" i="3"/>
  <c r="I19" i="3"/>
  <c r="H19" i="3"/>
  <c r="G19" i="3"/>
  <c r="F19" i="3"/>
  <c r="E19" i="3"/>
  <c r="D19" i="3"/>
  <c r="C19" i="3"/>
  <c r="B19" i="3"/>
  <c r="A19" i="3"/>
  <c r="W18" i="3"/>
  <c r="V18" i="3"/>
  <c r="U18" i="3"/>
  <c r="T18" i="3"/>
  <c r="S18" i="3"/>
  <c r="Q18" i="3"/>
  <c r="P18" i="3"/>
  <c r="O18" i="3"/>
  <c r="N18" i="3"/>
  <c r="M18" i="3"/>
  <c r="K18" i="3"/>
  <c r="J18" i="3"/>
  <c r="I18" i="3"/>
  <c r="H18" i="3"/>
  <c r="G18" i="3"/>
  <c r="F18" i="3"/>
  <c r="E18" i="3"/>
  <c r="D18" i="3"/>
  <c r="C18" i="3"/>
  <c r="B18" i="3"/>
  <c r="A18" i="3"/>
  <c r="W17" i="3"/>
  <c r="V17" i="3"/>
  <c r="U17" i="3"/>
  <c r="T17" i="3"/>
  <c r="S17" i="3"/>
  <c r="Q17" i="3"/>
  <c r="P17" i="3"/>
  <c r="O17" i="3"/>
  <c r="N17" i="3"/>
  <c r="K17" i="3"/>
  <c r="J17" i="3"/>
  <c r="I17" i="3"/>
  <c r="H17" i="3"/>
  <c r="G17" i="3"/>
  <c r="F17" i="3"/>
  <c r="E17" i="3"/>
  <c r="D17" i="3"/>
  <c r="C17" i="3"/>
  <c r="B17" i="3"/>
  <c r="A17" i="3"/>
  <c r="W16" i="3"/>
  <c r="V16" i="3"/>
  <c r="U16" i="3"/>
  <c r="T16" i="3"/>
  <c r="S16" i="3"/>
  <c r="Q16" i="3"/>
  <c r="P16" i="3"/>
  <c r="O16" i="3"/>
  <c r="N16" i="3"/>
  <c r="K16" i="3"/>
  <c r="J16" i="3"/>
  <c r="I16" i="3"/>
  <c r="H16" i="3"/>
  <c r="G16" i="3"/>
  <c r="F16" i="3"/>
  <c r="E16" i="3"/>
  <c r="D16" i="3"/>
  <c r="C16" i="3"/>
  <c r="B16" i="3"/>
  <c r="A16" i="3"/>
  <c r="W15" i="3"/>
  <c r="V15" i="3"/>
  <c r="U15" i="3"/>
  <c r="T15" i="3"/>
  <c r="S15" i="3"/>
  <c r="Q15" i="3"/>
  <c r="P15" i="3"/>
  <c r="O15" i="3"/>
  <c r="N15" i="3"/>
  <c r="K15" i="3"/>
  <c r="J15" i="3"/>
  <c r="I15" i="3"/>
  <c r="H15" i="3"/>
  <c r="G15" i="3"/>
  <c r="F15" i="3"/>
  <c r="E15" i="3"/>
  <c r="D15" i="3"/>
  <c r="C15" i="3"/>
  <c r="B15" i="3"/>
  <c r="A15" i="3"/>
  <c r="W14" i="3"/>
  <c r="V14" i="3"/>
  <c r="U14" i="3"/>
  <c r="T14" i="3"/>
  <c r="S14" i="3"/>
  <c r="Q14" i="3"/>
  <c r="P14" i="3"/>
  <c r="O14" i="3"/>
  <c r="N14" i="3"/>
  <c r="K14" i="3"/>
  <c r="J14" i="3"/>
  <c r="I14" i="3"/>
  <c r="H14" i="3"/>
  <c r="G14" i="3"/>
  <c r="F14" i="3"/>
  <c r="E14" i="3"/>
  <c r="D14" i="3"/>
  <c r="C14" i="3"/>
  <c r="B14" i="3"/>
  <c r="A14" i="3"/>
  <c r="W13" i="3"/>
  <c r="V13" i="3"/>
  <c r="U13" i="3"/>
  <c r="T13" i="3"/>
  <c r="S13" i="3"/>
  <c r="Q13" i="3"/>
  <c r="P13" i="3"/>
  <c r="O13" i="3"/>
  <c r="N13" i="3"/>
  <c r="K13" i="3"/>
  <c r="J13" i="3"/>
  <c r="I13" i="3"/>
  <c r="H13" i="3"/>
  <c r="G13" i="3"/>
  <c r="F13" i="3"/>
  <c r="E13" i="3"/>
  <c r="D13" i="3"/>
  <c r="C13" i="3"/>
  <c r="B13" i="3"/>
  <c r="A13" i="3"/>
  <c r="W12" i="3"/>
  <c r="V12" i="3"/>
  <c r="U12" i="3"/>
  <c r="T12" i="3"/>
  <c r="S12" i="3"/>
  <c r="Q12" i="3"/>
  <c r="P12" i="3"/>
  <c r="O12" i="3"/>
  <c r="N12" i="3"/>
  <c r="K12" i="3"/>
  <c r="J12" i="3"/>
  <c r="I12" i="3"/>
  <c r="H12" i="3"/>
  <c r="G12" i="3"/>
  <c r="F12" i="3"/>
  <c r="E12" i="3"/>
  <c r="D12" i="3"/>
  <c r="C12" i="3"/>
  <c r="B12" i="3"/>
  <c r="A12" i="3"/>
  <c r="W11" i="3"/>
  <c r="V11" i="3"/>
  <c r="U11" i="3"/>
  <c r="T11" i="3"/>
  <c r="S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W10" i="3"/>
  <c r="V10" i="3"/>
  <c r="U10" i="3"/>
  <c r="T10" i="3"/>
  <c r="S10" i="3"/>
  <c r="Q10" i="3"/>
  <c r="P10" i="3"/>
  <c r="O10" i="3"/>
  <c r="N10" i="3"/>
  <c r="J10" i="3"/>
  <c r="I10" i="3"/>
  <c r="H10" i="3"/>
  <c r="G10" i="3"/>
  <c r="F10" i="3"/>
  <c r="E10" i="3"/>
  <c r="D10" i="3"/>
  <c r="C10" i="3"/>
  <c r="B10" i="3"/>
  <c r="A10" i="3"/>
  <c r="W9" i="3"/>
  <c r="V9" i="3"/>
  <c r="U9" i="3"/>
  <c r="T9" i="3"/>
  <c r="S9" i="3"/>
  <c r="R9" i="3"/>
  <c r="Q9" i="3"/>
  <c r="P9" i="3"/>
  <c r="O9" i="3"/>
  <c r="N9" i="3"/>
  <c r="K9" i="3"/>
  <c r="J9" i="3"/>
  <c r="H9" i="3"/>
  <c r="G9" i="3"/>
  <c r="F9" i="3"/>
  <c r="E9" i="3"/>
  <c r="D9" i="3"/>
  <c r="C9" i="3"/>
  <c r="B9" i="3"/>
  <c r="A9" i="3"/>
  <c r="W8" i="3"/>
  <c r="V8" i="3"/>
  <c r="U8" i="3"/>
  <c r="T8" i="3"/>
  <c r="S8" i="3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B8" i="3"/>
  <c r="A8" i="3"/>
  <c r="W7" i="3"/>
  <c r="V7" i="3"/>
  <c r="U7" i="3"/>
  <c r="T7" i="3"/>
  <c r="S7" i="3"/>
  <c r="Q7" i="3"/>
  <c r="P7" i="3"/>
  <c r="O7" i="3"/>
  <c r="N7" i="3"/>
  <c r="L7" i="3"/>
  <c r="K7" i="3"/>
  <c r="J7" i="3"/>
  <c r="I7" i="3"/>
  <c r="H7" i="3"/>
  <c r="G7" i="3"/>
  <c r="F7" i="3"/>
  <c r="E7" i="3"/>
  <c r="D7" i="3"/>
  <c r="C7" i="3"/>
  <c r="B7" i="3"/>
  <c r="A7" i="3"/>
  <c r="W6" i="3"/>
  <c r="V6" i="3"/>
  <c r="U6" i="3"/>
  <c r="T6" i="3"/>
  <c r="S6" i="3"/>
  <c r="Q6" i="3"/>
  <c r="P6" i="3"/>
  <c r="O6" i="3"/>
  <c r="N6" i="3"/>
  <c r="K6" i="3"/>
  <c r="J6" i="3"/>
  <c r="I6" i="3"/>
  <c r="H6" i="3"/>
  <c r="G6" i="3"/>
  <c r="F6" i="3"/>
  <c r="E6" i="3"/>
  <c r="D6" i="3"/>
  <c r="C6" i="3"/>
  <c r="B6" i="3"/>
  <c r="A6" i="3"/>
  <c r="W5" i="3"/>
  <c r="V5" i="3"/>
  <c r="U5" i="3"/>
  <c r="T5" i="3"/>
  <c r="S5" i="3"/>
  <c r="Q5" i="3"/>
  <c r="P5" i="3"/>
  <c r="O5" i="3"/>
  <c r="N5" i="3"/>
  <c r="K5" i="3"/>
  <c r="J5" i="3"/>
  <c r="I5" i="3"/>
  <c r="H5" i="3"/>
  <c r="G5" i="3"/>
  <c r="F5" i="3"/>
  <c r="E5" i="3"/>
  <c r="D5" i="3"/>
  <c r="C5" i="3"/>
  <c r="B5" i="3"/>
  <c r="A5" i="3"/>
  <c r="W4" i="3"/>
  <c r="V4" i="3"/>
  <c r="U4" i="3"/>
  <c r="T4" i="3"/>
  <c r="S4" i="3"/>
  <c r="Q4" i="3"/>
  <c r="P4" i="3"/>
  <c r="O4" i="3"/>
  <c r="N4" i="3"/>
  <c r="J4" i="3"/>
  <c r="I4" i="3"/>
  <c r="H4" i="3"/>
  <c r="G4" i="3"/>
  <c r="F4" i="3"/>
  <c r="E4" i="3"/>
  <c r="D4" i="3"/>
  <c r="C4" i="3"/>
  <c r="B4" i="3"/>
  <c r="A4" i="3"/>
  <c r="W3" i="3"/>
  <c r="V3" i="3"/>
  <c r="U3" i="3"/>
  <c r="T3" i="3"/>
  <c r="S3" i="3"/>
  <c r="Q3" i="3"/>
  <c r="P3" i="3"/>
  <c r="O3" i="3"/>
  <c r="N3" i="3"/>
  <c r="M3" i="3"/>
  <c r="L3" i="3"/>
  <c r="K3" i="3"/>
  <c r="I3" i="3"/>
  <c r="H3" i="3"/>
  <c r="G3" i="3"/>
  <c r="F3" i="3"/>
  <c r="E3" i="3"/>
  <c r="D3" i="3"/>
  <c r="C3" i="3"/>
  <c r="B3" i="3"/>
  <c r="A3" i="3"/>
  <c r="W2" i="3"/>
  <c r="V2" i="3"/>
  <c r="U2" i="3"/>
  <c r="T2" i="3"/>
  <c r="S2" i="3"/>
  <c r="Q2" i="3"/>
  <c r="P2" i="3"/>
  <c r="O2" i="3"/>
  <c r="N2" i="3"/>
  <c r="J2" i="3"/>
  <c r="I2" i="3"/>
  <c r="H2" i="3"/>
  <c r="G2" i="3"/>
  <c r="F2" i="3"/>
  <c r="E2" i="3"/>
  <c r="D2" i="3"/>
  <c r="C2" i="3"/>
  <c r="B2" i="3"/>
  <c r="A2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M/L1?
	-Rahul Joshi</t>
        </r>
      </text>
    </comment>
  </commentList>
</comments>
</file>

<file path=xl/sharedStrings.xml><?xml version="1.0" encoding="utf-8"?>
<sst xmlns="http://schemas.openxmlformats.org/spreadsheetml/2006/main" count="4684" uniqueCount="733">
  <si>
    <t>Owner</t>
  </si>
  <si>
    <t>Category</t>
  </si>
  <si>
    <t>Qty</t>
  </si>
  <si>
    <t xml:space="preserve">Vintage </t>
  </si>
  <si>
    <t xml:space="preserve">Winery </t>
  </si>
  <si>
    <t>Wine (Name)</t>
  </si>
  <si>
    <t>Varietal(s)</t>
  </si>
  <si>
    <t xml:space="preserve">Country </t>
  </si>
  <si>
    <t xml:space="preserve">State </t>
  </si>
  <si>
    <t xml:space="preserve">Region </t>
  </si>
  <si>
    <t>Appelation</t>
  </si>
  <si>
    <t>Sub App</t>
  </si>
  <si>
    <t>Vineyard/Cru</t>
  </si>
  <si>
    <t xml:space="preserve">Retail Price </t>
  </si>
  <si>
    <t>Volume (mL)</t>
  </si>
  <si>
    <t>Drinking Window</t>
  </si>
  <si>
    <t>Box #</t>
  </si>
  <si>
    <t>Notes</t>
  </si>
  <si>
    <t>Drank</t>
  </si>
  <si>
    <t>Pulled 1</t>
  </si>
  <si>
    <t>Double Check</t>
  </si>
  <si>
    <t>Pull 1 To Drink</t>
  </si>
  <si>
    <t>Ready to Drink</t>
  </si>
  <si>
    <t>R</t>
  </si>
  <si>
    <t>Red</t>
  </si>
  <si>
    <t>Robert Mondavi</t>
  </si>
  <si>
    <t>Reserve Cabernet</t>
  </si>
  <si>
    <t>Cabernet Sauvignon</t>
  </si>
  <si>
    <t>USA</t>
  </si>
  <si>
    <t>CA</t>
  </si>
  <si>
    <t>Northern CA</t>
  </si>
  <si>
    <t>Napa Valley</t>
  </si>
  <si>
    <t>Oakville</t>
  </si>
  <si>
    <t>To Kalon</t>
  </si>
  <si>
    <t>Medium</t>
  </si>
  <si>
    <t>M7</t>
  </si>
  <si>
    <t>M</t>
  </si>
  <si>
    <t>White</t>
  </si>
  <si>
    <t>Alice et Olivier De Moor</t>
  </si>
  <si>
    <t>L'Humeur du Temps</t>
  </si>
  <si>
    <t>Other</t>
  </si>
  <si>
    <t>France</t>
  </si>
  <si>
    <t>Chablis</t>
  </si>
  <si>
    <t xml:space="preserve">Domaine Wine Storage </t>
  </si>
  <si>
    <t>Sparkling</t>
  </si>
  <si>
    <t>Domain Chandon</t>
  </si>
  <si>
    <t>Etoile</t>
  </si>
  <si>
    <t>Now</t>
  </si>
  <si>
    <t>Krug</t>
  </si>
  <si>
    <t>Fonseca Guimaraens</t>
  </si>
  <si>
    <t>Vintage Port</t>
  </si>
  <si>
    <t>Portugal</t>
  </si>
  <si>
    <t>Porto</t>
  </si>
  <si>
    <t>Long</t>
  </si>
  <si>
    <t>Own Colares Box</t>
  </si>
  <si>
    <t>Purchased 2022</t>
  </si>
  <si>
    <t>Dowsett Family Wines</t>
  </si>
  <si>
    <t>Heart of the Hill Vineyard Mouvedre</t>
  </si>
  <si>
    <t>WA</t>
  </si>
  <si>
    <t>Columbia Valley</t>
  </si>
  <si>
    <t>Red Mountain</t>
  </si>
  <si>
    <t>Heart of the Hill Vineyard</t>
  </si>
  <si>
    <t>MA1</t>
  </si>
  <si>
    <t>Taylor's Port</t>
  </si>
  <si>
    <t>Bargetto Wines</t>
  </si>
  <si>
    <t>Santa Cruz Mountains</t>
  </si>
  <si>
    <t>M1</t>
  </si>
  <si>
    <t>Bodegas Vega Sicilia</t>
  </si>
  <si>
    <t>Unico</t>
  </si>
  <si>
    <t>Spain</t>
  </si>
  <si>
    <t>Ribera Del Duero</t>
  </si>
  <si>
    <t>Home Wine Fridge</t>
  </si>
  <si>
    <t>Chateau Dufort Vivens</t>
  </si>
  <si>
    <t>Le Relais de Durfort Vivens</t>
  </si>
  <si>
    <t>Bordeaux Blend - Left Bank</t>
  </si>
  <si>
    <t>-</t>
  </si>
  <si>
    <t>Bordeaux</t>
  </si>
  <si>
    <t>Margaux</t>
  </si>
  <si>
    <t>M/S1</t>
  </si>
  <si>
    <t>L7</t>
  </si>
  <si>
    <t>Giuseppe Quintarelli</t>
  </si>
  <si>
    <t>Ca Del Merlo</t>
  </si>
  <si>
    <t>Italy</t>
  </si>
  <si>
    <t>Veneto</t>
  </si>
  <si>
    <t>Hall Wines</t>
  </si>
  <si>
    <t xml:space="preserve">Jacks Masterpiece </t>
  </si>
  <si>
    <t>M6</t>
  </si>
  <si>
    <t>Elio Altare</t>
  </si>
  <si>
    <t>Barolo - Cerretta Reserva</t>
  </si>
  <si>
    <t>Nebbiolo</t>
  </si>
  <si>
    <t>Piedmont</t>
  </si>
  <si>
    <t>Serralunga d'Alba</t>
  </si>
  <si>
    <t>Barolo</t>
  </si>
  <si>
    <t>Cerretta</t>
  </si>
  <si>
    <t>M/L1</t>
  </si>
  <si>
    <t>Trinite Estate</t>
  </si>
  <si>
    <t>Acaibo</t>
  </si>
  <si>
    <t>Sonoma County</t>
  </si>
  <si>
    <t>M3</t>
  </si>
  <si>
    <t>Sterling Vineyards</t>
  </si>
  <si>
    <t>Yates Family Vineyard Cab Sauv</t>
  </si>
  <si>
    <t>Mt. Veeder</t>
  </si>
  <si>
    <t>Yates Family Vineyard</t>
  </si>
  <si>
    <t>Domaine Carneros</t>
  </si>
  <si>
    <t>La Reve Rosé</t>
  </si>
  <si>
    <t>Short</t>
  </si>
  <si>
    <t>Casa Lapostolle</t>
  </si>
  <si>
    <t>Le Petit Clos Apalta</t>
  </si>
  <si>
    <t>Chile</t>
  </si>
  <si>
    <t>Apalta</t>
  </si>
  <si>
    <t>Home Fridge</t>
  </si>
  <si>
    <t>Sleeping Lady Vineyard Cab Sauv</t>
  </si>
  <si>
    <t>Yountville</t>
  </si>
  <si>
    <t>Sleeping Lady Vineyard</t>
  </si>
  <si>
    <t>Reseve Cabernet</t>
  </si>
  <si>
    <t>To Kalon Vineyard</t>
  </si>
  <si>
    <t>Rosso Ca Del Merlo</t>
  </si>
  <si>
    <t>Planium Select Cab Sauv</t>
  </si>
  <si>
    <t>Luigi Baudana</t>
  </si>
  <si>
    <t>Barolo - Cerretta</t>
  </si>
  <si>
    <t>Diamond Mountain Vineyard</t>
  </si>
  <si>
    <t>Diamond Mountain District</t>
  </si>
  <si>
    <t>Silverado Vineyards</t>
  </si>
  <si>
    <t>Oakville Station</t>
  </si>
  <si>
    <t>Oakville Station Vineyard</t>
  </si>
  <si>
    <t>S2</t>
  </si>
  <si>
    <t>Rutherford</t>
  </si>
  <si>
    <t>Pax Wines</t>
  </si>
  <si>
    <t>Griffins Lair Vineyard - Sonoma Coast</t>
  </si>
  <si>
    <t>Syrah</t>
  </si>
  <si>
    <t>Sonoma Coast</t>
  </si>
  <si>
    <t>Griffins Lair Vineyard</t>
  </si>
  <si>
    <t>M/S2</t>
  </si>
  <si>
    <t>Arenae Colares</t>
  </si>
  <si>
    <t>Vinho Regional Lisboa</t>
  </si>
  <si>
    <t>Colares</t>
  </si>
  <si>
    <t>Own Case</t>
  </si>
  <si>
    <t>Domaine Grand Veneur</t>
  </si>
  <si>
    <t>Chateauneuf Du Pape Blend</t>
  </si>
  <si>
    <t>Rhone Blend</t>
  </si>
  <si>
    <t>Southern Rhone</t>
  </si>
  <si>
    <t>Chateauneuf Du Pape</t>
  </si>
  <si>
    <t>excellent. buy from this producer again April 2022</t>
  </si>
  <si>
    <t>Chateau Trotanoy</t>
  </si>
  <si>
    <t>Grand Vin</t>
  </si>
  <si>
    <t>Bordeaux Blend - Right Bank</t>
  </si>
  <si>
    <t>Bordeax</t>
  </si>
  <si>
    <t>Pomerol</t>
  </si>
  <si>
    <t>Rosso del Bepi</t>
  </si>
  <si>
    <t>Gloria Ferrer</t>
  </si>
  <si>
    <t>Carneros Cuvee</t>
  </si>
  <si>
    <t xml:space="preserve">Krug </t>
  </si>
  <si>
    <t>Bergfeld</t>
  </si>
  <si>
    <t>R+M</t>
  </si>
  <si>
    <t>Corison Winery</t>
  </si>
  <si>
    <t xml:space="preserve">Helios Sunbasket Vineyard Cab Franc </t>
  </si>
  <si>
    <t>Cabernet Franc</t>
  </si>
  <si>
    <t>Sunbasket Vineyard</t>
  </si>
  <si>
    <t>Chateau Leoville Las Cases</t>
  </si>
  <si>
    <t>Le Petit Lion</t>
  </si>
  <si>
    <t>Saint Julien</t>
  </si>
  <si>
    <t>L5</t>
  </si>
  <si>
    <t>Estate Cuvee Late Disgorged</t>
  </si>
  <si>
    <t>Andrew Will Winery</t>
  </si>
  <si>
    <t>Sorella</t>
  </si>
  <si>
    <t>Horse Heaven Hills</t>
  </si>
  <si>
    <t xml:space="preserve">Champoux Vineyard </t>
  </si>
  <si>
    <t>Andrew Will OWC</t>
  </si>
  <si>
    <t>Amaino</t>
  </si>
  <si>
    <t>Sonoma</t>
  </si>
  <si>
    <t>Grgich Hills</t>
  </si>
  <si>
    <t>Old Vine Cab Sauv</t>
  </si>
  <si>
    <t>Duckhorn Vineyards</t>
  </si>
  <si>
    <t xml:space="preserve">The Discussion </t>
  </si>
  <si>
    <t>The Discussion</t>
  </si>
  <si>
    <t>Rivers-Marie</t>
  </si>
  <si>
    <t>Calistoga</t>
  </si>
  <si>
    <t>AXR Winery</t>
  </si>
  <si>
    <t>Napa Valley Cabernet</t>
  </si>
  <si>
    <t>V. Madrone Vineyard</t>
  </si>
  <si>
    <t>L1</t>
  </si>
  <si>
    <t>Solo</t>
  </si>
  <si>
    <t>Stags Leap District</t>
  </si>
  <si>
    <t>M2</t>
  </si>
  <si>
    <t>Kathryn Hall</t>
  </si>
  <si>
    <t>Patzimaro Cab Sauv</t>
  </si>
  <si>
    <t>St Helena</t>
  </si>
  <si>
    <t>Patzimaro Vineyard</t>
  </si>
  <si>
    <t>Joseph Phelps Winery</t>
  </si>
  <si>
    <t>Goldeneye Winery</t>
  </si>
  <si>
    <t>Confluence Vineyard</t>
  </si>
  <si>
    <t>Pinot Noir</t>
  </si>
  <si>
    <t>Confluence Vineyad</t>
  </si>
  <si>
    <t>S1</t>
  </si>
  <si>
    <t>Francesco Rinaldi &amp; Figli</t>
  </si>
  <si>
    <t>Le Brunate</t>
  </si>
  <si>
    <t>Brunate</t>
  </si>
  <si>
    <t>Sequoia Grove</t>
  </si>
  <si>
    <t>Cabernet Sauvignon - Lamoreaux Vineyard</t>
  </si>
  <si>
    <t>Oak Knoll District</t>
  </si>
  <si>
    <t>Lamoreaux Vineyard</t>
  </si>
  <si>
    <t>Ellie's</t>
  </si>
  <si>
    <t>Hobel Wines</t>
  </si>
  <si>
    <t>The Figure</t>
  </si>
  <si>
    <t>M4</t>
  </si>
  <si>
    <t>Silverado</t>
  </si>
  <si>
    <t>Geo</t>
  </si>
  <si>
    <t>Coombsville</t>
  </si>
  <si>
    <t>RRV Pinot Noir</t>
  </si>
  <si>
    <t>Russivan River Valley</t>
  </si>
  <si>
    <t>Big Basin Vineyards</t>
  </si>
  <si>
    <t>Homestead</t>
  </si>
  <si>
    <t>Central Coast</t>
  </si>
  <si>
    <t xml:space="preserve">Domaine Leflaive OWC </t>
  </si>
  <si>
    <t>Estate Grown Cab Sauv</t>
  </si>
  <si>
    <t>Poggiarellino</t>
  </si>
  <si>
    <t>Brunello di Montalcino Riserva</t>
  </si>
  <si>
    <t>Italty</t>
  </si>
  <si>
    <t>Tuscany</t>
  </si>
  <si>
    <t>Brunello di Montalcino</t>
  </si>
  <si>
    <t>Grand Vin De Marquis de Las Cases</t>
  </si>
  <si>
    <t>St. Helena</t>
  </si>
  <si>
    <t>Jacks Masterpiece</t>
  </si>
  <si>
    <t>Chateau Pontet Canet</t>
  </si>
  <si>
    <t>Pauillac</t>
  </si>
  <si>
    <t>Chateau Beaucastel</t>
  </si>
  <si>
    <t>Chateauneuf du Pape - Rouge</t>
  </si>
  <si>
    <t>Rhone Valley</t>
  </si>
  <si>
    <t>Chateauneuf du Pape</t>
  </si>
  <si>
    <t>Chateau Potelle</t>
  </si>
  <si>
    <t>Cab Franc Wildcat Mountain Vineyard</t>
  </si>
  <si>
    <t>Wildcat Mountain Vineyar</t>
  </si>
  <si>
    <t>St Helena Cabernet Sauvignon</t>
  </si>
  <si>
    <t>Famous Gate</t>
  </si>
  <si>
    <t>SLD Merlot</t>
  </si>
  <si>
    <t>Merlot</t>
  </si>
  <si>
    <t>Becklin Vineyards Pinot Noir</t>
  </si>
  <si>
    <t>OR</t>
  </si>
  <si>
    <t>Willammette Valley</t>
  </si>
  <si>
    <t>Becklin Vineyards</t>
  </si>
  <si>
    <t>Keenan Winery</t>
  </si>
  <si>
    <t>Spring Mountain District</t>
  </si>
  <si>
    <t>Valpolliciella Supioriore</t>
  </si>
  <si>
    <t>Pride Mountain Vineyards</t>
  </si>
  <si>
    <t>Reserve Claret</t>
  </si>
  <si>
    <t>Terrior Collection Cab Sauv</t>
  </si>
  <si>
    <t>Saxum</t>
  </si>
  <si>
    <t>Bone Rock</t>
  </si>
  <si>
    <t>Paso Robles</t>
  </si>
  <si>
    <t>Bone Rock Vineyard</t>
  </si>
  <si>
    <t>Brut Rosé</t>
  </si>
  <si>
    <t>Mt. George Vinyeard</t>
  </si>
  <si>
    <t>GSC</t>
  </si>
  <si>
    <t>Fountaingrove District</t>
  </si>
  <si>
    <t>Force Majure</t>
  </si>
  <si>
    <t>SJR Vineyard</t>
  </si>
  <si>
    <t>Walla Walla Valley</t>
  </si>
  <si>
    <t>The Rocks</t>
  </si>
  <si>
    <t>Livio Sassetti</t>
  </si>
  <si>
    <t>Pertimali  - Brunello Di Montalcino</t>
  </si>
  <si>
    <t>Cavallotto</t>
  </si>
  <si>
    <t>Bricco Boschis</t>
  </si>
  <si>
    <t>Chateau Des Tours</t>
  </si>
  <si>
    <t>Cotes Du Rhone</t>
  </si>
  <si>
    <t>Giovanni Rosso</t>
  </si>
  <si>
    <t>Cerreta</t>
  </si>
  <si>
    <t>Coeur</t>
  </si>
  <si>
    <t>Dijon 777 Clone</t>
  </si>
  <si>
    <t>Carneros</t>
  </si>
  <si>
    <t>Planium Cab Sauv</t>
  </si>
  <si>
    <t>Terra Secca</t>
  </si>
  <si>
    <t>Winemakers Series Cabernet Franc</t>
  </si>
  <si>
    <t xml:space="preserve">Griffin's Lair Vineyard </t>
  </si>
  <si>
    <t>Griffin's Lair</t>
  </si>
  <si>
    <t>Terraces Syrah</t>
  </si>
  <si>
    <t>Rattlesnake Vineyard</t>
  </si>
  <si>
    <t>GC Lurton</t>
  </si>
  <si>
    <t>Sonoma Cabernet</t>
  </si>
  <si>
    <t>Marcarini</t>
  </si>
  <si>
    <t>excellent. buy producer and vineyard again</t>
  </si>
  <si>
    <t>Mt. George Cab Franc</t>
  </si>
  <si>
    <t>Mt. George</t>
  </si>
  <si>
    <t>White Rock Vineyards</t>
  </si>
  <si>
    <t xml:space="preserve">Laureate </t>
  </si>
  <si>
    <t>M9</t>
  </si>
  <si>
    <t>James Berry Vineyard - Paso Robles</t>
  </si>
  <si>
    <t>James Berry Vineyard</t>
  </si>
  <si>
    <t>Mayacamas Vineyards</t>
  </si>
  <si>
    <t xml:space="preserve">Mt. Veeder Cabernet </t>
  </si>
  <si>
    <t>M8</t>
  </si>
  <si>
    <t>Castello Di Ama</t>
  </si>
  <si>
    <t xml:space="preserve">San Lorenzo Chianti Classico Gran Selezione </t>
  </si>
  <si>
    <t>Chianti Classico</t>
  </si>
  <si>
    <t>Kronos Vineyard Cabernet Sauv</t>
  </si>
  <si>
    <t>Kronos Vineyard</t>
  </si>
  <si>
    <t>Kronos Vineyard Cabernet Sauv 1.5L</t>
  </si>
  <si>
    <t>La Ciel Serein</t>
  </si>
  <si>
    <t>Vina Almaviva</t>
  </si>
  <si>
    <t>Vina Almaviva Puente Alto</t>
  </si>
  <si>
    <t>Maipo Valley</t>
  </si>
  <si>
    <t>Puente Alto</t>
  </si>
  <si>
    <t>Walt Wines</t>
  </si>
  <si>
    <t>Sierra Mar</t>
  </si>
  <si>
    <t>Santa Lucia Highlands</t>
  </si>
  <si>
    <t>Sierra Mar Vineyard</t>
  </si>
  <si>
    <t>Chāo Rijo</t>
  </si>
  <si>
    <t>Ramisco - Colares Vinho Tinto</t>
  </si>
  <si>
    <t>La Querciolina</t>
  </si>
  <si>
    <t>Montecucco Rosso</t>
  </si>
  <si>
    <t>R/M1</t>
  </si>
  <si>
    <t>Domaine de la Vieille Julienne</t>
  </si>
  <si>
    <t>lieu-dit Clavin</t>
  </si>
  <si>
    <t>Côtes-du-Rhone</t>
  </si>
  <si>
    <t>Bure Family Wines</t>
  </si>
  <si>
    <t>Majesty</t>
  </si>
  <si>
    <t>Beckstoffer To Kalon</t>
  </si>
  <si>
    <t xml:space="preserve">OWC </t>
  </si>
  <si>
    <t>Chapellett Winery</t>
  </si>
  <si>
    <t>Pritchard Hill Cabernet Sauvingnon</t>
  </si>
  <si>
    <t>Snowden Vineyards</t>
  </si>
  <si>
    <t>Napa Valley Cabernet Franc</t>
  </si>
  <si>
    <t>Melchior Kemper Vineyard</t>
  </si>
  <si>
    <t>Saison Winery</t>
  </si>
  <si>
    <t>Wirz Vineyard Riesling</t>
  </si>
  <si>
    <t>Cienga Valley</t>
  </si>
  <si>
    <t>Wirz Vineyard</t>
  </si>
  <si>
    <t>???</t>
  </si>
  <si>
    <t>St. Helena Cabernet</t>
  </si>
  <si>
    <t>Insignia</t>
  </si>
  <si>
    <t>Di Costanzo</t>
  </si>
  <si>
    <t>Montecillo Vineyard</t>
  </si>
  <si>
    <t>Moon Mountain</t>
  </si>
  <si>
    <t>Farella Vineyard</t>
  </si>
  <si>
    <t xml:space="preserve">Coombsville </t>
  </si>
  <si>
    <t>Freestone Vineyard</t>
  </si>
  <si>
    <t>Phillips Hill</t>
  </si>
  <si>
    <t xml:space="preserve">Oppenlander Vineyard </t>
  </si>
  <si>
    <t>Mendocino County</t>
  </si>
  <si>
    <t>Anderson Valley</t>
  </si>
  <si>
    <t>Oppenlander Vineyard</t>
  </si>
  <si>
    <t>The Reseve Cabernet</t>
  </si>
  <si>
    <t>Chateau Canon</t>
  </si>
  <si>
    <t>Saint Emilion</t>
  </si>
  <si>
    <t>Gallica Wine</t>
  </si>
  <si>
    <t>Estate Cabernet Sauvingnon</t>
  </si>
  <si>
    <t>Fait Main Wines</t>
  </si>
  <si>
    <t>Beckstoffer Missour Hopper Vineyard</t>
  </si>
  <si>
    <t>Matthiasson Winery</t>
  </si>
  <si>
    <t>Phoenix Vineyard</t>
  </si>
  <si>
    <t>Michael Mara Vineyard Chardonnay</t>
  </si>
  <si>
    <t>Chardonnay</t>
  </si>
  <si>
    <t>Michael Mara Vineyard</t>
  </si>
  <si>
    <t>Domaine de Chevalier</t>
  </si>
  <si>
    <t xml:space="preserve">Grand Vin </t>
  </si>
  <si>
    <t>Pessac-Leognan</t>
  </si>
  <si>
    <t>Perchance Estates</t>
  </si>
  <si>
    <t>Beckstoffer Georges III Vineyard</t>
  </si>
  <si>
    <t>East Bench</t>
  </si>
  <si>
    <t>Breccia</t>
  </si>
  <si>
    <t>Ridge Vineyards</t>
  </si>
  <si>
    <t>Monte Bello</t>
  </si>
  <si>
    <t>Monte Bello Vineyard</t>
  </si>
  <si>
    <t>Krug Box</t>
  </si>
  <si>
    <t>Cave Hill</t>
  </si>
  <si>
    <t>Ultramarine</t>
  </si>
  <si>
    <t>Keefer Ranch Blanc de Blancs</t>
  </si>
  <si>
    <t>Keefer Ranch</t>
  </si>
  <si>
    <t>DI CO</t>
  </si>
  <si>
    <t>Dominus</t>
  </si>
  <si>
    <t>Napanook</t>
  </si>
  <si>
    <t>Napanook Vineyard</t>
  </si>
  <si>
    <t>Penfolds</t>
  </si>
  <si>
    <t>Bin 389 - Cabernet Shiraz</t>
  </si>
  <si>
    <t>Australia</t>
  </si>
  <si>
    <t>Parabellum Coulee</t>
  </si>
  <si>
    <t>Guy Farge</t>
  </si>
  <si>
    <t>Cornas - Reynard</t>
  </si>
  <si>
    <t>Northern Rhone</t>
  </si>
  <si>
    <t>Cornas</t>
  </si>
  <si>
    <t>Reynard</t>
  </si>
  <si>
    <t>Caldwell Vineyard</t>
  </si>
  <si>
    <t>les Trois Sources</t>
  </si>
  <si>
    <t>Châteauneuf-du-Pape</t>
  </si>
  <si>
    <t>Loose</t>
  </si>
  <si>
    <t>Estate Cabernet Sauvignon</t>
  </si>
  <si>
    <t>None</t>
  </si>
  <si>
    <t>Raen Vineyards</t>
  </si>
  <si>
    <t>Royal St. Robert - Sonoma Coast</t>
  </si>
  <si>
    <t>Phoenix Vineyard Merlot</t>
  </si>
  <si>
    <t>Old Vine Zinfandel</t>
  </si>
  <si>
    <t>Zinfandel</t>
  </si>
  <si>
    <t>Blanc de Noir</t>
  </si>
  <si>
    <t>Malvasia Colares Vinho Branco</t>
  </si>
  <si>
    <t>Pierre-Yves Colin-Morey</t>
  </si>
  <si>
    <t>Pernand-Verglesses - Sous Frétilles 1er Cru</t>
  </si>
  <si>
    <t>Burgundy</t>
  </si>
  <si>
    <t>Pernand-Verglesses 1er Cru</t>
  </si>
  <si>
    <t>Regan Vineyard Chardonnay</t>
  </si>
  <si>
    <t>Regan Vineyards</t>
  </si>
  <si>
    <t>Clos Cibonne</t>
  </si>
  <si>
    <t>Tibouren</t>
  </si>
  <si>
    <t>Southern France</t>
  </si>
  <si>
    <t>Cotes de Provence</t>
  </si>
  <si>
    <t>Heritage Vineyard Albarino</t>
  </si>
  <si>
    <t>Sierra Foothills</t>
  </si>
  <si>
    <t>Calaveras County</t>
  </si>
  <si>
    <t>Rorick Heritage Vineyard</t>
  </si>
  <si>
    <t>NV</t>
  </si>
  <si>
    <t>V. Sattui Winery</t>
  </si>
  <si>
    <t>Madeira</t>
  </si>
  <si>
    <t>Leeuwin Estate</t>
  </si>
  <si>
    <t>Art Series Cabernet</t>
  </si>
  <si>
    <t>Western Australia</t>
  </si>
  <si>
    <t>Margaret River</t>
  </si>
  <si>
    <t>Corazon Del Sol</t>
  </si>
  <si>
    <t>Malbec</t>
  </si>
  <si>
    <t>Uco Valley</t>
  </si>
  <si>
    <t>Los Chacayes</t>
  </si>
  <si>
    <t>Hideaway Vineyard Cabernet</t>
  </si>
  <si>
    <t>Pritchard Hill</t>
  </si>
  <si>
    <t>Hideaway Vineyard</t>
  </si>
  <si>
    <t>Emmanuel Rouget</t>
  </si>
  <si>
    <t>Bourgogne Aligote</t>
  </si>
  <si>
    <t>Giacomo Conterno</t>
  </si>
  <si>
    <t>Vigna Cerretta</t>
  </si>
  <si>
    <t xml:space="preserve">Barbera </t>
  </si>
  <si>
    <t>Alba</t>
  </si>
  <si>
    <t>Comm G.B Burlotto</t>
  </si>
  <si>
    <t>Aves</t>
  </si>
  <si>
    <t>Newfound</t>
  </si>
  <si>
    <t>Scaggs Vineyard Counoise</t>
  </si>
  <si>
    <t>Scaggs Vineyard</t>
  </si>
  <si>
    <t>Birichino Vineyard</t>
  </si>
  <si>
    <t>Old Vine Grenache</t>
  </si>
  <si>
    <t>Besson Vineyard</t>
  </si>
  <si>
    <t>Justine Vigne</t>
  </si>
  <si>
    <t>Ultreia - Grenache</t>
  </si>
  <si>
    <t>Rhone</t>
  </si>
  <si>
    <t>Chiara Condello</t>
  </si>
  <si>
    <t>Predappio</t>
  </si>
  <si>
    <t>Sangiovese</t>
  </si>
  <si>
    <t>N/A</t>
  </si>
  <si>
    <t>Emiliga-Romagna</t>
  </si>
  <si>
    <t>Schramsberg</t>
  </si>
  <si>
    <t>Caminante Del Cielo Vineyard</t>
  </si>
  <si>
    <t>Marin County</t>
  </si>
  <si>
    <t>Patrick Piuze</t>
  </si>
  <si>
    <t>La Grande Vallee</t>
  </si>
  <si>
    <t>La Grane Valle</t>
  </si>
  <si>
    <t>Powel &amp; Son</t>
  </si>
  <si>
    <t>Loechel Vineyard Shiraz</t>
  </si>
  <si>
    <t>South Australia</t>
  </si>
  <si>
    <t>Eden Valley</t>
  </si>
  <si>
    <t>Loechel Vineyard</t>
  </si>
  <si>
    <t>Producer</t>
  </si>
  <si>
    <t>Cuvee</t>
  </si>
  <si>
    <t>Vintage</t>
  </si>
  <si>
    <t>US Dollar Cost at Entry Time</t>
  </si>
  <si>
    <t>Earned</t>
  </si>
  <si>
    <t>Domaine Prieure Roch</t>
  </si>
  <si>
    <t>Ladoix Le Cloud</t>
  </si>
  <si>
    <t>Domaine Gangloff</t>
  </si>
  <si>
    <t>Serene Noir</t>
  </si>
  <si>
    <t>Any</t>
  </si>
  <si>
    <t>La Barbarine</t>
  </si>
  <si>
    <t>Champagne Delamotte</t>
  </si>
  <si>
    <t>Brut Rose</t>
  </si>
  <si>
    <t>Arnaud Ente</t>
  </si>
  <si>
    <t>Bourgogne Blanc</t>
  </si>
  <si>
    <t xml:space="preserve"> Billecart-Salmon</t>
  </si>
  <si>
    <t>Cuvée Nicolas François Billecart</t>
  </si>
  <si>
    <t>Pontet Canet</t>
  </si>
  <si>
    <t>2020/2009/2010</t>
  </si>
  <si>
    <t>115+</t>
  </si>
  <si>
    <t>Quintarelli</t>
  </si>
  <si>
    <t>Alzero</t>
  </si>
  <si>
    <t>$450+</t>
  </si>
  <si>
    <t>Amarone della Valpolicella</t>
  </si>
  <si>
    <t>$400+</t>
  </si>
  <si>
    <t>Dal Forno Romano</t>
  </si>
  <si>
    <t>Emidio Pepe</t>
  </si>
  <si>
    <t>Montepulciano d'Abruzzo</t>
  </si>
  <si>
    <t>$120+</t>
  </si>
  <si>
    <t>Montepulciano d'Abruzzo Vecchio Vigne</t>
  </si>
  <si>
    <t>190+</t>
  </si>
  <si>
    <t>Trebbiano d'Abruzzo</t>
  </si>
  <si>
    <t>$75+</t>
  </si>
  <si>
    <t>Cerusolo d'Abruzzo</t>
  </si>
  <si>
    <t>Castello dei Rampolla</t>
  </si>
  <si>
    <t>Sammarco</t>
  </si>
  <si>
    <t>Vigna d'Alceo</t>
  </si>
  <si>
    <t>$140+</t>
  </si>
  <si>
    <t>Petrolo</t>
  </si>
  <si>
    <t>Galatrona</t>
  </si>
  <si>
    <t>Rosso di Montalcino</t>
  </si>
  <si>
    <t>$20+</t>
  </si>
  <si>
    <t>Bartolo Mascarello</t>
  </si>
  <si>
    <t>2013/2016/2018</t>
  </si>
  <si>
    <t>$300+</t>
  </si>
  <si>
    <t>La Spinetta</t>
  </si>
  <si>
    <t>Barolo Campe</t>
  </si>
  <si>
    <t>Barbaresco Gallina</t>
  </si>
  <si>
    <t>E Pira Chiara Boschis/E Pira &amp; Figli</t>
  </si>
  <si>
    <t>Produtorri del Barbaresco</t>
  </si>
  <si>
    <t>Roberto Voerizo</t>
  </si>
  <si>
    <t>Tiberio</t>
  </si>
  <si>
    <t>Fratelli Allessandria</t>
  </si>
  <si>
    <t>Tino Kuban</t>
  </si>
  <si>
    <t>Crissante Allessandria</t>
  </si>
  <si>
    <t>Chiara Codello</t>
  </si>
  <si>
    <t>40+</t>
  </si>
  <si>
    <t>https://www.bowlerwine.com/producer/condello-chiara</t>
  </si>
  <si>
    <t>2021 Rudi Pichler "Reid Achleiten" Riesling Smaragd Wachau</t>
  </si>
  <si>
    <t>Le Ragnaie</t>
  </si>
  <si>
    <t>Brunello di Montalcino, and others</t>
  </si>
  <si>
    <t>any</t>
  </si>
  <si>
    <t>80+</t>
  </si>
  <si>
    <t>Anne Sophie Dubois</t>
  </si>
  <si>
    <t>Les Cocottes</t>
  </si>
  <si>
    <t>Sub AVA</t>
  </si>
  <si>
    <t>La Reve Late Disgorged</t>
  </si>
  <si>
    <t xml:space="preserve">Chateau Dufort Vivens </t>
  </si>
  <si>
    <t>La Brisa 3L</t>
  </si>
  <si>
    <t>OWC</t>
  </si>
  <si>
    <t>Napa Valley Merlot 3L</t>
  </si>
  <si>
    <t>The Discussion 1.5L</t>
  </si>
  <si>
    <t>L14</t>
  </si>
  <si>
    <t>Almaviva</t>
  </si>
  <si>
    <t>Almaviva - Red Blend</t>
  </si>
  <si>
    <t>Vinic</t>
  </si>
  <si>
    <t>Majesty - To Kalon Vineyard</t>
  </si>
  <si>
    <t>Chateau Haut Bage Liberal</t>
  </si>
  <si>
    <t>La Chapelle du Bage</t>
  </si>
  <si>
    <t>Platninum Napa Valley Cab Sauv</t>
  </si>
  <si>
    <t xml:space="preserve">Cerretta </t>
  </si>
  <si>
    <t>Platninum Cab Sauv</t>
  </si>
  <si>
    <t>Helios Sunbasket Vineyard Cab Franc</t>
  </si>
  <si>
    <t>L12</t>
  </si>
  <si>
    <t>Ultra Brut</t>
  </si>
  <si>
    <t>Sonoma Red</t>
  </si>
  <si>
    <t>Steltzner Vineyards</t>
  </si>
  <si>
    <t>SLD Malbec</t>
  </si>
  <si>
    <t>Bruna Grimaldi</t>
  </si>
  <si>
    <t>Badarina</t>
  </si>
  <si>
    <t>Becklin Vineyards Pinor Noir</t>
  </si>
  <si>
    <t>Willamette Valley</t>
  </si>
  <si>
    <t>Gewurztraminer Celilo Vineyard</t>
  </si>
  <si>
    <t>Columbia Gorge</t>
  </si>
  <si>
    <t>Celilo Vineyard</t>
  </si>
  <si>
    <t>L10</t>
  </si>
  <si>
    <t xml:space="preserve">Stags Leap District. </t>
  </si>
  <si>
    <t>Cab Sauv</t>
  </si>
  <si>
    <t>Mt. George Merlot</t>
  </si>
  <si>
    <t>Cote Du Rhone</t>
  </si>
  <si>
    <t>Bens Basement</t>
  </si>
  <si>
    <t>Santa Rita Hills</t>
  </si>
  <si>
    <t>Miljenkos Selection Old Vine Zinfandel</t>
  </si>
  <si>
    <t>Merry Edwards Winery</t>
  </si>
  <si>
    <t>Georganne Pinot Noir</t>
  </si>
  <si>
    <t>Russian River Valley</t>
  </si>
  <si>
    <t>M10</t>
  </si>
  <si>
    <t>Dijon Clone Pinot Noir</t>
  </si>
  <si>
    <t xml:space="preserve">Santa Cruz Mountains </t>
  </si>
  <si>
    <t>Regan Vineyard</t>
  </si>
  <si>
    <t xml:space="preserve">Pommard Clone </t>
  </si>
  <si>
    <t>Bure Family Box</t>
  </si>
  <si>
    <t>??</t>
  </si>
  <si>
    <t xml:space="preserve">To Kalon Vineyard </t>
  </si>
  <si>
    <t>Raen Box</t>
  </si>
  <si>
    <t>Sparkling Rosé</t>
  </si>
  <si>
    <t>Cuvee something</t>
  </si>
  <si>
    <t>Potelle 2</t>
  </si>
  <si>
    <t>Quilceda Creek</t>
  </si>
  <si>
    <t>Galitzine Vineyard</t>
  </si>
  <si>
    <t>Excellent -- find + buy again. Drank with Molly and Bremer family w/ tri tip and salmon</t>
  </si>
  <si>
    <t>Ettore Germano</t>
  </si>
  <si>
    <t>excellent. drank with molly in groveland</t>
  </si>
  <si>
    <t>Jardin D'Hiver Ultra Brut</t>
  </si>
  <si>
    <t>Rosé</t>
  </si>
  <si>
    <t>Cheateau Trotanoy</t>
  </si>
  <si>
    <t>Esperance de Trotanoy</t>
  </si>
  <si>
    <t>Gifted to Jeff from Scotts clinic -- had dinner with Quetin at his house. Nov 2021</t>
  </si>
  <si>
    <t>Reserve Cab Franc</t>
  </si>
  <si>
    <t>Winemakers Series Syrah</t>
  </si>
  <si>
    <t>Petite Verdot - Miljenkos Selection</t>
  </si>
  <si>
    <t>Petit Verdot</t>
  </si>
  <si>
    <t>Becklin Vineyards Pinot Noirt</t>
  </si>
  <si>
    <t>Regan Vineyards Reserve Santa Cruz Mountains Cab Sauv</t>
  </si>
  <si>
    <t>Soquel Vineyards</t>
  </si>
  <si>
    <t>Estate Grown Pinot Noir</t>
  </si>
  <si>
    <t>Regan Vineyards Reserve Santa Cruz Mountains Merlot</t>
  </si>
  <si>
    <t>Viognier</t>
  </si>
  <si>
    <t>Basor Vineyard</t>
  </si>
  <si>
    <t>Napa Valley Rosé</t>
  </si>
  <si>
    <t>Haut Bage Liberal</t>
  </si>
  <si>
    <t xml:space="preserve">Trinite Estate </t>
  </si>
  <si>
    <t>Ducru - Beaucaillou</t>
  </si>
  <si>
    <t>La Croix Ducru - Beaucaillou</t>
  </si>
  <si>
    <t>Mt. George Malbec</t>
  </si>
  <si>
    <t>Rutherford Bench Reserve</t>
  </si>
  <si>
    <t xml:space="preserve">Club Red </t>
  </si>
  <si>
    <t>Sterling Winery</t>
  </si>
  <si>
    <t>Reserve Napa Valley Chardonnary</t>
  </si>
  <si>
    <t>Stags Leap District Merlot</t>
  </si>
  <si>
    <t>Soda Creek Zinfandel</t>
  </si>
  <si>
    <t>Soda Creek</t>
  </si>
  <si>
    <t xml:space="preserve">Chardonnay </t>
  </si>
  <si>
    <t>Paris Commemorative Bottling</t>
  </si>
  <si>
    <t>?</t>
  </si>
  <si>
    <t>Sangiacomo</t>
  </si>
  <si>
    <t>Blue Jay</t>
  </si>
  <si>
    <t>Clos Apalta</t>
  </si>
  <si>
    <t>Le Petit Clos</t>
  </si>
  <si>
    <t>Apalta Valley</t>
  </si>
  <si>
    <t>Napa Merlot</t>
  </si>
  <si>
    <t>Napa Zinfandel</t>
  </si>
  <si>
    <t>Beaujolais</t>
  </si>
  <si>
    <t xml:space="preserve">Fleurie </t>
  </si>
  <si>
    <t>Prisoner Winery</t>
  </si>
  <si>
    <t>Thorn</t>
  </si>
  <si>
    <t>Calistoga Cab Franc</t>
  </si>
  <si>
    <t>Year</t>
  </si>
  <si>
    <t>Varietal</t>
  </si>
  <si>
    <t>Name</t>
  </si>
  <si>
    <t>Winery</t>
  </si>
  <si>
    <t>Price</t>
  </si>
  <si>
    <t>Quantity</t>
  </si>
  <si>
    <t xml:space="preserve">Box # </t>
  </si>
  <si>
    <t>TC</t>
  </si>
  <si>
    <t xml:space="preserve">Sparkling </t>
  </si>
  <si>
    <t>Vintage Brut</t>
  </si>
  <si>
    <t>Domaine Chandon</t>
  </si>
  <si>
    <t>Cab Franc</t>
  </si>
  <si>
    <t>Winemakers Series Cab Franc</t>
  </si>
  <si>
    <t>Winemakers Series Cab Sauv</t>
  </si>
  <si>
    <t xml:space="preserve">Bordeaux Blend </t>
  </si>
  <si>
    <t>Red Blend</t>
  </si>
  <si>
    <t>Momentumn</t>
  </si>
  <si>
    <t>Mondavi</t>
  </si>
  <si>
    <t>Bordeaux Blend</t>
  </si>
  <si>
    <t>Opus One</t>
  </si>
  <si>
    <t>Overture</t>
  </si>
  <si>
    <t>Chateau Ferriere</t>
  </si>
  <si>
    <t xml:space="preserve">Red Blend </t>
  </si>
  <si>
    <t>Blanc de Blancs</t>
  </si>
  <si>
    <t>Georgia Rosé</t>
  </si>
  <si>
    <t xml:space="preserve">Lallier </t>
  </si>
  <si>
    <t>Rosé - Grand Cru</t>
  </si>
  <si>
    <t>Champagne</t>
  </si>
  <si>
    <t xml:space="preserve">Rosé </t>
  </si>
  <si>
    <t>The Prisoner Wine Company</t>
  </si>
  <si>
    <t>Erased</t>
  </si>
  <si>
    <t xml:space="preserve">Ancient Hills </t>
  </si>
  <si>
    <t>Baco Noir</t>
  </si>
  <si>
    <t xml:space="preserve">Lazerus </t>
  </si>
  <si>
    <t>Lemberger</t>
  </si>
  <si>
    <t>Buty Wines</t>
  </si>
  <si>
    <t xml:space="preserve">Columbia Valley White </t>
  </si>
  <si>
    <t xml:space="preserve">White Bordeaux Blend </t>
  </si>
  <si>
    <t>Rosé of the Stones</t>
  </si>
  <si>
    <t>Mourvedre</t>
  </si>
  <si>
    <t>Two Magpies</t>
  </si>
  <si>
    <t xml:space="preserve">Reserve Brut Late Disgorged </t>
  </si>
  <si>
    <t>Blanc De Noir</t>
  </si>
  <si>
    <t>Limited Baulbebar</t>
  </si>
  <si>
    <t>Joseph Phelps</t>
  </si>
  <si>
    <t>Delice</t>
  </si>
  <si>
    <t>Dessert Wine</t>
  </si>
  <si>
    <t>50th Anniversary Oakville Cab</t>
  </si>
  <si>
    <t>Moscato d'Oro</t>
  </si>
  <si>
    <t>AXR</t>
  </si>
  <si>
    <t>V. Madrone Vineyard Petite Syrah</t>
  </si>
  <si>
    <t>Petite Syrah</t>
  </si>
  <si>
    <t>Clos Du Marquis</t>
  </si>
  <si>
    <t xml:space="preserve">Leoville Las Cases </t>
  </si>
  <si>
    <t>Rutherford Cab</t>
  </si>
  <si>
    <t xml:space="preserve">The North End </t>
  </si>
  <si>
    <t>Momentum</t>
  </si>
  <si>
    <t>Gowan Creek</t>
  </si>
  <si>
    <t>Fantasia</t>
  </si>
  <si>
    <t>Super Tuscan</t>
  </si>
  <si>
    <t>Mt George Cab Franc</t>
  </si>
  <si>
    <t>Russian River Pinot Noir</t>
  </si>
  <si>
    <t>Couer</t>
  </si>
  <si>
    <t>Darwin</t>
  </si>
  <si>
    <t>Oak Knoll District Cab Sauv - Lamoreaux Vineyards</t>
  </si>
  <si>
    <t>Winemaker Series Merlot</t>
  </si>
  <si>
    <t>Winemaker Series Syrah</t>
  </si>
  <si>
    <t>GSM</t>
  </si>
  <si>
    <t>Moon Mountain Zinfandel</t>
  </si>
  <si>
    <t>Blanc de Noir 1.5L</t>
  </si>
  <si>
    <t>Large Format</t>
  </si>
  <si>
    <t>La Brisa</t>
  </si>
  <si>
    <t>Craigs</t>
  </si>
  <si>
    <t>Almaviva Red Blend</t>
  </si>
  <si>
    <t>Gewurztraminer</t>
  </si>
  <si>
    <t>Sparkling Wine</t>
  </si>
  <si>
    <t>Baser Vineyard Viognier</t>
  </si>
  <si>
    <t>Regan Vineyards, Dijon Clone Pinot Noir</t>
  </si>
  <si>
    <t>Miljenkos Selection Petit Verdot</t>
  </si>
  <si>
    <t>Petite Verdot</t>
  </si>
  <si>
    <t>Napa Valley Merlot</t>
  </si>
  <si>
    <t>Rutherford Bench Reserve Cab Sauv</t>
  </si>
  <si>
    <t>Club Red</t>
  </si>
  <si>
    <t>Poster Series Club Red</t>
  </si>
  <si>
    <t>Vintage, Winery, Name, Varietal</t>
  </si>
  <si>
    <t>Per Person (6 ppl)</t>
  </si>
  <si>
    <t>2014, Hall Wines, Ellie's, Cab Sauv</t>
  </si>
  <si>
    <t>2015, Silverado, Mt. George Cab Franc, Cab Franc</t>
  </si>
  <si>
    <t>2015, Silverado, Mt. George Malbec, Malbec</t>
  </si>
  <si>
    <t>2016, Silverado, Soda Creek Zinfandel, Zinfandel</t>
  </si>
  <si>
    <t xml:space="preserve">2014, Domaine Carneros, Rosé, Sparkling </t>
  </si>
  <si>
    <t>2012, Domaine Carneros, Estate Cuvee Late Disgorged, Sparkling</t>
  </si>
  <si>
    <t>2016, Walt Wines, Blue Jay, Pinot Noir</t>
  </si>
  <si>
    <t xml:space="preserve">2005, Chateau Dufort Vivens , -, Bordeaux Blend </t>
  </si>
  <si>
    <t>2013, Trinite Estate, Amaino, Red Blend</t>
  </si>
  <si>
    <t xml:space="preserve">2008, Chateau Ferriere, -, Bordeaux Blend </t>
  </si>
  <si>
    <t>2015, Hall Wines, 1873, Cab Sauv</t>
  </si>
  <si>
    <t>2016, Domaine Carneros, Dijon 777 Clone, Pinot Noir</t>
  </si>
  <si>
    <t>2015, Dowsett Family Wines, Becklin Vineyards Pinor Noir, Pinot Noir</t>
  </si>
  <si>
    <t>2018, Dowsett Family Wines, Georgia Rose, Rosé</t>
  </si>
  <si>
    <t xml:space="preserve">2016, Dowsett Family Wines, Two Magpies, Red Blend </t>
  </si>
  <si>
    <t>2018, Sequoia Grove, Rosé, Rosé</t>
  </si>
  <si>
    <t>2016, Sequoia Grove, Winemakers Series Syrah, Syrah</t>
  </si>
  <si>
    <t>2015, AXR, V. Madrone Vineyard Petite Syrah, Petite Syrah</t>
  </si>
  <si>
    <t>2013, Sterling Vineyards, Rutherford Cab, Cab Sauv</t>
  </si>
  <si>
    <t>2013, Mondavi, Momentum, Red Blend</t>
  </si>
  <si>
    <t>2016, Hall Wines, Darwin, Syrah</t>
  </si>
  <si>
    <t>2016, Sequoia Grove, Winemaker Series Merlot, Merlot</t>
  </si>
  <si>
    <t>2017, Chateau Potelle, Moon Mountain Zinfandel, Zinfandel</t>
  </si>
  <si>
    <t>2017, Soquel Vineyards, Estate Grown Pinot Noir, Pinot Noir</t>
  </si>
  <si>
    <t>2016, Sequoia Grove, Napa Valley Merlot, Merlot</t>
  </si>
  <si>
    <t>2016, Sequoia Grove, Rutherford Bench Reserve Cab Sauv, Cab Sauv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</si>
</sst>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7" x14ac:knownFonts="1">
    <font>
      <sz val="10"/>
      <color rgb="FF000000"/>
      <name val="Calibri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rgb="FF0000FF"/>
      <name val="Calibri"/>
      <family val="2"/>
    </font>
    <font>
      <u/>
      <sz val="9"/>
      <color rgb="FF204342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  <font>
      <strike/>
      <sz val="10"/>
      <color theme="1"/>
      <name val="Calibri"/>
      <family val="2"/>
      <scheme val="minor"/>
    </font>
    <font>
      <sz val="10"/>
      <color rgb="FF000000"/>
      <name val="Roboto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0" fontId="2" fillId="2" borderId="0" xfId="0" applyFont="1" applyFill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5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0" fontId="2" fillId="4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6" fillId="3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0" fontId="8" fillId="0" borderId="0" xfId="0" applyFont="1"/>
    <xf numFmtId="0" fontId="9" fillId="5" borderId="0" xfId="0" applyFont="1" applyFill="1"/>
    <xf numFmtId="164" fontId="5" fillId="0" borderId="0" xfId="0" applyNumberFormat="1" applyFon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2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164" fontId="5" fillId="3" borderId="0" xfId="0" applyNumberFormat="1" applyFont="1" applyFill="1"/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/>
    </xf>
    <xf numFmtId="164" fontId="14" fillId="0" borderId="0" xfId="0" applyNumberFormat="1" applyFont="1"/>
    <xf numFmtId="0" fontId="5" fillId="6" borderId="0" xfId="0" applyFont="1" applyFill="1"/>
    <xf numFmtId="0" fontId="15" fillId="2" borderId="0" xfId="0" applyFont="1" applyFill="1"/>
    <xf numFmtId="0" fontId="5" fillId="7" borderId="0" xfId="0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left"/>
    </xf>
    <xf numFmtId="0" fontId="16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left" vertical="center"/>
    </xf>
    <xf numFmtId="164" fontId="16" fillId="2" borderId="0" xfId="0" applyNumberFormat="1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left" wrapText="1"/>
    </xf>
  </cellXfs>
  <cellStyles count="1">
    <cellStyle name="Normal" xfId="0" builtinId="0"/>
  </cellStyles>
  <dxfs count="68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lwines.com/p/i?i=1657426" TargetMode="External"/><Relationship Id="rId1" Type="http://schemas.openxmlformats.org/officeDocument/2006/relationships/hyperlink" Target="https://www.bowlerwine.com/producer/condello-chi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topLeftCell="B1"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.75" customHeight="1" x14ac:dyDescent="0.2"/>
  <cols>
    <col min="1" max="1" width="8.19921875" hidden="1" customWidth="1"/>
    <col min="2" max="2" width="13.19921875" customWidth="1"/>
    <col min="3" max="3" width="8.19921875" customWidth="1"/>
    <col min="4" max="4" width="11.3984375" customWidth="1"/>
    <col min="5" max="5" width="21.796875" customWidth="1"/>
    <col min="6" max="6" width="30.59765625" customWidth="1"/>
    <col min="7" max="7" width="13.3984375" customWidth="1"/>
    <col min="8" max="8" width="12" customWidth="1"/>
    <col min="9" max="9" width="10.19921875" customWidth="1"/>
    <col min="10" max="10" width="13.796875" customWidth="1"/>
    <col min="11" max="11" width="15.796875" customWidth="1"/>
    <col min="12" max="12" width="12.59765625" customWidth="1"/>
    <col min="13" max="13" width="14.796875" customWidth="1"/>
    <col min="14" max="16" width="13.796875" customWidth="1"/>
    <col min="17" max="17" width="8.3984375" customWidth="1"/>
    <col min="18" max="18" width="9.59765625" customWidth="1"/>
    <col min="19" max="19" width="10" customWidth="1"/>
    <col min="20" max="20" width="12.796875" customWidth="1"/>
    <col min="21" max="21" width="19.19921875" customWidth="1"/>
    <col min="22" max="22" width="19.796875" customWidth="1"/>
    <col min="23" max="23" width="13.796875" customWidth="1"/>
  </cols>
  <sheetData>
    <row r="1" spans="1:2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6" x14ac:dyDescent="0.2">
      <c r="A2" s="4" t="s">
        <v>23</v>
      </c>
      <c r="B2" s="5" t="s">
        <v>24</v>
      </c>
      <c r="C2" s="6">
        <v>1</v>
      </c>
      <c r="D2" s="7">
        <v>1995</v>
      </c>
      <c r="E2" s="8" t="s">
        <v>25</v>
      </c>
      <c r="F2" s="8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6">
        <v>125</v>
      </c>
      <c r="O2" s="8">
        <v>750</v>
      </c>
      <c r="P2" s="7" t="s">
        <v>34</v>
      </c>
      <c r="Q2" s="8" t="s">
        <v>35</v>
      </c>
      <c r="R2" s="5"/>
      <c r="S2" s="9" t="b">
        <v>1</v>
      </c>
      <c r="T2" s="9" t="b">
        <v>1</v>
      </c>
      <c r="U2" s="9" t="b">
        <v>0</v>
      </c>
      <c r="V2" s="9" t="b">
        <v>0</v>
      </c>
      <c r="W2" s="9" t="b">
        <v>0</v>
      </c>
    </row>
    <row r="3" spans="1:23" ht="16" x14ac:dyDescent="0.2">
      <c r="A3" s="4" t="s">
        <v>36</v>
      </c>
      <c r="B3" s="5" t="s">
        <v>37</v>
      </c>
      <c r="C3" s="8">
        <v>1</v>
      </c>
      <c r="D3" s="7">
        <v>2018</v>
      </c>
      <c r="E3" s="8" t="s">
        <v>38</v>
      </c>
      <c r="F3" s="10" t="s">
        <v>39</v>
      </c>
      <c r="G3" s="5" t="s">
        <v>40</v>
      </c>
      <c r="H3" s="5" t="s">
        <v>41</v>
      </c>
      <c r="I3" s="5"/>
      <c r="J3" s="5" t="s">
        <v>42</v>
      </c>
      <c r="K3" s="5"/>
      <c r="L3" s="9"/>
      <c r="M3" s="10"/>
      <c r="N3" s="8">
        <v>40</v>
      </c>
      <c r="O3" s="8">
        <v>750</v>
      </c>
      <c r="P3" s="7" t="s">
        <v>34</v>
      </c>
      <c r="Q3" s="8" t="s">
        <v>43</v>
      </c>
      <c r="R3" s="5"/>
      <c r="S3" s="9" t="b">
        <v>1</v>
      </c>
      <c r="T3" s="9" t="b">
        <v>0</v>
      </c>
      <c r="U3" s="9" t="b">
        <v>0</v>
      </c>
      <c r="V3" s="9" t="b">
        <v>0</v>
      </c>
      <c r="W3" s="9" t="b">
        <v>0</v>
      </c>
    </row>
    <row r="4" spans="1:23" ht="16" x14ac:dyDescent="0.2">
      <c r="A4" s="4" t="s">
        <v>23</v>
      </c>
      <c r="B4" s="5" t="s">
        <v>44</v>
      </c>
      <c r="C4" s="8">
        <v>1</v>
      </c>
      <c r="D4" s="7">
        <v>2008</v>
      </c>
      <c r="E4" s="8" t="s">
        <v>45</v>
      </c>
      <c r="F4" s="10" t="s">
        <v>46</v>
      </c>
      <c r="G4" s="5" t="s">
        <v>40</v>
      </c>
      <c r="H4" s="5" t="s">
        <v>28</v>
      </c>
      <c r="I4" s="5" t="s">
        <v>29</v>
      </c>
      <c r="J4" s="5" t="s">
        <v>30</v>
      </c>
      <c r="K4" s="9"/>
      <c r="L4" s="9"/>
      <c r="M4" s="9"/>
      <c r="N4" s="8">
        <v>65</v>
      </c>
      <c r="O4" s="8">
        <v>750</v>
      </c>
      <c r="P4" s="7" t="s">
        <v>47</v>
      </c>
      <c r="Q4" s="8" t="s">
        <v>48</v>
      </c>
      <c r="R4" s="9"/>
      <c r="S4" s="9" t="b">
        <v>1</v>
      </c>
      <c r="T4" s="9" t="b">
        <v>1</v>
      </c>
      <c r="U4" s="9" t="b">
        <v>0</v>
      </c>
      <c r="V4" s="9" t="b">
        <v>0</v>
      </c>
      <c r="W4" s="9" t="b">
        <v>0</v>
      </c>
    </row>
    <row r="5" spans="1:23" ht="16" x14ac:dyDescent="0.2">
      <c r="A5" s="4" t="s">
        <v>23</v>
      </c>
      <c r="B5" s="5" t="s">
        <v>24</v>
      </c>
      <c r="C5" s="8">
        <v>1</v>
      </c>
      <c r="D5" s="7">
        <v>1995</v>
      </c>
      <c r="E5" s="8" t="s">
        <v>49</v>
      </c>
      <c r="F5" s="10" t="s">
        <v>50</v>
      </c>
      <c r="G5" s="5" t="s">
        <v>40</v>
      </c>
      <c r="H5" s="5" t="s">
        <v>51</v>
      </c>
      <c r="I5" s="5"/>
      <c r="J5" s="5"/>
      <c r="K5" s="9"/>
      <c r="L5" s="10" t="s">
        <v>52</v>
      </c>
      <c r="M5" s="9"/>
      <c r="N5" s="11">
        <v>100</v>
      </c>
      <c r="O5" s="8">
        <v>750</v>
      </c>
      <c r="P5" s="7" t="s">
        <v>53</v>
      </c>
      <c r="Q5" s="8" t="s">
        <v>54</v>
      </c>
      <c r="R5" s="5" t="s">
        <v>55</v>
      </c>
      <c r="S5" s="9" t="b">
        <v>0</v>
      </c>
      <c r="T5" s="9" t="b">
        <v>0</v>
      </c>
      <c r="U5" s="9" t="b">
        <v>0</v>
      </c>
      <c r="V5" s="9" t="b">
        <v>0</v>
      </c>
      <c r="W5" s="9" t="b">
        <v>0</v>
      </c>
    </row>
    <row r="6" spans="1:23" ht="16" x14ac:dyDescent="0.2">
      <c r="A6" s="12" t="s">
        <v>23</v>
      </c>
      <c r="B6" s="8" t="s">
        <v>24</v>
      </c>
      <c r="C6" s="8">
        <v>1</v>
      </c>
      <c r="D6" s="7">
        <v>2013</v>
      </c>
      <c r="E6" s="8" t="s">
        <v>56</v>
      </c>
      <c r="F6" s="10" t="s">
        <v>57</v>
      </c>
      <c r="G6" s="8" t="s">
        <v>40</v>
      </c>
      <c r="H6" s="8" t="s">
        <v>28</v>
      </c>
      <c r="I6" s="8" t="s">
        <v>58</v>
      </c>
      <c r="J6" s="8"/>
      <c r="K6" s="8" t="s">
        <v>59</v>
      </c>
      <c r="L6" s="8" t="s">
        <v>60</v>
      </c>
      <c r="M6" s="8" t="s">
        <v>61</v>
      </c>
      <c r="N6" s="8">
        <v>34</v>
      </c>
      <c r="O6" s="8">
        <v>750</v>
      </c>
      <c r="P6" s="7" t="s">
        <v>47</v>
      </c>
      <c r="Q6" s="8" t="s">
        <v>62</v>
      </c>
      <c r="R6" s="8"/>
      <c r="S6" s="13" t="b">
        <v>1</v>
      </c>
      <c r="T6" s="13" t="b">
        <v>1</v>
      </c>
      <c r="U6" s="13" t="b">
        <v>0</v>
      </c>
      <c r="V6" s="13" t="b">
        <v>0</v>
      </c>
      <c r="W6" s="13" t="b">
        <v>0</v>
      </c>
    </row>
    <row r="7" spans="1:23" ht="16" x14ac:dyDescent="0.2">
      <c r="A7" s="4" t="s">
        <v>23</v>
      </c>
      <c r="B7" s="5" t="s">
        <v>24</v>
      </c>
      <c r="C7" s="8">
        <v>1</v>
      </c>
      <c r="D7" s="7">
        <v>1997</v>
      </c>
      <c r="E7" s="8" t="s">
        <v>63</v>
      </c>
      <c r="F7" s="10" t="s">
        <v>50</v>
      </c>
      <c r="G7" s="5" t="s">
        <v>40</v>
      </c>
      <c r="H7" s="5" t="s">
        <v>51</v>
      </c>
      <c r="I7" s="5"/>
      <c r="J7" s="5"/>
      <c r="K7" s="9"/>
      <c r="L7" s="10" t="s">
        <v>52</v>
      </c>
      <c r="M7" s="9"/>
      <c r="N7" s="11">
        <v>100</v>
      </c>
      <c r="O7" s="8">
        <v>750</v>
      </c>
      <c r="P7" s="7" t="s">
        <v>53</v>
      </c>
      <c r="Q7" s="12" t="s">
        <v>54</v>
      </c>
      <c r="R7" s="5" t="s">
        <v>55</v>
      </c>
      <c r="S7" s="9" t="b">
        <v>0</v>
      </c>
      <c r="T7" s="9" t="b">
        <v>0</v>
      </c>
      <c r="U7" s="9" t="b">
        <v>0</v>
      </c>
      <c r="V7" s="9" t="b">
        <v>0</v>
      </c>
      <c r="W7" s="9" t="b">
        <v>0</v>
      </c>
    </row>
    <row r="8" spans="1:23" ht="16" x14ac:dyDescent="0.2">
      <c r="A8" s="12" t="s">
        <v>23</v>
      </c>
      <c r="B8" s="8" t="s">
        <v>24</v>
      </c>
      <c r="C8" s="8">
        <v>1</v>
      </c>
      <c r="D8" s="7">
        <v>2016</v>
      </c>
      <c r="E8" s="8" t="s">
        <v>64</v>
      </c>
      <c r="F8" s="10" t="s">
        <v>26</v>
      </c>
      <c r="G8" s="8" t="s">
        <v>27</v>
      </c>
      <c r="H8" s="8" t="s">
        <v>28</v>
      </c>
      <c r="I8" s="8" t="s">
        <v>29</v>
      </c>
      <c r="J8" s="8" t="s">
        <v>30</v>
      </c>
      <c r="K8" s="8" t="s">
        <v>65</v>
      </c>
      <c r="L8" s="8"/>
      <c r="M8" s="8"/>
      <c r="N8" s="8">
        <v>60</v>
      </c>
      <c r="O8" s="8">
        <v>750</v>
      </c>
      <c r="P8" s="7" t="s">
        <v>34</v>
      </c>
      <c r="Q8" s="8" t="s">
        <v>66</v>
      </c>
      <c r="R8" s="8"/>
      <c r="S8" s="13" t="b">
        <v>1</v>
      </c>
      <c r="T8" s="13" t="b">
        <v>1</v>
      </c>
      <c r="U8" s="13" t="b">
        <v>0</v>
      </c>
      <c r="V8" s="13" t="b">
        <v>0</v>
      </c>
      <c r="W8" s="13" t="b">
        <v>0</v>
      </c>
    </row>
    <row r="9" spans="1:23" ht="16" x14ac:dyDescent="0.2">
      <c r="A9" s="4" t="s">
        <v>23</v>
      </c>
      <c r="B9" s="5" t="s">
        <v>24</v>
      </c>
      <c r="C9" s="8">
        <v>1</v>
      </c>
      <c r="D9" s="7">
        <v>2002</v>
      </c>
      <c r="E9" s="8" t="s">
        <v>67</v>
      </c>
      <c r="F9" s="10" t="s">
        <v>68</v>
      </c>
      <c r="G9" s="5" t="s">
        <v>40</v>
      </c>
      <c r="H9" s="5" t="s">
        <v>69</v>
      </c>
      <c r="I9" s="5"/>
      <c r="J9" s="5" t="s">
        <v>70</v>
      </c>
      <c r="K9" s="5"/>
      <c r="L9" s="9"/>
      <c r="M9" s="9"/>
      <c r="N9" s="11">
        <v>500</v>
      </c>
      <c r="O9" s="8">
        <v>750</v>
      </c>
      <c r="P9" s="7" t="s">
        <v>34</v>
      </c>
      <c r="Q9" s="8" t="s">
        <v>71</v>
      </c>
      <c r="R9" s="5"/>
      <c r="S9" s="9" t="b">
        <v>0</v>
      </c>
      <c r="T9" s="9" t="b">
        <v>0</v>
      </c>
      <c r="U9" s="9" t="b">
        <v>0</v>
      </c>
      <c r="V9" s="9" t="b">
        <v>0</v>
      </c>
      <c r="W9" s="9" t="b">
        <v>0</v>
      </c>
    </row>
    <row r="10" spans="1:23" ht="15.75" customHeight="1" x14ac:dyDescent="0.2">
      <c r="A10" s="4" t="s">
        <v>23</v>
      </c>
      <c r="B10" s="5" t="s">
        <v>24</v>
      </c>
      <c r="C10" s="8">
        <v>1</v>
      </c>
      <c r="D10" s="7">
        <v>2005</v>
      </c>
      <c r="E10" s="8" t="s">
        <v>72</v>
      </c>
      <c r="F10" s="10" t="s">
        <v>73</v>
      </c>
      <c r="G10" s="5" t="s">
        <v>74</v>
      </c>
      <c r="H10" s="5" t="s">
        <v>41</v>
      </c>
      <c r="I10" s="5" t="s">
        <v>75</v>
      </c>
      <c r="J10" s="5" t="s">
        <v>76</v>
      </c>
      <c r="K10" s="5" t="s">
        <v>77</v>
      </c>
      <c r="L10" s="9"/>
      <c r="M10" s="9"/>
      <c r="N10" s="8">
        <v>55</v>
      </c>
      <c r="O10" s="8">
        <v>750</v>
      </c>
      <c r="P10" s="7" t="s">
        <v>34</v>
      </c>
      <c r="Q10" s="14" t="s">
        <v>78</v>
      </c>
      <c r="R10" s="5"/>
      <c r="S10" s="9" t="b">
        <v>1</v>
      </c>
      <c r="T10" s="9" t="b">
        <v>1</v>
      </c>
      <c r="U10" s="9" t="b">
        <v>0</v>
      </c>
      <c r="V10" s="9" t="b">
        <v>0</v>
      </c>
      <c r="W10" s="9" t="b">
        <v>1</v>
      </c>
    </row>
    <row r="11" spans="1:23" ht="16" x14ac:dyDescent="0.2">
      <c r="A11" s="4" t="s">
        <v>23</v>
      </c>
      <c r="B11" s="5" t="s">
        <v>24</v>
      </c>
      <c r="C11" s="8">
        <v>8</v>
      </c>
      <c r="D11" s="7">
        <v>2010</v>
      </c>
      <c r="E11" s="8" t="s">
        <v>72</v>
      </c>
      <c r="F11" s="10" t="s">
        <v>73</v>
      </c>
      <c r="G11" s="5" t="s">
        <v>74</v>
      </c>
      <c r="H11" s="5" t="s">
        <v>41</v>
      </c>
      <c r="I11" s="5" t="s">
        <v>75</v>
      </c>
      <c r="J11" s="5" t="s">
        <v>76</v>
      </c>
      <c r="K11" s="5" t="s">
        <v>77</v>
      </c>
      <c r="L11" s="9"/>
      <c r="M11" s="9"/>
      <c r="N11" s="11">
        <v>55</v>
      </c>
      <c r="O11" s="8">
        <v>750</v>
      </c>
      <c r="P11" s="7" t="s">
        <v>34</v>
      </c>
      <c r="Q11" s="8" t="s">
        <v>79</v>
      </c>
      <c r="R11" s="5"/>
      <c r="S11" s="9" t="b">
        <v>0</v>
      </c>
      <c r="T11" s="9" t="b">
        <v>0</v>
      </c>
      <c r="U11" s="9" t="b">
        <v>0</v>
      </c>
      <c r="V11" s="9" t="b">
        <v>0</v>
      </c>
      <c r="W11" s="9" t="b">
        <v>1</v>
      </c>
    </row>
    <row r="12" spans="1:23" ht="16" x14ac:dyDescent="0.2">
      <c r="A12" s="4" t="s">
        <v>23</v>
      </c>
      <c r="B12" s="5" t="s">
        <v>24</v>
      </c>
      <c r="C12" s="8">
        <v>1</v>
      </c>
      <c r="D12" s="7">
        <v>2012</v>
      </c>
      <c r="E12" s="8" t="s">
        <v>80</v>
      </c>
      <c r="F12" s="10" t="s">
        <v>81</v>
      </c>
      <c r="G12" s="5" t="s">
        <v>40</v>
      </c>
      <c r="H12" s="5" t="s">
        <v>82</v>
      </c>
      <c r="I12" s="5"/>
      <c r="J12" s="5" t="s">
        <v>83</v>
      </c>
      <c r="K12" s="5"/>
      <c r="L12" s="9"/>
      <c r="M12" s="9"/>
      <c r="N12" s="11">
        <v>110</v>
      </c>
      <c r="O12" s="8">
        <v>750</v>
      </c>
      <c r="P12" s="7" t="s">
        <v>34</v>
      </c>
      <c r="Q12" s="8" t="s">
        <v>43</v>
      </c>
      <c r="R12" s="5"/>
      <c r="S12" s="9" t="b">
        <v>0</v>
      </c>
      <c r="T12" s="9" t="b">
        <v>0</v>
      </c>
      <c r="U12" s="9" t="b">
        <v>0</v>
      </c>
      <c r="V12" s="9" t="b">
        <v>0</v>
      </c>
      <c r="W12" s="9" t="b">
        <v>0</v>
      </c>
    </row>
    <row r="13" spans="1:23" ht="16" x14ac:dyDescent="0.2">
      <c r="A13" s="4" t="s">
        <v>23</v>
      </c>
      <c r="B13" s="5" t="s">
        <v>24</v>
      </c>
      <c r="C13" s="8">
        <v>1</v>
      </c>
      <c r="D13" s="7">
        <v>2013</v>
      </c>
      <c r="E13" s="8" t="s">
        <v>84</v>
      </c>
      <c r="F13" s="10" t="s">
        <v>85</v>
      </c>
      <c r="G13" s="5" t="s">
        <v>27</v>
      </c>
      <c r="H13" s="5" t="s">
        <v>28</v>
      </c>
      <c r="I13" s="5" t="s">
        <v>29</v>
      </c>
      <c r="J13" s="5" t="s">
        <v>30</v>
      </c>
      <c r="K13" s="8" t="s">
        <v>31</v>
      </c>
      <c r="L13" s="9"/>
      <c r="M13" s="9"/>
      <c r="N13" s="11">
        <v>180</v>
      </c>
      <c r="O13" s="8">
        <v>750</v>
      </c>
      <c r="P13" s="7" t="s">
        <v>34</v>
      </c>
      <c r="Q13" s="12" t="s">
        <v>86</v>
      </c>
      <c r="R13" s="5"/>
      <c r="S13" s="9" t="b">
        <v>0</v>
      </c>
      <c r="T13" s="9" t="b">
        <v>0</v>
      </c>
      <c r="U13" s="9" t="b">
        <v>0</v>
      </c>
      <c r="V13" s="9" t="b">
        <v>0</v>
      </c>
      <c r="W13" s="9" t="b">
        <v>0</v>
      </c>
    </row>
    <row r="14" spans="1:23" ht="16" x14ac:dyDescent="0.2">
      <c r="A14" s="4" t="s">
        <v>23</v>
      </c>
      <c r="B14" s="5" t="s">
        <v>24</v>
      </c>
      <c r="C14" s="8">
        <v>1</v>
      </c>
      <c r="D14" s="7">
        <v>2013</v>
      </c>
      <c r="E14" s="8" t="s">
        <v>87</v>
      </c>
      <c r="F14" s="10" t="s">
        <v>88</v>
      </c>
      <c r="G14" s="5" t="s">
        <v>89</v>
      </c>
      <c r="H14" s="5" t="s">
        <v>82</v>
      </c>
      <c r="I14" s="5" t="s">
        <v>75</v>
      </c>
      <c r="J14" s="5" t="s">
        <v>90</v>
      </c>
      <c r="K14" s="5" t="s">
        <v>91</v>
      </c>
      <c r="L14" s="5" t="s">
        <v>92</v>
      </c>
      <c r="M14" s="5" t="s">
        <v>93</v>
      </c>
      <c r="N14" s="11">
        <v>140</v>
      </c>
      <c r="O14" s="8">
        <v>750</v>
      </c>
      <c r="P14" s="7" t="s">
        <v>53</v>
      </c>
      <c r="Q14" s="15" t="s">
        <v>94</v>
      </c>
      <c r="R14" s="5"/>
      <c r="S14" s="9" t="b">
        <v>0</v>
      </c>
      <c r="T14" s="9" t="b">
        <v>0</v>
      </c>
      <c r="U14" s="9" t="b">
        <v>0</v>
      </c>
      <c r="V14" s="9" t="b">
        <v>0</v>
      </c>
      <c r="W14" s="9" t="b">
        <v>0</v>
      </c>
    </row>
    <row r="15" spans="1:23" ht="16" x14ac:dyDescent="0.2">
      <c r="A15" s="16" t="s">
        <v>23</v>
      </c>
      <c r="B15" s="17" t="s">
        <v>24</v>
      </c>
      <c r="C15" s="17">
        <v>2</v>
      </c>
      <c r="D15" s="18">
        <v>2013</v>
      </c>
      <c r="E15" s="17" t="s">
        <v>95</v>
      </c>
      <c r="F15" s="19" t="s">
        <v>96</v>
      </c>
      <c r="G15" s="17" t="s">
        <v>74</v>
      </c>
      <c r="H15" s="17" t="s">
        <v>28</v>
      </c>
      <c r="I15" s="17" t="s">
        <v>29</v>
      </c>
      <c r="J15" s="17" t="s">
        <v>30</v>
      </c>
      <c r="K15" s="17" t="s">
        <v>97</v>
      </c>
      <c r="L15" s="20"/>
      <c r="M15" s="20"/>
      <c r="N15" s="17">
        <v>75</v>
      </c>
      <c r="O15" s="17">
        <v>750</v>
      </c>
      <c r="P15" s="18" t="s">
        <v>34</v>
      </c>
      <c r="Q15" s="17" t="s">
        <v>98</v>
      </c>
      <c r="R15" s="17"/>
      <c r="S15" s="20" t="b">
        <v>1</v>
      </c>
      <c r="T15" s="20" t="b">
        <v>0</v>
      </c>
      <c r="U15" s="20" t="b">
        <v>0</v>
      </c>
      <c r="V15" s="20" t="b">
        <v>1</v>
      </c>
      <c r="W15" s="20" t="b">
        <v>1</v>
      </c>
    </row>
    <row r="16" spans="1:23" ht="16" x14ac:dyDescent="0.2">
      <c r="A16" s="4" t="s">
        <v>23</v>
      </c>
      <c r="B16" s="5" t="s">
        <v>24</v>
      </c>
      <c r="C16" s="8">
        <v>1</v>
      </c>
      <c r="D16" s="7">
        <v>2013</v>
      </c>
      <c r="E16" s="8" t="s">
        <v>99</v>
      </c>
      <c r="F16" s="10" t="s">
        <v>100</v>
      </c>
      <c r="G16" s="5" t="s">
        <v>27</v>
      </c>
      <c r="H16" s="5" t="s">
        <v>28</v>
      </c>
      <c r="I16" s="5" t="s">
        <v>29</v>
      </c>
      <c r="J16" s="5" t="s">
        <v>30</v>
      </c>
      <c r="K16" s="5" t="s">
        <v>31</v>
      </c>
      <c r="L16" s="8" t="s">
        <v>101</v>
      </c>
      <c r="M16" s="8" t="s">
        <v>102</v>
      </c>
      <c r="N16" s="11">
        <v>140</v>
      </c>
      <c r="O16" s="8">
        <v>750</v>
      </c>
      <c r="P16" s="7" t="s">
        <v>53</v>
      </c>
      <c r="Q16" s="8" t="s">
        <v>86</v>
      </c>
      <c r="R16" s="8"/>
      <c r="S16" s="9" t="b">
        <v>0</v>
      </c>
      <c r="T16" s="9" t="b">
        <v>0</v>
      </c>
      <c r="U16" s="9" t="b">
        <v>0</v>
      </c>
      <c r="V16" s="9" t="b">
        <v>0</v>
      </c>
      <c r="W16" s="9" t="b">
        <v>1</v>
      </c>
    </row>
    <row r="17" spans="1:23" ht="16" x14ac:dyDescent="0.2">
      <c r="A17" s="4" t="s">
        <v>23</v>
      </c>
      <c r="B17" s="5" t="s">
        <v>44</v>
      </c>
      <c r="C17" s="8">
        <v>1</v>
      </c>
      <c r="D17" s="7">
        <v>2013</v>
      </c>
      <c r="E17" s="8" t="s">
        <v>103</v>
      </c>
      <c r="F17" s="10" t="s">
        <v>104</v>
      </c>
      <c r="G17" s="5" t="s">
        <v>40</v>
      </c>
      <c r="H17" s="5" t="s">
        <v>28</v>
      </c>
      <c r="I17" s="5" t="s">
        <v>29</v>
      </c>
      <c r="J17" s="5" t="s">
        <v>30</v>
      </c>
      <c r="K17" s="9"/>
      <c r="L17" s="9"/>
      <c r="M17" s="9"/>
      <c r="N17" s="8">
        <v>115</v>
      </c>
      <c r="O17" s="8">
        <v>750</v>
      </c>
      <c r="P17" s="7" t="s">
        <v>105</v>
      </c>
      <c r="Q17" s="8" t="s">
        <v>48</v>
      </c>
      <c r="R17" s="5"/>
      <c r="S17" s="9" t="b">
        <v>1</v>
      </c>
      <c r="T17" s="9" t="b">
        <v>0</v>
      </c>
      <c r="U17" s="9" t="b">
        <v>0</v>
      </c>
      <c r="V17" s="9" t="b">
        <v>1</v>
      </c>
      <c r="W17" s="9" t="b">
        <v>0</v>
      </c>
    </row>
    <row r="18" spans="1:23" ht="15.75" customHeight="1" x14ac:dyDescent="0.2">
      <c r="A18" s="4" t="s">
        <v>23</v>
      </c>
      <c r="B18" s="5" t="s">
        <v>24</v>
      </c>
      <c r="C18" s="8">
        <v>1</v>
      </c>
      <c r="D18" s="7">
        <v>2016</v>
      </c>
      <c r="E18" s="8" t="s">
        <v>106</v>
      </c>
      <c r="F18" s="10" t="s">
        <v>107</v>
      </c>
      <c r="G18" s="5" t="s">
        <v>74</v>
      </c>
      <c r="H18" s="5" t="s">
        <v>108</v>
      </c>
      <c r="I18" s="5"/>
      <c r="J18" s="5" t="s">
        <v>109</v>
      </c>
      <c r="K18" s="5"/>
      <c r="L18" s="9"/>
      <c r="M18" s="10"/>
      <c r="N18" s="8">
        <v>50</v>
      </c>
      <c r="O18" s="8">
        <v>750</v>
      </c>
      <c r="P18" s="7" t="s">
        <v>34</v>
      </c>
      <c r="Q18" s="8" t="s">
        <v>110</v>
      </c>
      <c r="R18" s="5"/>
      <c r="S18" s="9" t="b">
        <v>1</v>
      </c>
      <c r="T18" s="9" t="b">
        <v>0</v>
      </c>
      <c r="U18" s="9" t="b">
        <v>0</v>
      </c>
      <c r="V18" s="9" t="b">
        <v>0</v>
      </c>
      <c r="W18" s="9" t="b">
        <v>0</v>
      </c>
    </row>
    <row r="19" spans="1:23" ht="16" x14ac:dyDescent="0.2">
      <c r="A19" s="4" t="s">
        <v>23</v>
      </c>
      <c r="B19" s="5" t="s">
        <v>24</v>
      </c>
      <c r="C19" s="8">
        <v>1</v>
      </c>
      <c r="D19" s="7">
        <v>2013</v>
      </c>
      <c r="E19" s="8" t="s">
        <v>99</v>
      </c>
      <c r="F19" s="10" t="s">
        <v>111</v>
      </c>
      <c r="G19" s="5" t="s">
        <v>27</v>
      </c>
      <c r="H19" s="5" t="s">
        <v>28</v>
      </c>
      <c r="I19" s="5" t="s">
        <v>29</v>
      </c>
      <c r="J19" s="5" t="s">
        <v>30</v>
      </c>
      <c r="K19" s="5" t="s">
        <v>31</v>
      </c>
      <c r="L19" s="8" t="s">
        <v>112</v>
      </c>
      <c r="M19" s="8" t="s">
        <v>113</v>
      </c>
      <c r="N19" s="11">
        <v>140</v>
      </c>
      <c r="O19" s="8">
        <v>750</v>
      </c>
      <c r="P19" s="7" t="s">
        <v>53</v>
      </c>
      <c r="Q19" s="8" t="s">
        <v>86</v>
      </c>
      <c r="R19" s="8"/>
      <c r="S19" s="9" t="b">
        <v>0</v>
      </c>
      <c r="T19" s="9" t="b">
        <v>0</v>
      </c>
      <c r="U19" s="9" t="b">
        <v>0</v>
      </c>
      <c r="V19" s="9" t="b">
        <v>0</v>
      </c>
      <c r="W19" s="9" t="b">
        <v>1</v>
      </c>
    </row>
    <row r="20" spans="1:23" ht="16" x14ac:dyDescent="0.2">
      <c r="A20" s="4" t="s">
        <v>23</v>
      </c>
      <c r="B20" s="5" t="s">
        <v>24</v>
      </c>
      <c r="C20" s="8">
        <v>1</v>
      </c>
      <c r="D20" s="7">
        <v>2013</v>
      </c>
      <c r="E20" s="8" t="s">
        <v>25</v>
      </c>
      <c r="F20" s="10" t="s">
        <v>114</v>
      </c>
      <c r="G20" s="5" t="s">
        <v>27</v>
      </c>
      <c r="H20" s="5" t="s">
        <v>28</v>
      </c>
      <c r="I20" s="5" t="s">
        <v>29</v>
      </c>
      <c r="J20" s="5" t="s">
        <v>30</v>
      </c>
      <c r="K20" s="5" t="s">
        <v>31</v>
      </c>
      <c r="L20" s="5" t="s">
        <v>32</v>
      </c>
      <c r="M20" s="5" t="s">
        <v>115</v>
      </c>
      <c r="N20" s="11">
        <v>120</v>
      </c>
      <c r="O20" s="8">
        <v>750</v>
      </c>
      <c r="P20" s="7" t="s">
        <v>34</v>
      </c>
      <c r="Q20" s="8" t="s">
        <v>86</v>
      </c>
      <c r="R20" s="5"/>
      <c r="S20" s="9" t="b">
        <v>0</v>
      </c>
      <c r="T20" s="9" t="b">
        <v>0</v>
      </c>
      <c r="U20" s="9" t="b">
        <v>0</v>
      </c>
      <c r="V20" s="9" t="b">
        <v>0</v>
      </c>
      <c r="W20" s="9" t="b">
        <v>0</v>
      </c>
    </row>
    <row r="21" spans="1:23" ht="16" x14ac:dyDescent="0.2">
      <c r="A21" s="4" t="s">
        <v>23</v>
      </c>
      <c r="B21" s="5" t="s">
        <v>24</v>
      </c>
      <c r="C21" s="8">
        <v>1</v>
      </c>
      <c r="D21" s="7">
        <v>2013</v>
      </c>
      <c r="E21" s="8" t="s">
        <v>80</v>
      </c>
      <c r="F21" s="10" t="s">
        <v>116</v>
      </c>
      <c r="G21" s="5" t="s">
        <v>40</v>
      </c>
      <c r="H21" s="5" t="s">
        <v>82</v>
      </c>
      <c r="I21" s="5"/>
      <c r="J21" s="5" t="s">
        <v>83</v>
      </c>
      <c r="K21" s="5"/>
      <c r="L21" s="9"/>
      <c r="M21" s="9"/>
      <c r="N21" s="11">
        <v>110</v>
      </c>
      <c r="O21" s="8">
        <v>750</v>
      </c>
      <c r="P21" s="7" t="s">
        <v>34</v>
      </c>
      <c r="Q21" s="12" t="s">
        <v>110</v>
      </c>
      <c r="R21" s="5"/>
      <c r="S21" s="9" t="b">
        <v>0</v>
      </c>
      <c r="T21" s="9" t="b">
        <v>0</v>
      </c>
      <c r="U21" s="9" t="b">
        <v>1</v>
      </c>
      <c r="V21" s="9" t="b">
        <v>0</v>
      </c>
      <c r="W21" s="9" t="b">
        <v>0</v>
      </c>
    </row>
    <row r="22" spans="1:23" ht="15.75" customHeight="1" x14ac:dyDescent="0.2">
      <c r="A22" s="4" t="s">
        <v>23</v>
      </c>
      <c r="B22" s="5" t="s">
        <v>24</v>
      </c>
      <c r="C22" s="8">
        <v>1</v>
      </c>
      <c r="D22" s="7">
        <v>2013</v>
      </c>
      <c r="E22" s="8" t="s">
        <v>99</v>
      </c>
      <c r="F22" s="10" t="s">
        <v>117</v>
      </c>
      <c r="G22" s="5" t="s">
        <v>27</v>
      </c>
      <c r="H22" s="5" t="s">
        <v>28</v>
      </c>
      <c r="I22" s="5" t="s">
        <v>29</v>
      </c>
      <c r="J22" s="5" t="s">
        <v>30</v>
      </c>
      <c r="K22" s="5" t="s">
        <v>31</v>
      </c>
      <c r="L22" s="8"/>
      <c r="M22" s="8"/>
      <c r="N22" s="11">
        <v>100</v>
      </c>
      <c r="O22" s="8">
        <v>750</v>
      </c>
      <c r="P22" s="7" t="s">
        <v>105</v>
      </c>
      <c r="Q22" s="8" t="s">
        <v>98</v>
      </c>
      <c r="R22" s="8"/>
      <c r="S22" s="9" t="b">
        <v>0</v>
      </c>
      <c r="T22" s="9" t="b">
        <v>0</v>
      </c>
      <c r="U22" s="9" t="b">
        <v>0</v>
      </c>
      <c r="V22" s="9" t="b">
        <v>0</v>
      </c>
      <c r="W22" s="9" t="b">
        <v>0</v>
      </c>
    </row>
    <row r="23" spans="1:23" ht="15.75" customHeight="1" x14ac:dyDescent="0.2">
      <c r="A23" s="4" t="s">
        <v>23</v>
      </c>
      <c r="B23" s="5" t="s">
        <v>24</v>
      </c>
      <c r="C23" s="8">
        <v>1</v>
      </c>
      <c r="D23" s="7">
        <v>2013</v>
      </c>
      <c r="E23" s="8" t="s">
        <v>118</v>
      </c>
      <c r="F23" s="10" t="s">
        <v>119</v>
      </c>
      <c r="G23" s="5" t="s">
        <v>89</v>
      </c>
      <c r="H23" s="5" t="s">
        <v>82</v>
      </c>
      <c r="I23" s="5" t="s">
        <v>75</v>
      </c>
      <c r="J23" s="5" t="s">
        <v>90</v>
      </c>
      <c r="K23" s="5" t="s">
        <v>91</v>
      </c>
      <c r="L23" s="5" t="s">
        <v>92</v>
      </c>
      <c r="M23" s="5" t="s">
        <v>93</v>
      </c>
      <c r="N23" s="11">
        <v>99</v>
      </c>
      <c r="O23" s="8">
        <v>750</v>
      </c>
      <c r="P23" s="7" t="s">
        <v>34</v>
      </c>
      <c r="Q23" s="8" t="s">
        <v>35</v>
      </c>
      <c r="R23" s="5"/>
      <c r="S23" s="9" t="b">
        <v>0</v>
      </c>
      <c r="T23" s="9" t="b">
        <v>0</v>
      </c>
      <c r="U23" s="9" t="b">
        <v>1</v>
      </c>
      <c r="V23" s="9" t="b">
        <v>0</v>
      </c>
      <c r="W23" s="9" t="b">
        <v>0</v>
      </c>
    </row>
    <row r="24" spans="1:23" ht="15.75" customHeight="1" x14ac:dyDescent="0.2">
      <c r="A24" s="4" t="s">
        <v>23</v>
      </c>
      <c r="B24" s="5" t="s">
        <v>24</v>
      </c>
      <c r="C24" s="8">
        <v>1</v>
      </c>
      <c r="D24" s="7">
        <v>2013</v>
      </c>
      <c r="E24" s="8" t="s">
        <v>99</v>
      </c>
      <c r="F24" s="10" t="s">
        <v>120</v>
      </c>
      <c r="G24" s="5" t="s">
        <v>27</v>
      </c>
      <c r="H24" s="5" t="s">
        <v>28</v>
      </c>
      <c r="I24" s="5" t="s">
        <v>29</v>
      </c>
      <c r="J24" s="5" t="s">
        <v>30</v>
      </c>
      <c r="K24" s="8" t="s">
        <v>31</v>
      </c>
      <c r="L24" s="5" t="s">
        <v>121</v>
      </c>
      <c r="M24" s="9"/>
      <c r="N24" s="8">
        <v>120</v>
      </c>
      <c r="O24" s="8">
        <v>750</v>
      </c>
      <c r="P24" s="7" t="s">
        <v>34</v>
      </c>
      <c r="Q24" s="8" t="s">
        <v>98</v>
      </c>
      <c r="R24" s="5"/>
      <c r="S24" s="9" t="b">
        <v>1</v>
      </c>
      <c r="T24" s="9" t="b">
        <v>0</v>
      </c>
      <c r="U24" s="9" t="b">
        <v>0</v>
      </c>
      <c r="V24" s="9" t="b">
        <v>0</v>
      </c>
      <c r="W24" s="9" t="b">
        <v>0</v>
      </c>
    </row>
    <row r="25" spans="1:23" ht="16" x14ac:dyDescent="0.2">
      <c r="A25" s="4" t="s">
        <v>23</v>
      </c>
      <c r="B25" s="5" t="s">
        <v>24</v>
      </c>
      <c r="C25" s="8">
        <v>1</v>
      </c>
      <c r="D25" s="7">
        <v>2013</v>
      </c>
      <c r="E25" s="8" t="s">
        <v>122</v>
      </c>
      <c r="F25" s="10" t="s">
        <v>123</v>
      </c>
      <c r="G25" s="5" t="s">
        <v>27</v>
      </c>
      <c r="H25" s="5" t="s">
        <v>28</v>
      </c>
      <c r="I25" s="5" t="s">
        <v>29</v>
      </c>
      <c r="J25" s="5" t="s">
        <v>30</v>
      </c>
      <c r="K25" s="8" t="s">
        <v>31</v>
      </c>
      <c r="L25" s="5" t="s">
        <v>32</v>
      </c>
      <c r="M25" s="5" t="s">
        <v>124</v>
      </c>
      <c r="N25" s="11">
        <v>90</v>
      </c>
      <c r="O25" s="8">
        <v>750</v>
      </c>
      <c r="P25" s="7" t="s">
        <v>34</v>
      </c>
      <c r="Q25" s="8" t="s">
        <v>86</v>
      </c>
      <c r="R25" s="5"/>
      <c r="S25" s="9" t="b">
        <v>0</v>
      </c>
      <c r="T25" s="9" t="b">
        <v>0</v>
      </c>
      <c r="U25" s="9" t="b">
        <v>0</v>
      </c>
      <c r="V25" s="9" t="b">
        <v>0</v>
      </c>
      <c r="W25" s="9" t="b">
        <v>0</v>
      </c>
    </row>
    <row r="26" spans="1:23" ht="15.75" customHeight="1" x14ac:dyDescent="0.2">
      <c r="A26" s="4" t="s">
        <v>23</v>
      </c>
      <c r="B26" s="5" t="s">
        <v>24</v>
      </c>
      <c r="C26" s="8">
        <v>1</v>
      </c>
      <c r="D26" s="7">
        <v>2013</v>
      </c>
      <c r="E26" s="8" t="s">
        <v>84</v>
      </c>
      <c r="F26" s="10">
        <v>1873</v>
      </c>
      <c r="G26" s="5" t="s">
        <v>27</v>
      </c>
      <c r="H26" s="5" t="s">
        <v>28</v>
      </c>
      <c r="I26" s="5" t="s">
        <v>29</v>
      </c>
      <c r="J26" s="5" t="s">
        <v>30</v>
      </c>
      <c r="K26" s="8" t="s">
        <v>31</v>
      </c>
      <c r="L26" s="9"/>
      <c r="M26" s="9"/>
      <c r="N26" s="8">
        <v>85</v>
      </c>
      <c r="O26" s="8">
        <v>750</v>
      </c>
      <c r="P26" s="7" t="s">
        <v>105</v>
      </c>
      <c r="Q26" s="8" t="s">
        <v>125</v>
      </c>
      <c r="R26" s="5"/>
      <c r="S26" s="9" t="b">
        <v>1</v>
      </c>
      <c r="T26" s="9" t="b">
        <v>0</v>
      </c>
      <c r="U26" s="9" t="b">
        <v>0</v>
      </c>
      <c r="V26" s="9" t="b">
        <v>0</v>
      </c>
      <c r="W26" s="9" t="b">
        <v>1</v>
      </c>
    </row>
    <row r="27" spans="1:23" ht="15.75" customHeight="1" x14ac:dyDescent="0.2">
      <c r="A27" s="12" t="s">
        <v>23</v>
      </c>
      <c r="B27" s="8" t="s">
        <v>24</v>
      </c>
      <c r="C27" s="8">
        <v>1</v>
      </c>
      <c r="D27" s="7">
        <v>2013</v>
      </c>
      <c r="E27" s="8" t="s">
        <v>99</v>
      </c>
      <c r="F27" s="10" t="s">
        <v>126</v>
      </c>
      <c r="G27" s="8" t="s">
        <v>27</v>
      </c>
      <c r="H27" s="8" t="s">
        <v>28</v>
      </c>
      <c r="I27" s="8" t="s">
        <v>29</v>
      </c>
      <c r="J27" s="8" t="s">
        <v>30</v>
      </c>
      <c r="K27" s="8" t="s">
        <v>31</v>
      </c>
      <c r="L27" s="8" t="s">
        <v>126</v>
      </c>
      <c r="M27" s="13"/>
      <c r="N27" s="11">
        <v>55</v>
      </c>
      <c r="O27" s="8">
        <v>750</v>
      </c>
      <c r="P27" s="7" t="s">
        <v>105</v>
      </c>
      <c r="Q27" s="8" t="s">
        <v>86</v>
      </c>
      <c r="R27" s="8"/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1</v>
      </c>
    </row>
    <row r="28" spans="1:23" ht="15" customHeight="1" x14ac:dyDescent="0.2">
      <c r="A28" s="12" t="s">
        <v>23</v>
      </c>
      <c r="B28" s="8" t="s">
        <v>24</v>
      </c>
      <c r="C28" s="8">
        <v>1</v>
      </c>
      <c r="D28" s="7">
        <v>2013</v>
      </c>
      <c r="E28" s="8" t="s">
        <v>127</v>
      </c>
      <c r="F28" s="10" t="s">
        <v>128</v>
      </c>
      <c r="G28" s="8" t="s">
        <v>129</v>
      </c>
      <c r="H28" s="8" t="s">
        <v>28</v>
      </c>
      <c r="I28" s="8" t="s">
        <v>29</v>
      </c>
      <c r="J28" s="8" t="s">
        <v>30</v>
      </c>
      <c r="K28" s="8" t="s">
        <v>130</v>
      </c>
      <c r="L28" s="13"/>
      <c r="M28" s="8" t="s">
        <v>131</v>
      </c>
      <c r="N28" s="11">
        <v>50</v>
      </c>
      <c r="O28" s="8">
        <v>750</v>
      </c>
      <c r="P28" s="7" t="s">
        <v>105</v>
      </c>
      <c r="Q28" s="8" t="s">
        <v>132</v>
      </c>
      <c r="R28" s="8"/>
      <c r="S28" s="13" t="b">
        <v>1</v>
      </c>
      <c r="T28" s="13" t="b">
        <v>1</v>
      </c>
      <c r="U28" s="13" t="b">
        <v>0</v>
      </c>
      <c r="V28" s="13" t="b">
        <v>1</v>
      </c>
      <c r="W28" s="13" t="b">
        <v>1</v>
      </c>
    </row>
    <row r="29" spans="1:23" ht="15.75" customHeight="1" x14ac:dyDescent="0.2">
      <c r="A29" s="4" t="s">
        <v>23</v>
      </c>
      <c r="B29" s="5" t="s">
        <v>24</v>
      </c>
      <c r="C29" s="8">
        <v>1</v>
      </c>
      <c r="D29" s="7">
        <v>2013</v>
      </c>
      <c r="E29" s="8" t="s">
        <v>95</v>
      </c>
      <c r="F29" s="10" t="s">
        <v>96</v>
      </c>
      <c r="G29" s="5" t="s">
        <v>74</v>
      </c>
      <c r="H29" s="5" t="s">
        <v>28</v>
      </c>
      <c r="I29" s="5" t="s">
        <v>29</v>
      </c>
      <c r="J29" s="5" t="s">
        <v>30</v>
      </c>
      <c r="K29" s="8" t="s">
        <v>97</v>
      </c>
      <c r="L29" s="9"/>
      <c r="M29" s="9"/>
      <c r="N29" s="8">
        <v>75</v>
      </c>
      <c r="O29" s="8">
        <v>750</v>
      </c>
      <c r="P29" s="7" t="s">
        <v>34</v>
      </c>
      <c r="Q29" s="8" t="s">
        <v>66</v>
      </c>
      <c r="R29" s="5"/>
      <c r="S29" s="9" t="b">
        <v>1</v>
      </c>
      <c r="T29" s="9" t="b">
        <v>0</v>
      </c>
      <c r="U29" s="9" t="b">
        <v>0</v>
      </c>
      <c r="V29" s="9" t="b">
        <v>0</v>
      </c>
      <c r="W29" s="9" t="b">
        <v>0</v>
      </c>
    </row>
    <row r="30" spans="1:23" ht="15.75" customHeight="1" x14ac:dyDescent="0.2">
      <c r="A30" s="4" t="s">
        <v>23</v>
      </c>
      <c r="B30" s="5" t="s">
        <v>24</v>
      </c>
      <c r="C30" s="8">
        <v>2</v>
      </c>
      <c r="D30" s="7">
        <v>2013</v>
      </c>
      <c r="E30" s="8" t="s">
        <v>133</v>
      </c>
      <c r="F30" s="10" t="s">
        <v>134</v>
      </c>
      <c r="G30" s="5" t="s">
        <v>40</v>
      </c>
      <c r="H30" s="5" t="s">
        <v>51</v>
      </c>
      <c r="I30" s="5"/>
      <c r="J30" s="5"/>
      <c r="K30" s="9"/>
      <c r="L30" s="10" t="s">
        <v>135</v>
      </c>
      <c r="M30" s="9"/>
      <c r="N30" s="11">
        <v>40</v>
      </c>
      <c r="O30" s="8">
        <v>500</v>
      </c>
      <c r="P30" s="7" t="s">
        <v>34</v>
      </c>
      <c r="Q30" s="8" t="s">
        <v>136</v>
      </c>
      <c r="R30" s="5" t="s">
        <v>55</v>
      </c>
      <c r="S30" s="9" t="b">
        <v>0</v>
      </c>
      <c r="T30" s="9" t="b">
        <v>0</v>
      </c>
      <c r="U30" s="9" t="b">
        <v>0</v>
      </c>
      <c r="V30" s="9" t="b">
        <v>0</v>
      </c>
      <c r="W30" s="9" t="b">
        <v>0</v>
      </c>
    </row>
    <row r="31" spans="1:23" ht="16" x14ac:dyDescent="0.2">
      <c r="A31" s="4" t="s">
        <v>23</v>
      </c>
      <c r="B31" s="5" t="s">
        <v>24</v>
      </c>
      <c r="C31" s="8">
        <v>1</v>
      </c>
      <c r="D31" s="7">
        <v>2005</v>
      </c>
      <c r="E31" s="8" t="s">
        <v>137</v>
      </c>
      <c r="F31" s="10" t="s">
        <v>138</v>
      </c>
      <c r="G31" s="5" t="s">
        <v>139</v>
      </c>
      <c r="H31" s="5" t="s">
        <v>41</v>
      </c>
      <c r="I31" s="21"/>
      <c r="J31" s="5" t="s">
        <v>140</v>
      </c>
      <c r="K31" s="5" t="s">
        <v>141</v>
      </c>
      <c r="L31" s="8"/>
      <c r="M31" s="8"/>
      <c r="N31" s="8">
        <v>65</v>
      </c>
      <c r="O31" s="8">
        <v>1500</v>
      </c>
      <c r="P31" s="7" t="s">
        <v>47</v>
      </c>
      <c r="Q31" s="8" t="s">
        <v>62</v>
      </c>
      <c r="R31" s="8" t="s">
        <v>142</v>
      </c>
      <c r="S31" s="9" t="b">
        <v>1</v>
      </c>
      <c r="T31" s="9" t="b">
        <v>1</v>
      </c>
      <c r="U31" s="9" t="b">
        <v>0</v>
      </c>
      <c r="V31" s="9" t="b">
        <v>0</v>
      </c>
      <c r="W31" s="9" t="b">
        <v>0</v>
      </c>
    </row>
    <row r="32" spans="1:23" ht="16" x14ac:dyDescent="0.2">
      <c r="A32" s="4" t="s">
        <v>23</v>
      </c>
      <c r="B32" s="5" t="s">
        <v>24</v>
      </c>
      <c r="C32" s="8">
        <v>1</v>
      </c>
      <c r="D32" s="7">
        <v>2014</v>
      </c>
      <c r="E32" s="8" t="s">
        <v>143</v>
      </c>
      <c r="F32" s="10" t="s">
        <v>144</v>
      </c>
      <c r="G32" s="5" t="s">
        <v>145</v>
      </c>
      <c r="H32" s="5" t="s">
        <v>41</v>
      </c>
      <c r="I32" s="5"/>
      <c r="J32" s="5" t="s">
        <v>146</v>
      </c>
      <c r="K32" s="5" t="s">
        <v>147</v>
      </c>
      <c r="L32" s="9"/>
      <c r="M32" s="9"/>
      <c r="N32" s="11">
        <v>215</v>
      </c>
      <c r="O32" s="8">
        <v>750</v>
      </c>
      <c r="P32" s="7" t="s">
        <v>34</v>
      </c>
      <c r="Q32" s="8" t="s">
        <v>43</v>
      </c>
      <c r="R32" s="5"/>
      <c r="S32" s="9" t="b">
        <v>0</v>
      </c>
      <c r="T32" s="9" t="b">
        <v>0</v>
      </c>
      <c r="U32" s="9" t="b">
        <v>0</v>
      </c>
      <c r="V32" s="9" t="b">
        <v>0</v>
      </c>
      <c r="W32" s="9" t="b">
        <v>0</v>
      </c>
    </row>
    <row r="33" spans="1:23" ht="16" x14ac:dyDescent="0.2">
      <c r="A33" s="4" t="s">
        <v>23</v>
      </c>
      <c r="B33" s="5" t="s">
        <v>24</v>
      </c>
      <c r="C33" s="8">
        <v>2</v>
      </c>
      <c r="D33" s="7">
        <v>2014</v>
      </c>
      <c r="E33" s="8" t="s">
        <v>80</v>
      </c>
      <c r="F33" s="10" t="s">
        <v>148</v>
      </c>
      <c r="G33" s="5" t="s">
        <v>40</v>
      </c>
      <c r="H33" s="5" t="s">
        <v>82</v>
      </c>
      <c r="I33" s="5"/>
      <c r="J33" s="5" t="s">
        <v>83</v>
      </c>
      <c r="K33" s="5"/>
      <c r="L33" s="9"/>
      <c r="M33" s="9"/>
      <c r="N33" s="11">
        <v>155</v>
      </c>
      <c r="O33" s="8">
        <v>750</v>
      </c>
      <c r="P33" s="7" t="s">
        <v>34</v>
      </c>
      <c r="Q33" s="14" t="s">
        <v>94</v>
      </c>
      <c r="R33" s="5"/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</row>
    <row r="34" spans="1:23" ht="16" x14ac:dyDescent="0.2">
      <c r="A34" s="4" t="s">
        <v>23</v>
      </c>
      <c r="B34" s="5" t="s">
        <v>44</v>
      </c>
      <c r="C34" s="8">
        <v>1</v>
      </c>
      <c r="D34" s="7">
        <v>2008</v>
      </c>
      <c r="E34" s="8" t="s">
        <v>149</v>
      </c>
      <c r="F34" s="10" t="s">
        <v>150</v>
      </c>
      <c r="G34" s="5" t="s">
        <v>40</v>
      </c>
      <c r="H34" s="5" t="s">
        <v>28</v>
      </c>
      <c r="I34" s="5" t="s">
        <v>29</v>
      </c>
      <c r="J34" s="5" t="s">
        <v>30</v>
      </c>
      <c r="K34" s="8"/>
      <c r="L34" s="8"/>
      <c r="M34" s="8"/>
      <c r="N34" s="8">
        <v>80</v>
      </c>
      <c r="O34" s="8">
        <v>750</v>
      </c>
      <c r="P34" s="7" t="s">
        <v>105</v>
      </c>
      <c r="Q34" s="8" t="s">
        <v>151</v>
      </c>
      <c r="R34" s="8"/>
      <c r="S34" s="9" t="b">
        <v>1</v>
      </c>
      <c r="T34" s="9" t="b">
        <v>1</v>
      </c>
      <c r="U34" s="9" t="b">
        <v>0</v>
      </c>
      <c r="V34" s="9" t="b">
        <v>0</v>
      </c>
      <c r="W34" s="9" t="b">
        <v>0</v>
      </c>
    </row>
    <row r="35" spans="1:23" ht="15.75" customHeight="1" x14ac:dyDescent="0.2">
      <c r="A35" s="4" t="s">
        <v>23</v>
      </c>
      <c r="B35" s="5" t="s">
        <v>24</v>
      </c>
      <c r="C35" s="8">
        <v>1</v>
      </c>
      <c r="D35" s="7">
        <v>2014</v>
      </c>
      <c r="E35" s="8" t="s">
        <v>84</v>
      </c>
      <c r="F35" s="10" t="s">
        <v>152</v>
      </c>
      <c r="G35" s="5" t="s">
        <v>27</v>
      </c>
      <c r="H35" s="5" t="s">
        <v>28</v>
      </c>
      <c r="I35" s="5" t="s">
        <v>29</v>
      </c>
      <c r="J35" s="5" t="s">
        <v>30</v>
      </c>
      <c r="K35" s="5" t="s">
        <v>31</v>
      </c>
      <c r="L35" s="8"/>
      <c r="M35" s="8"/>
      <c r="N35" s="8">
        <v>150</v>
      </c>
      <c r="O35" s="8">
        <v>750</v>
      </c>
      <c r="P35" s="7" t="s">
        <v>34</v>
      </c>
      <c r="Q35" s="8" t="s">
        <v>98</v>
      </c>
      <c r="R35" s="8"/>
      <c r="S35" s="9" t="b">
        <v>1</v>
      </c>
      <c r="T35" s="9" t="b">
        <v>1</v>
      </c>
      <c r="U35" s="9" t="b">
        <v>0</v>
      </c>
      <c r="V35" s="9" t="b">
        <v>0</v>
      </c>
      <c r="W35" s="9" t="b">
        <v>1</v>
      </c>
    </row>
    <row r="36" spans="1:23" ht="15.75" customHeight="1" x14ac:dyDescent="0.2">
      <c r="A36" s="4" t="s">
        <v>23</v>
      </c>
      <c r="B36" s="5" t="s">
        <v>24</v>
      </c>
      <c r="C36" s="8">
        <v>1</v>
      </c>
      <c r="D36" s="7">
        <v>2014</v>
      </c>
      <c r="E36" s="8" t="s">
        <v>99</v>
      </c>
      <c r="F36" s="10" t="s">
        <v>121</v>
      </c>
      <c r="G36" s="5" t="s">
        <v>27</v>
      </c>
      <c r="H36" s="5" t="s">
        <v>28</v>
      </c>
      <c r="I36" s="5" t="s">
        <v>29</v>
      </c>
      <c r="J36" s="5" t="s">
        <v>30</v>
      </c>
      <c r="K36" s="8" t="s">
        <v>31</v>
      </c>
      <c r="L36" s="5" t="s">
        <v>121</v>
      </c>
      <c r="M36" s="9"/>
      <c r="N36" s="8">
        <v>120</v>
      </c>
      <c r="O36" s="8">
        <v>750</v>
      </c>
      <c r="P36" s="7" t="s">
        <v>34</v>
      </c>
      <c r="Q36" s="8" t="s">
        <v>98</v>
      </c>
      <c r="R36" s="5"/>
      <c r="S36" s="9" t="b">
        <v>1</v>
      </c>
      <c r="T36" s="9" t="b">
        <v>1</v>
      </c>
      <c r="U36" s="9" t="b">
        <v>0</v>
      </c>
      <c r="V36" s="9" t="b">
        <v>0</v>
      </c>
      <c r="W36" s="9" t="b">
        <v>1</v>
      </c>
    </row>
    <row r="37" spans="1:23" ht="16" x14ac:dyDescent="0.2">
      <c r="A37" s="4" t="s">
        <v>153</v>
      </c>
      <c r="B37" s="5" t="s">
        <v>24</v>
      </c>
      <c r="C37" s="8">
        <v>1</v>
      </c>
      <c r="D37" s="7">
        <v>2014</v>
      </c>
      <c r="E37" s="8" t="s">
        <v>154</v>
      </c>
      <c r="F37" s="10" t="s">
        <v>155</v>
      </c>
      <c r="G37" s="5" t="s">
        <v>156</v>
      </c>
      <c r="H37" s="5" t="s">
        <v>28</v>
      </c>
      <c r="I37" s="5" t="s">
        <v>29</v>
      </c>
      <c r="J37" s="5" t="s">
        <v>30</v>
      </c>
      <c r="K37" s="5" t="s">
        <v>31</v>
      </c>
      <c r="L37" s="9"/>
      <c r="M37" s="5" t="s">
        <v>157</v>
      </c>
      <c r="N37" s="8">
        <v>300</v>
      </c>
      <c r="O37" s="8">
        <v>1500</v>
      </c>
      <c r="P37" s="7" t="s">
        <v>34</v>
      </c>
      <c r="Q37" s="8" t="s">
        <v>62</v>
      </c>
      <c r="R37" s="5"/>
      <c r="S37" s="9" t="b">
        <v>0</v>
      </c>
      <c r="T37" s="9" t="b">
        <v>0</v>
      </c>
      <c r="U37" s="9" t="b">
        <v>0</v>
      </c>
      <c r="V37" s="9" t="b">
        <v>0</v>
      </c>
      <c r="W37" s="9" t="b">
        <v>1</v>
      </c>
    </row>
    <row r="38" spans="1:23" ht="15.75" customHeight="1" x14ac:dyDescent="0.2">
      <c r="A38" s="4" t="s">
        <v>23</v>
      </c>
      <c r="B38" s="5" t="s">
        <v>24</v>
      </c>
      <c r="C38" s="8">
        <v>1</v>
      </c>
      <c r="D38" s="7">
        <v>2010</v>
      </c>
      <c r="E38" s="8" t="s">
        <v>158</v>
      </c>
      <c r="F38" s="10" t="s">
        <v>159</v>
      </c>
      <c r="G38" s="5" t="s">
        <v>74</v>
      </c>
      <c r="H38" s="5" t="s">
        <v>41</v>
      </c>
      <c r="I38" s="5" t="s">
        <v>75</v>
      </c>
      <c r="J38" s="5" t="s">
        <v>146</v>
      </c>
      <c r="K38" s="5" t="s">
        <v>160</v>
      </c>
      <c r="L38" s="9"/>
      <c r="M38" s="9"/>
      <c r="N38" s="8">
        <v>90</v>
      </c>
      <c r="O38" s="8">
        <v>750</v>
      </c>
      <c r="P38" s="7" t="s">
        <v>34</v>
      </c>
      <c r="Q38" s="8" t="s">
        <v>161</v>
      </c>
      <c r="R38" s="5"/>
      <c r="S38" s="9" t="b">
        <v>1</v>
      </c>
      <c r="T38" s="9" t="b">
        <v>0</v>
      </c>
      <c r="U38" s="9" t="b">
        <v>0</v>
      </c>
      <c r="V38" s="9" t="b">
        <v>1</v>
      </c>
      <c r="W38" s="9" t="b">
        <v>0</v>
      </c>
    </row>
    <row r="39" spans="1:23" ht="15.75" customHeight="1" x14ac:dyDescent="0.2">
      <c r="A39" s="4" t="s">
        <v>23</v>
      </c>
      <c r="B39" s="5" t="s">
        <v>44</v>
      </c>
      <c r="C39" s="8">
        <v>1</v>
      </c>
      <c r="D39" s="7">
        <v>2012</v>
      </c>
      <c r="E39" s="8" t="s">
        <v>103</v>
      </c>
      <c r="F39" s="10" t="s">
        <v>162</v>
      </c>
      <c r="G39" s="5" t="s">
        <v>40</v>
      </c>
      <c r="H39" s="5" t="s">
        <v>28</v>
      </c>
      <c r="I39" s="5" t="s">
        <v>29</v>
      </c>
      <c r="J39" s="5" t="s">
        <v>30</v>
      </c>
      <c r="K39" s="9"/>
      <c r="L39" s="9"/>
      <c r="M39" s="9"/>
      <c r="N39" s="8">
        <v>57</v>
      </c>
      <c r="O39" s="8">
        <v>750</v>
      </c>
      <c r="P39" s="7" t="s">
        <v>34</v>
      </c>
      <c r="Q39" s="8" t="s">
        <v>48</v>
      </c>
      <c r="R39" s="5"/>
      <c r="S39" s="9" t="b">
        <v>1</v>
      </c>
      <c r="T39" s="9" t="b">
        <v>1</v>
      </c>
      <c r="U39" s="9" t="b">
        <v>0</v>
      </c>
      <c r="V39" s="9" t="b">
        <v>0</v>
      </c>
      <c r="W39" s="9" t="b">
        <v>0</v>
      </c>
    </row>
    <row r="40" spans="1:23" ht="16" x14ac:dyDescent="0.2">
      <c r="A40" s="4" t="s">
        <v>23</v>
      </c>
      <c r="B40" s="5" t="s">
        <v>24</v>
      </c>
      <c r="C40" s="8">
        <v>1</v>
      </c>
      <c r="D40" s="7">
        <v>2014</v>
      </c>
      <c r="E40" s="8" t="s">
        <v>80</v>
      </c>
      <c r="F40" s="10" t="s">
        <v>116</v>
      </c>
      <c r="G40" s="5" t="s">
        <v>40</v>
      </c>
      <c r="H40" s="5" t="s">
        <v>82</v>
      </c>
      <c r="I40" s="5"/>
      <c r="J40" s="5" t="s">
        <v>83</v>
      </c>
      <c r="K40" s="5"/>
      <c r="L40" s="9"/>
      <c r="M40" s="9"/>
      <c r="N40" s="11">
        <v>110</v>
      </c>
      <c r="O40" s="8">
        <v>750</v>
      </c>
      <c r="P40" s="7" t="s">
        <v>34</v>
      </c>
      <c r="Q40" s="14" t="s">
        <v>94</v>
      </c>
      <c r="R40" s="5"/>
      <c r="S40" s="9" t="b">
        <v>0</v>
      </c>
      <c r="T40" s="9" t="b">
        <v>0</v>
      </c>
      <c r="U40" s="9" t="b">
        <v>0</v>
      </c>
      <c r="V40" s="9" t="b">
        <v>0</v>
      </c>
      <c r="W40" s="9" t="b">
        <v>0</v>
      </c>
    </row>
    <row r="41" spans="1:23" ht="16" x14ac:dyDescent="0.2">
      <c r="A41" s="4" t="s">
        <v>23</v>
      </c>
      <c r="B41" s="5" t="s">
        <v>24</v>
      </c>
      <c r="C41" s="8">
        <v>1</v>
      </c>
      <c r="D41" s="7">
        <v>2014</v>
      </c>
      <c r="E41" s="8" t="s">
        <v>99</v>
      </c>
      <c r="F41" s="10" t="s">
        <v>100</v>
      </c>
      <c r="G41" s="5" t="s">
        <v>27</v>
      </c>
      <c r="H41" s="5" t="s">
        <v>28</v>
      </c>
      <c r="I41" s="5" t="s">
        <v>29</v>
      </c>
      <c r="J41" s="5" t="s">
        <v>30</v>
      </c>
      <c r="K41" s="5" t="s">
        <v>31</v>
      </c>
      <c r="L41" s="8" t="s">
        <v>101</v>
      </c>
      <c r="M41" s="8" t="s">
        <v>102</v>
      </c>
      <c r="N41" s="8">
        <v>140</v>
      </c>
      <c r="O41" s="8">
        <v>750</v>
      </c>
      <c r="P41" s="7" t="s">
        <v>34</v>
      </c>
      <c r="Q41" s="12" t="s">
        <v>98</v>
      </c>
      <c r="R41" s="8"/>
      <c r="S41" s="9" t="b">
        <v>1</v>
      </c>
      <c r="T41" s="9" t="b">
        <v>1</v>
      </c>
      <c r="U41" s="9" t="b">
        <v>0</v>
      </c>
      <c r="V41" s="9" t="b">
        <v>0</v>
      </c>
      <c r="W41" s="9" t="b">
        <v>1</v>
      </c>
    </row>
    <row r="42" spans="1:23" ht="15.75" customHeight="1" x14ac:dyDescent="0.2">
      <c r="A42" s="4" t="s">
        <v>23</v>
      </c>
      <c r="B42" s="5" t="s">
        <v>24</v>
      </c>
      <c r="C42" s="6">
        <v>2</v>
      </c>
      <c r="D42" s="7">
        <v>2014</v>
      </c>
      <c r="E42" s="8" t="s">
        <v>163</v>
      </c>
      <c r="F42" s="8" t="s">
        <v>164</v>
      </c>
      <c r="G42" s="5" t="s">
        <v>74</v>
      </c>
      <c r="H42" s="5" t="s">
        <v>28</v>
      </c>
      <c r="I42" s="5" t="s">
        <v>58</v>
      </c>
      <c r="J42" s="5" t="s">
        <v>59</v>
      </c>
      <c r="K42" s="5" t="s">
        <v>165</v>
      </c>
      <c r="L42" s="5" t="s">
        <v>165</v>
      </c>
      <c r="M42" s="5" t="s">
        <v>166</v>
      </c>
      <c r="N42" s="6">
        <v>110</v>
      </c>
      <c r="O42" s="8">
        <v>750</v>
      </c>
      <c r="P42" s="7" t="s">
        <v>105</v>
      </c>
      <c r="Q42" s="8" t="s">
        <v>167</v>
      </c>
      <c r="R42" s="5"/>
      <c r="S42" s="9" t="b">
        <v>1</v>
      </c>
      <c r="T42" s="9" t="b">
        <v>1</v>
      </c>
      <c r="U42" s="9" t="b">
        <v>0</v>
      </c>
      <c r="V42" s="9" t="b">
        <v>0</v>
      </c>
      <c r="W42" s="9" t="b">
        <v>0</v>
      </c>
    </row>
    <row r="43" spans="1:23" ht="16" x14ac:dyDescent="0.2">
      <c r="A43" s="4" t="s">
        <v>23</v>
      </c>
      <c r="B43" s="5" t="s">
        <v>24</v>
      </c>
      <c r="C43" s="8">
        <v>1</v>
      </c>
      <c r="D43" s="7">
        <v>2014</v>
      </c>
      <c r="E43" s="8" t="s">
        <v>95</v>
      </c>
      <c r="F43" s="10" t="s">
        <v>168</v>
      </c>
      <c r="G43" s="5" t="s">
        <v>74</v>
      </c>
      <c r="H43" s="5" t="s">
        <v>28</v>
      </c>
      <c r="I43" s="5" t="s">
        <v>29</v>
      </c>
      <c r="J43" s="5" t="s">
        <v>30</v>
      </c>
      <c r="K43" s="8" t="s">
        <v>97</v>
      </c>
      <c r="L43" s="9"/>
      <c r="M43" s="9"/>
      <c r="N43" s="11">
        <v>50</v>
      </c>
      <c r="O43" s="8">
        <v>750</v>
      </c>
      <c r="P43" s="7" t="s">
        <v>105</v>
      </c>
      <c r="Q43" s="8" t="s">
        <v>125</v>
      </c>
      <c r="R43" s="5"/>
      <c r="S43" s="9" t="b">
        <v>0</v>
      </c>
      <c r="T43" s="9" t="b">
        <v>0</v>
      </c>
      <c r="U43" s="9" t="b">
        <v>1</v>
      </c>
      <c r="V43" s="9" t="b">
        <v>0</v>
      </c>
      <c r="W43" s="9" t="b">
        <v>1</v>
      </c>
    </row>
    <row r="44" spans="1:23" ht="15.75" customHeight="1" x14ac:dyDescent="0.2">
      <c r="A44" s="16" t="s">
        <v>23</v>
      </c>
      <c r="B44" s="17" t="s">
        <v>24</v>
      </c>
      <c r="C44" s="17">
        <v>1</v>
      </c>
      <c r="D44" s="18">
        <v>2005</v>
      </c>
      <c r="E44" s="17" t="s">
        <v>72</v>
      </c>
      <c r="F44" s="19" t="s">
        <v>73</v>
      </c>
      <c r="G44" s="17" t="s">
        <v>74</v>
      </c>
      <c r="H44" s="17" t="s">
        <v>41</v>
      </c>
      <c r="I44" s="17" t="s">
        <v>75</v>
      </c>
      <c r="J44" s="17" t="s">
        <v>76</v>
      </c>
      <c r="K44" s="17" t="s">
        <v>77</v>
      </c>
      <c r="L44" s="20"/>
      <c r="M44" s="20"/>
      <c r="N44" s="17">
        <v>55</v>
      </c>
      <c r="O44" s="17">
        <v>750</v>
      </c>
      <c r="P44" s="18" t="s">
        <v>34</v>
      </c>
      <c r="Q44" s="17" t="s">
        <v>79</v>
      </c>
      <c r="R44" s="17"/>
      <c r="S44" s="20" t="b">
        <v>1</v>
      </c>
      <c r="T44" s="20" t="b">
        <v>1</v>
      </c>
      <c r="U44" s="20" t="b">
        <v>0</v>
      </c>
      <c r="V44" s="20" t="b">
        <v>1</v>
      </c>
      <c r="W44" s="20" t="b">
        <v>0</v>
      </c>
    </row>
    <row r="45" spans="1:23" ht="15.75" customHeight="1" x14ac:dyDescent="0.2">
      <c r="A45" s="4" t="s">
        <v>23</v>
      </c>
      <c r="B45" s="5" t="s">
        <v>24</v>
      </c>
      <c r="C45" s="8">
        <v>1</v>
      </c>
      <c r="D45" s="7">
        <v>2014</v>
      </c>
      <c r="E45" s="8" t="s">
        <v>95</v>
      </c>
      <c r="F45" s="10" t="s">
        <v>168</v>
      </c>
      <c r="G45" s="5" t="s">
        <v>74</v>
      </c>
      <c r="H45" s="5" t="s">
        <v>28</v>
      </c>
      <c r="I45" s="5" t="s">
        <v>29</v>
      </c>
      <c r="J45" s="5" t="s">
        <v>30</v>
      </c>
      <c r="K45" s="8" t="s">
        <v>97</v>
      </c>
      <c r="L45" s="9"/>
      <c r="M45" s="9"/>
      <c r="N45" s="8">
        <v>50</v>
      </c>
      <c r="O45" s="8">
        <v>750</v>
      </c>
      <c r="P45" s="7" t="s">
        <v>105</v>
      </c>
      <c r="Q45" s="14" t="s">
        <v>78</v>
      </c>
      <c r="R45" s="5"/>
      <c r="S45" s="9" t="b">
        <v>1</v>
      </c>
      <c r="T45" s="9" t="b">
        <v>1</v>
      </c>
      <c r="U45" s="9" t="b">
        <v>0</v>
      </c>
      <c r="V45" s="9" t="b">
        <v>0</v>
      </c>
      <c r="W45" s="9" t="b">
        <v>1</v>
      </c>
    </row>
    <row r="46" spans="1:23" ht="16" x14ac:dyDescent="0.2">
      <c r="A46" s="4" t="s">
        <v>23</v>
      </c>
      <c r="B46" s="5" t="s">
        <v>24</v>
      </c>
      <c r="C46" s="8">
        <v>1</v>
      </c>
      <c r="D46" s="7">
        <v>2014</v>
      </c>
      <c r="E46" s="8" t="s">
        <v>95</v>
      </c>
      <c r="F46" s="10" t="s">
        <v>168</v>
      </c>
      <c r="G46" s="5" t="s">
        <v>74</v>
      </c>
      <c r="H46" s="5" t="s">
        <v>28</v>
      </c>
      <c r="I46" s="5" t="s">
        <v>29</v>
      </c>
      <c r="J46" s="5" t="s">
        <v>30</v>
      </c>
      <c r="K46" s="5" t="s">
        <v>169</v>
      </c>
      <c r="L46" s="9"/>
      <c r="M46" s="10"/>
      <c r="N46" s="11">
        <v>40</v>
      </c>
      <c r="O46" s="8">
        <v>750</v>
      </c>
      <c r="P46" s="7" t="s">
        <v>47</v>
      </c>
      <c r="Q46" s="8" t="s">
        <v>43</v>
      </c>
      <c r="R46" s="5"/>
      <c r="S46" s="9" t="b">
        <v>0</v>
      </c>
      <c r="T46" s="9" t="b">
        <v>0</v>
      </c>
      <c r="U46" s="9" t="b">
        <v>0</v>
      </c>
      <c r="V46" s="9" t="b">
        <v>0</v>
      </c>
      <c r="W46" s="9" t="b">
        <v>1</v>
      </c>
    </row>
    <row r="47" spans="1:23" ht="16" x14ac:dyDescent="0.2">
      <c r="A47" s="16" t="s">
        <v>23</v>
      </c>
      <c r="B47" s="17" t="s">
        <v>24</v>
      </c>
      <c r="C47" s="17">
        <v>1</v>
      </c>
      <c r="D47" s="18">
        <v>2014</v>
      </c>
      <c r="E47" s="17" t="s">
        <v>170</v>
      </c>
      <c r="F47" s="19" t="s">
        <v>171</v>
      </c>
      <c r="G47" s="17" t="s">
        <v>27</v>
      </c>
      <c r="H47" s="17" t="s">
        <v>28</v>
      </c>
      <c r="I47" s="17" t="s">
        <v>29</v>
      </c>
      <c r="J47" s="17" t="s">
        <v>30</v>
      </c>
      <c r="K47" s="17" t="s">
        <v>31</v>
      </c>
      <c r="L47" s="17"/>
      <c r="M47" s="17"/>
      <c r="N47" s="17">
        <v>150</v>
      </c>
      <c r="O47" s="17">
        <v>750</v>
      </c>
      <c r="P47" s="18" t="s">
        <v>105</v>
      </c>
      <c r="Q47" s="17" t="s">
        <v>125</v>
      </c>
      <c r="R47" s="17"/>
      <c r="S47" s="20" t="b">
        <v>1</v>
      </c>
      <c r="T47" s="20" t="b">
        <v>0</v>
      </c>
      <c r="U47" s="20" t="b">
        <v>0</v>
      </c>
      <c r="V47" s="20" t="b">
        <v>1</v>
      </c>
      <c r="W47" s="20" t="b">
        <v>0</v>
      </c>
    </row>
    <row r="48" spans="1:23" ht="15.75" customHeight="1" x14ac:dyDescent="0.2">
      <c r="A48" s="4" t="s">
        <v>23</v>
      </c>
      <c r="B48" s="5" t="s">
        <v>24</v>
      </c>
      <c r="C48" s="8">
        <v>1</v>
      </c>
      <c r="D48" s="7">
        <v>2015</v>
      </c>
      <c r="E48" s="8" t="s">
        <v>172</v>
      </c>
      <c r="F48" s="10" t="s">
        <v>173</v>
      </c>
      <c r="G48" s="5" t="s">
        <v>74</v>
      </c>
      <c r="H48" s="5" t="s">
        <v>28</v>
      </c>
      <c r="I48" s="5" t="s">
        <v>29</v>
      </c>
      <c r="J48" s="5" t="s">
        <v>30</v>
      </c>
      <c r="K48" s="5" t="s">
        <v>31</v>
      </c>
      <c r="L48" s="8"/>
      <c r="M48" s="8"/>
      <c r="N48" s="8">
        <v>150</v>
      </c>
      <c r="O48" s="8">
        <v>750</v>
      </c>
      <c r="P48" s="7" t="s">
        <v>34</v>
      </c>
      <c r="Q48" s="12" t="s">
        <v>98</v>
      </c>
      <c r="R48" s="8"/>
      <c r="S48" s="9" t="b">
        <v>1</v>
      </c>
      <c r="T48" s="9" t="b">
        <v>1</v>
      </c>
      <c r="U48" s="9" t="b">
        <v>1</v>
      </c>
      <c r="V48" s="9" t="b">
        <v>0</v>
      </c>
      <c r="W48" s="9" t="b">
        <v>0</v>
      </c>
    </row>
    <row r="49" spans="1:23" ht="16" x14ac:dyDescent="0.2">
      <c r="A49" s="4" t="s">
        <v>23</v>
      </c>
      <c r="B49" s="5" t="s">
        <v>24</v>
      </c>
      <c r="C49" s="5">
        <v>1</v>
      </c>
      <c r="D49" s="7">
        <v>2015</v>
      </c>
      <c r="E49" s="5" t="s">
        <v>172</v>
      </c>
      <c r="F49" s="5" t="s">
        <v>174</v>
      </c>
      <c r="G49" s="5" t="s">
        <v>74</v>
      </c>
      <c r="H49" s="5" t="s">
        <v>28</v>
      </c>
      <c r="I49" s="5" t="s">
        <v>29</v>
      </c>
      <c r="J49" s="5" t="s">
        <v>30</v>
      </c>
      <c r="K49" s="5" t="s">
        <v>31</v>
      </c>
      <c r="L49" s="5"/>
      <c r="M49" s="9"/>
      <c r="N49" s="22">
        <v>300</v>
      </c>
      <c r="O49" s="5">
        <v>1500</v>
      </c>
      <c r="P49" s="7" t="s">
        <v>53</v>
      </c>
      <c r="Q49" s="8" t="s">
        <v>62</v>
      </c>
      <c r="R49" s="5"/>
      <c r="S49" s="9" t="b">
        <v>0</v>
      </c>
      <c r="T49" s="9" t="b">
        <v>0</v>
      </c>
      <c r="U49" s="9" t="b">
        <v>0</v>
      </c>
      <c r="V49" s="9" t="b">
        <v>0</v>
      </c>
      <c r="W49" s="9" t="b">
        <v>0</v>
      </c>
    </row>
    <row r="50" spans="1:23" ht="16" x14ac:dyDescent="0.2">
      <c r="A50" s="16" t="s">
        <v>23</v>
      </c>
      <c r="B50" s="17" t="s">
        <v>24</v>
      </c>
      <c r="C50" s="17">
        <v>1</v>
      </c>
      <c r="D50" s="18">
        <v>2015</v>
      </c>
      <c r="E50" s="17" t="s">
        <v>175</v>
      </c>
      <c r="F50" s="19" t="s">
        <v>27</v>
      </c>
      <c r="G50" s="17" t="s">
        <v>27</v>
      </c>
      <c r="H50" s="17" t="s">
        <v>28</v>
      </c>
      <c r="I50" s="17" t="s">
        <v>29</v>
      </c>
      <c r="J50" s="17" t="s">
        <v>30</v>
      </c>
      <c r="K50" s="17" t="s">
        <v>31</v>
      </c>
      <c r="L50" s="17" t="s">
        <v>176</v>
      </c>
      <c r="M50" s="17"/>
      <c r="N50" s="17">
        <v>100</v>
      </c>
      <c r="O50" s="17">
        <v>750</v>
      </c>
      <c r="P50" s="18" t="s">
        <v>34</v>
      </c>
      <c r="Q50" s="17" t="s">
        <v>66</v>
      </c>
      <c r="R50" s="17"/>
      <c r="S50" s="20" t="b">
        <v>1</v>
      </c>
      <c r="T50" s="20" t="b">
        <v>0</v>
      </c>
      <c r="U50" s="20" t="b">
        <v>0</v>
      </c>
      <c r="V50" s="20" t="b">
        <v>1</v>
      </c>
      <c r="W50" s="20" t="b">
        <v>0</v>
      </c>
    </row>
    <row r="51" spans="1:23" ht="16" x14ac:dyDescent="0.2">
      <c r="A51" s="16" t="s">
        <v>23</v>
      </c>
      <c r="B51" s="17" t="s">
        <v>24</v>
      </c>
      <c r="C51" s="17">
        <v>1</v>
      </c>
      <c r="D51" s="18">
        <v>2009</v>
      </c>
      <c r="E51" s="17" t="s">
        <v>72</v>
      </c>
      <c r="F51" s="19" t="s">
        <v>73</v>
      </c>
      <c r="G51" s="17" t="s">
        <v>74</v>
      </c>
      <c r="H51" s="17" t="s">
        <v>41</v>
      </c>
      <c r="I51" s="17" t="s">
        <v>75</v>
      </c>
      <c r="J51" s="17" t="s">
        <v>76</v>
      </c>
      <c r="K51" s="17" t="s">
        <v>77</v>
      </c>
      <c r="L51" s="20"/>
      <c r="M51" s="20"/>
      <c r="N51" s="17">
        <v>55</v>
      </c>
      <c r="O51" s="17">
        <v>750</v>
      </c>
      <c r="P51" s="18" t="s">
        <v>34</v>
      </c>
      <c r="Q51" s="17" t="s">
        <v>79</v>
      </c>
      <c r="R51" s="17"/>
      <c r="S51" s="20" t="b">
        <v>1</v>
      </c>
      <c r="T51" s="20" t="b">
        <v>0</v>
      </c>
      <c r="U51" s="20" t="b">
        <v>0</v>
      </c>
      <c r="V51" s="20" t="b">
        <v>1</v>
      </c>
      <c r="W51" s="20" t="b">
        <v>0</v>
      </c>
    </row>
    <row r="52" spans="1:23" ht="15.75" customHeight="1" x14ac:dyDescent="0.2">
      <c r="A52" s="12" t="s">
        <v>23</v>
      </c>
      <c r="B52" s="8" t="s">
        <v>24</v>
      </c>
      <c r="C52" s="8">
        <v>1</v>
      </c>
      <c r="D52" s="7">
        <v>2015</v>
      </c>
      <c r="E52" s="8" t="s">
        <v>177</v>
      </c>
      <c r="F52" s="10" t="s">
        <v>178</v>
      </c>
      <c r="G52" s="8" t="s">
        <v>27</v>
      </c>
      <c r="H52" s="8" t="s">
        <v>28</v>
      </c>
      <c r="I52" s="8" t="s">
        <v>29</v>
      </c>
      <c r="J52" s="8" t="s">
        <v>30</v>
      </c>
      <c r="K52" s="8" t="s">
        <v>31</v>
      </c>
      <c r="L52" s="13"/>
      <c r="M52" s="10" t="s">
        <v>179</v>
      </c>
      <c r="N52" s="11">
        <v>150</v>
      </c>
      <c r="O52" s="8">
        <v>750</v>
      </c>
      <c r="P52" s="7" t="s">
        <v>34</v>
      </c>
      <c r="Q52" s="8" t="s">
        <v>180</v>
      </c>
      <c r="R52" s="8"/>
      <c r="S52" s="13" t="b">
        <v>1</v>
      </c>
      <c r="T52" s="13" t="b">
        <v>0</v>
      </c>
      <c r="U52" s="13" t="b">
        <v>1</v>
      </c>
      <c r="V52" s="13" t="b">
        <v>0</v>
      </c>
      <c r="W52" s="13" t="b">
        <v>1</v>
      </c>
    </row>
    <row r="53" spans="1:23" ht="15.75" customHeight="1" x14ac:dyDescent="0.2">
      <c r="A53" s="4" t="s">
        <v>23</v>
      </c>
      <c r="B53" s="5" t="s">
        <v>24</v>
      </c>
      <c r="C53" s="8">
        <v>1</v>
      </c>
      <c r="D53" s="7">
        <v>2015</v>
      </c>
      <c r="E53" s="8" t="s">
        <v>122</v>
      </c>
      <c r="F53" s="8" t="s">
        <v>181</v>
      </c>
      <c r="G53" s="5" t="s">
        <v>27</v>
      </c>
      <c r="H53" s="5" t="s">
        <v>28</v>
      </c>
      <c r="I53" s="5" t="s">
        <v>29</v>
      </c>
      <c r="J53" s="5" t="s">
        <v>30</v>
      </c>
      <c r="K53" s="5" t="s">
        <v>31</v>
      </c>
      <c r="L53" s="5" t="s">
        <v>182</v>
      </c>
      <c r="M53" s="9"/>
      <c r="N53" s="11">
        <v>125</v>
      </c>
      <c r="O53" s="8">
        <v>750</v>
      </c>
      <c r="P53" s="7" t="s">
        <v>34</v>
      </c>
      <c r="Q53" s="8" t="s">
        <v>183</v>
      </c>
      <c r="R53" s="5"/>
      <c r="S53" s="9" t="b">
        <v>1</v>
      </c>
      <c r="T53" s="9" t="b">
        <v>0</v>
      </c>
      <c r="U53" s="9" t="b">
        <v>0</v>
      </c>
      <c r="V53" s="9" t="b">
        <v>0</v>
      </c>
      <c r="W53" s="9" t="b">
        <v>0</v>
      </c>
    </row>
    <row r="54" spans="1:23" ht="16" x14ac:dyDescent="0.2">
      <c r="A54" s="16" t="s">
        <v>23</v>
      </c>
      <c r="B54" s="17" t="s">
        <v>24</v>
      </c>
      <c r="C54" s="17">
        <v>1</v>
      </c>
      <c r="D54" s="18">
        <v>2015</v>
      </c>
      <c r="E54" s="17" t="s">
        <v>84</v>
      </c>
      <c r="F54" s="19" t="s">
        <v>184</v>
      </c>
      <c r="G54" s="17" t="s">
        <v>27</v>
      </c>
      <c r="H54" s="17" t="s">
        <v>28</v>
      </c>
      <c r="I54" s="17" t="s">
        <v>29</v>
      </c>
      <c r="J54" s="17" t="s">
        <v>30</v>
      </c>
      <c r="K54" s="17" t="s">
        <v>31</v>
      </c>
      <c r="L54" s="17"/>
      <c r="M54" s="17"/>
      <c r="N54" s="17">
        <v>180</v>
      </c>
      <c r="O54" s="17">
        <v>750</v>
      </c>
      <c r="P54" s="18" t="s">
        <v>34</v>
      </c>
      <c r="Q54" s="17" t="s">
        <v>98</v>
      </c>
      <c r="R54" s="17"/>
      <c r="S54" s="20" t="b">
        <v>1</v>
      </c>
      <c r="T54" s="20" t="b">
        <v>1</v>
      </c>
      <c r="U54" s="20" t="b">
        <v>1</v>
      </c>
      <c r="V54" s="20" t="b">
        <v>1</v>
      </c>
      <c r="W54" s="20" t="b">
        <v>0</v>
      </c>
    </row>
    <row r="55" spans="1:23" ht="15.75" customHeight="1" x14ac:dyDescent="0.2">
      <c r="A55" s="4" t="s">
        <v>23</v>
      </c>
      <c r="B55" s="5" t="s">
        <v>24</v>
      </c>
      <c r="C55" s="8">
        <v>1</v>
      </c>
      <c r="D55" s="7">
        <v>2015</v>
      </c>
      <c r="E55" s="8" t="s">
        <v>172</v>
      </c>
      <c r="F55" s="10" t="s">
        <v>185</v>
      </c>
      <c r="G55" s="5" t="s">
        <v>27</v>
      </c>
      <c r="H55" s="5" t="s">
        <v>28</v>
      </c>
      <c r="I55" s="5" t="s">
        <v>29</v>
      </c>
      <c r="J55" s="5" t="s">
        <v>30</v>
      </c>
      <c r="K55" s="5" t="s">
        <v>31</v>
      </c>
      <c r="L55" s="8" t="s">
        <v>186</v>
      </c>
      <c r="M55" s="8" t="s">
        <v>187</v>
      </c>
      <c r="N55" s="8">
        <v>121</v>
      </c>
      <c r="O55" s="8">
        <v>750</v>
      </c>
      <c r="P55" s="7" t="s">
        <v>34</v>
      </c>
      <c r="Q55" s="15" t="s">
        <v>78</v>
      </c>
      <c r="R55" s="8"/>
      <c r="S55" s="9" t="b">
        <v>1</v>
      </c>
      <c r="T55" s="9" t="b">
        <v>0</v>
      </c>
      <c r="U55" s="9" t="b">
        <v>0</v>
      </c>
      <c r="V55" s="9" t="b">
        <v>1</v>
      </c>
      <c r="W55" s="9" t="b">
        <v>1</v>
      </c>
    </row>
    <row r="56" spans="1:23" ht="16" x14ac:dyDescent="0.2">
      <c r="A56" s="4" t="s">
        <v>23</v>
      </c>
      <c r="B56" s="5" t="s">
        <v>24</v>
      </c>
      <c r="C56" s="8">
        <v>1</v>
      </c>
      <c r="D56" s="7">
        <v>2013</v>
      </c>
      <c r="E56" s="8" t="s">
        <v>95</v>
      </c>
      <c r="F56" s="10" t="s">
        <v>96</v>
      </c>
      <c r="G56" s="5" t="s">
        <v>74</v>
      </c>
      <c r="H56" s="5" t="s">
        <v>28</v>
      </c>
      <c r="I56" s="5" t="s">
        <v>29</v>
      </c>
      <c r="J56" s="5" t="s">
        <v>30</v>
      </c>
      <c r="K56" s="8" t="s">
        <v>31</v>
      </c>
      <c r="L56" s="9"/>
      <c r="M56" s="9"/>
      <c r="N56" s="8">
        <v>75</v>
      </c>
      <c r="O56" s="8">
        <v>750</v>
      </c>
      <c r="P56" s="7" t="s">
        <v>105</v>
      </c>
      <c r="Q56" s="8" t="s">
        <v>125</v>
      </c>
      <c r="R56" s="5"/>
      <c r="S56" s="9" t="b">
        <v>1</v>
      </c>
      <c r="T56" s="9" t="b">
        <v>1</v>
      </c>
      <c r="U56" s="9" t="b">
        <v>0</v>
      </c>
      <c r="V56" s="9" t="b">
        <v>0</v>
      </c>
      <c r="W56" s="9" t="b">
        <v>0</v>
      </c>
    </row>
    <row r="57" spans="1:23" ht="16" x14ac:dyDescent="0.2">
      <c r="A57" s="4" t="s">
        <v>23</v>
      </c>
      <c r="B57" s="5" t="s">
        <v>24</v>
      </c>
      <c r="C57" s="8">
        <v>1</v>
      </c>
      <c r="D57" s="7">
        <v>2015</v>
      </c>
      <c r="E57" s="8" t="s">
        <v>158</v>
      </c>
      <c r="F57" s="10" t="s">
        <v>159</v>
      </c>
      <c r="G57" s="5" t="s">
        <v>74</v>
      </c>
      <c r="H57" s="5" t="s">
        <v>41</v>
      </c>
      <c r="I57" s="5" t="s">
        <v>75</v>
      </c>
      <c r="J57" s="5" t="s">
        <v>146</v>
      </c>
      <c r="K57" s="5" t="s">
        <v>160</v>
      </c>
      <c r="L57" s="9"/>
      <c r="M57" s="9"/>
      <c r="N57" s="11">
        <v>90</v>
      </c>
      <c r="O57" s="8">
        <v>750</v>
      </c>
      <c r="P57" s="7" t="s">
        <v>34</v>
      </c>
      <c r="Q57" s="8" t="s">
        <v>161</v>
      </c>
      <c r="R57" s="5"/>
      <c r="S57" s="9" t="b">
        <v>0</v>
      </c>
      <c r="T57" s="9" t="b">
        <v>0</v>
      </c>
      <c r="U57" s="9" t="b">
        <v>0</v>
      </c>
      <c r="V57" s="9" t="b">
        <v>1</v>
      </c>
      <c r="W57" s="9" t="b">
        <v>0</v>
      </c>
    </row>
    <row r="58" spans="1:23" ht="15.75" customHeight="1" x14ac:dyDescent="0.2">
      <c r="A58" s="12" t="s">
        <v>23</v>
      </c>
      <c r="B58" s="8" t="s">
        <v>24</v>
      </c>
      <c r="C58" s="8">
        <v>1</v>
      </c>
      <c r="D58" s="7">
        <v>2015</v>
      </c>
      <c r="E58" s="8" t="s">
        <v>188</v>
      </c>
      <c r="F58" s="10" t="s">
        <v>178</v>
      </c>
      <c r="G58" s="8" t="s">
        <v>27</v>
      </c>
      <c r="H58" s="8" t="s">
        <v>28</v>
      </c>
      <c r="I58" s="8" t="s">
        <v>29</v>
      </c>
      <c r="J58" s="8" t="s">
        <v>30</v>
      </c>
      <c r="K58" s="8" t="s">
        <v>31</v>
      </c>
      <c r="L58" s="13"/>
      <c r="M58" s="8"/>
      <c r="N58" s="8">
        <v>80</v>
      </c>
      <c r="O58" s="8">
        <v>750</v>
      </c>
      <c r="P58" s="7" t="s">
        <v>105</v>
      </c>
      <c r="Q58" s="8" t="s">
        <v>125</v>
      </c>
      <c r="R58" s="8"/>
      <c r="S58" s="13" t="b">
        <v>1</v>
      </c>
      <c r="T58" s="13" t="b">
        <v>1</v>
      </c>
      <c r="U58" s="13" t="b">
        <v>0</v>
      </c>
      <c r="V58" s="13" t="b">
        <v>0</v>
      </c>
      <c r="W58" s="13" t="b">
        <v>1</v>
      </c>
    </row>
    <row r="59" spans="1:23" ht="15.75" customHeight="1" x14ac:dyDescent="0.2">
      <c r="A59" s="16" t="s">
        <v>23</v>
      </c>
      <c r="B59" s="17" t="s">
        <v>24</v>
      </c>
      <c r="C59" s="17">
        <v>1</v>
      </c>
      <c r="D59" s="18">
        <v>2015</v>
      </c>
      <c r="E59" s="17" t="s">
        <v>189</v>
      </c>
      <c r="F59" s="19" t="s">
        <v>190</v>
      </c>
      <c r="G59" s="17" t="s">
        <v>191</v>
      </c>
      <c r="H59" s="17" t="s">
        <v>28</v>
      </c>
      <c r="I59" s="17" t="s">
        <v>29</v>
      </c>
      <c r="J59" s="17" t="s">
        <v>30</v>
      </c>
      <c r="K59" s="17" t="s">
        <v>130</v>
      </c>
      <c r="L59" s="20"/>
      <c r="M59" s="19" t="s">
        <v>192</v>
      </c>
      <c r="N59" s="17">
        <v>86</v>
      </c>
      <c r="O59" s="17">
        <v>750</v>
      </c>
      <c r="P59" s="18" t="s">
        <v>105</v>
      </c>
      <c r="Q59" s="17" t="s">
        <v>193</v>
      </c>
      <c r="R59" s="17"/>
      <c r="S59" s="20" t="b">
        <v>1</v>
      </c>
      <c r="T59" s="20" t="b">
        <v>0</v>
      </c>
      <c r="U59" s="20" t="b">
        <v>1</v>
      </c>
      <c r="V59" s="20" t="b">
        <v>1</v>
      </c>
      <c r="W59" s="20" t="b">
        <v>1</v>
      </c>
    </row>
    <row r="60" spans="1:23" ht="16" x14ac:dyDescent="0.2">
      <c r="A60" s="4" t="s">
        <v>23</v>
      </c>
      <c r="B60" s="5" t="s">
        <v>24</v>
      </c>
      <c r="C60" s="8">
        <v>1</v>
      </c>
      <c r="D60" s="7">
        <v>2015</v>
      </c>
      <c r="E60" s="8" t="s">
        <v>194</v>
      </c>
      <c r="F60" s="10" t="s">
        <v>195</v>
      </c>
      <c r="G60" s="5" t="s">
        <v>40</v>
      </c>
      <c r="H60" s="5" t="s">
        <v>82</v>
      </c>
      <c r="I60" s="5"/>
      <c r="J60" s="5" t="s">
        <v>90</v>
      </c>
      <c r="K60" s="5"/>
      <c r="L60" s="9"/>
      <c r="M60" s="10" t="s">
        <v>196</v>
      </c>
      <c r="N60" s="11">
        <v>85</v>
      </c>
      <c r="O60" s="8">
        <v>750</v>
      </c>
      <c r="P60" s="7" t="s">
        <v>34</v>
      </c>
      <c r="Q60" s="8" t="s">
        <v>43</v>
      </c>
      <c r="R60" s="5"/>
      <c r="S60" s="9" t="b">
        <v>0</v>
      </c>
      <c r="T60" s="9" t="b">
        <v>0</v>
      </c>
      <c r="U60" s="9" t="b">
        <v>0</v>
      </c>
      <c r="V60" s="9" t="b">
        <v>0</v>
      </c>
      <c r="W60" s="9" t="b">
        <v>0</v>
      </c>
    </row>
    <row r="61" spans="1:23" ht="16" x14ac:dyDescent="0.2">
      <c r="A61" s="4" t="s">
        <v>23</v>
      </c>
      <c r="B61" s="8" t="s">
        <v>24</v>
      </c>
      <c r="C61" s="8">
        <v>1</v>
      </c>
      <c r="D61" s="7">
        <v>2015</v>
      </c>
      <c r="E61" s="8" t="s">
        <v>197</v>
      </c>
      <c r="F61" s="8" t="s">
        <v>198</v>
      </c>
      <c r="G61" s="8" t="s">
        <v>27</v>
      </c>
      <c r="H61" s="8" t="s">
        <v>28</v>
      </c>
      <c r="I61" s="8" t="s">
        <v>29</v>
      </c>
      <c r="J61" s="8" t="s">
        <v>30</v>
      </c>
      <c r="K61" s="8" t="s">
        <v>31</v>
      </c>
      <c r="L61" s="8" t="s">
        <v>199</v>
      </c>
      <c r="M61" s="8" t="s">
        <v>200</v>
      </c>
      <c r="N61" s="8">
        <v>75</v>
      </c>
      <c r="O61" s="8">
        <v>750</v>
      </c>
      <c r="P61" s="7" t="s">
        <v>34</v>
      </c>
      <c r="Q61" s="14" t="s">
        <v>78</v>
      </c>
      <c r="R61" s="8"/>
      <c r="S61" s="13" t="b">
        <v>1</v>
      </c>
      <c r="T61" s="13" t="b">
        <v>0</v>
      </c>
      <c r="U61" s="13" t="b">
        <v>0</v>
      </c>
      <c r="V61" s="13" t="b">
        <v>1</v>
      </c>
      <c r="W61" s="13" t="b">
        <v>1</v>
      </c>
    </row>
    <row r="62" spans="1:23" ht="16" x14ac:dyDescent="0.2">
      <c r="A62" s="4" t="s">
        <v>23</v>
      </c>
      <c r="B62" s="5" t="s">
        <v>24</v>
      </c>
      <c r="C62" s="8">
        <v>1</v>
      </c>
      <c r="D62" s="7">
        <v>2014</v>
      </c>
      <c r="E62" s="8" t="s">
        <v>84</v>
      </c>
      <c r="F62" s="10" t="s">
        <v>201</v>
      </c>
      <c r="G62" s="5" t="s">
        <v>27</v>
      </c>
      <c r="H62" s="5" t="s">
        <v>28</v>
      </c>
      <c r="I62" s="5" t="s">
        <v>29</v>
      </c>
      <c r="J62" s="5" t="s">
        <v>30</v>
      </c>
      <c r="K62" s="8" t="s">
        <v>31</v>
      </c>
      <c r="L62" s="5" t="s">
        <v>75</v>
      </c>
      <c r="M62" s="9"/>
      <c r="N62" s="8">
        <v>80</v>
      </c>
      <c r="O62" s="8">
        <v>750</v>
      </c>
      <c r="P62" s="7" t="s">
        <v>105</v>
      </c>
      <c r="Q62" s="8" t="s">
        <v>125</v>
      </c>
      <c r="R62" s="5"/>
      <c r="S62" s="9" t="b">
        <v>1</v>
      </c>
      <c r="T62" s="9" t="b">
        <v>1</v>
      </c>
      <c r="U62" s="9" t="b">
        <v>0</v>
      </c>
      <c r="V62" s="9" t="b">
        <v>0</v>
      </c>
      <c r="W62" s="9" t="b">
        <v>0</v>
      </c>
    </row>
    <row r="63" spans="1:23" ht="16" x14ac:dyDescent="0.2">
      <c r="A63" s="16" t="s">
        <v>153</v>
      </c>
      <c r="B63" s="17" t="s">
        <v>24</v>
      </c>
      <c r="C63" s="17">
        <v>1</v>
      </c>
      <c r="D63" s="18">
        <v>2017</v>
      </c>
      <c r="E63" s="17" t="s">
        <v>202</v>
      </c>
      <c r="F63" s="19" t="s">
        <v>203</v>
      </c>
      <c r="G63" s="17" t="s">
        <v>27</v>
      </c>
      <c r="H63" s="17" t="s">
        <v>28</v>
      </c>
      <c r="I63" s="17" t="s">
        <v>29</v>
      </c>
      <c r="J63" s="17" t="s">
        <v>30</v>
      </c>
      <c r="K63" s="17" t="s">
        <v>31</v>
      </c>
      <c r="L63" s="17"/>
      <c r="M63" s="20"/>
      <c r="N63" s="17">
        <v>110</v>
      </c>
      <c r="O63" s="17">
        <v>750</v>
      </c>
      <c r="P63" s="18" t="s">
        <v>34</v>
      </c>
      <c r="Q63" s="17" t="s">
        <v>204</v>
      </c>
      <c r="R63" s="17"/>
      <c r="S63" s="20" t="b">
        <v>1</v>
      </c>
      <c r="T63" s="20" t="b">
        <v>1</v>
      </c>
      <c r="U63" s="20" t="b">
        <v>1</v>
      </c>
      <c r="V63" s="20" t="b">
        <v>1</v>
      </c>
      <c r="W63" s="20" t="b">
        <v>0</v>
      </c>
    </row>
    <row r="64" spans="1:23" ht="16" x14ac:dyDescent="0.2">
      <c r="A64" s="4" t="s">
        <v>23</v>
      </c>
      <c r="B64" s="5" t="s">
        <v>24</v>
      </c>
      <c r="C64" s="8">
        <v>1</v>
      </c>
      <c r="D64" s="7">
        <v>2014</v>
      </c>
      <c r="E64" s="8" t="s">
        <v>205</v>
      </c>
      <c r="F64" s="8" t="s">
        <v>206</v>
      </c>
      <c r="G64" s="5" t="s">
        <v>27</v>
      </c>
      <c r="H64" s="5" t="s">
        <v>28</v>
      </c>
      <c r="I64" s="5" t="s">
        <v>29</v>
      </c>
      <c r="J64" s="5" t="s">
        <v>30</v>
      </c>
      <c r="K64" s="5" t="s">
        <v>31</v>
      </c>
      <c r="L64" s="23" t="s">
        <v>207</v>
      </c>
      <c r="M64" s="9"/>
      <c r="N64" s="8">
        <v>100</v>
      </c>
      <c r="O64" s="8">
        <v>750</v>
      </c>
      <c r="P64" s="7" t="s">
        <v>105</v>
      </c>
      <c r="Q64" s="8" t="s">
        <v>125</v>
      </c>
      <c r="R64" s="5"/>
      <c r="S64" s="9" t="b">
        <v>1</v>
      </c>
      <c r="T64" s="9" t="b">
        <v>1</v>
      </c>
      <c r="U64" s="9" t="b">
        <v>0</v>
      </c>
      <c r="V64" s="9" t="b">
        <v>0</v>
      </c>
      <c r="W64" s="9" t="b">
        <v>0</v>
      </c>
    </row>
    <row r="65" spans="1:23" ht="16" x14ac:dyDescent="0.2">
      <c r="A65" s="4" t="s">
        <v>23</v>
      </c>
      <c r="B65" s="5" t="s">
        <v>24</v>
      </c>
      <c r="C65" s="8">
        <v>1</v>
      </c>
      <c r="D65" s="7">
        <v>2015</v>
      </c>
      <c r="E65" s="8" t="s">
        <v>99</v>
      </c>
      <c r="F65" s="10" t="s">
        <v>208</v>
      </c>
      <c r="G65" s="5" t="s">
        <v>191</v>
      </c>
      <c r="H65" s="5" t="s">
        <v>28</v>
      </c>
      <c r="I65" s="5" t="s">
        <v>29</v>
      </c>
      <c r="J65" s="5" t="s">
        <v>30</v>
      </c>
      <c r="K65" s="23" t="s">
        <v>97</v>
      </c>
      <c r="L65" s="5" t="s">
        <v>209</v>
      </c>
      <c r="M65" s="5"/>
      <c r="N65" s="8">
        <v>60</v>
      </c>
      <c r="O65" s="8">
        <v>750</v>
      </c>
      <c r="P65" s="7" t="s">
        <v>105</v>
      </c>
      <c r="Q65" s="8" t="s">
        <v>193</v>
      </c>
      <c r="R65" s="5"/>
      <c r="S65" s="9" t="b">
        <v>1</v>
      </c>
      <c r="T65" s="9" t="b">
        <v>1</v>
      </c>
      <c r="U65" s="9" t="b">
        <v>0</v>
      </c>
      <c r="V65" s="9" t="b">
        <v>0</v>
      </c>
      <c r="W65" s="9" t="b">
        <v>0</v>
      </c>
    </row>
    <row r="66" spans="1:23" ht="16" x14ac:dyDescent="0.2">
      <c r="A66" s="16" t="s">
        <v>23</v>
      </c>
      <c r="B66" s="17" t="s">
        <v>24</v>
      </c>
      <c r="C66" s="17">
        <v>2</v>
      </c>
      <c r="D66" s="18">
        <v>2016</v>
      </c>
      <c r="E66" s="17" t="s">
        <v>210</v>
      </c>
      <c r="F66" s="19" t="s">
        <v>211</v>
      </c>
      <c r="G66" s="17" t="s">
        <v>139</v>
      </c>
      <c r="H66" s="17" t="s">
        <v>28</v>
      </c>
      <c r="I66" s="17" t="s">
        <v>29</v>
      </c>
      <c r="J66" s="17" t="s">
        <v>30</v>
      </c>
      <c r="K66" s="17" t="s">
        <v>212</v>
      </c>
      <c r="L66" s="20"/>
      <c r="M66" s="17"/>
      <c r="N66" s="17">
        <v>25</v>
      </c>
      <c r="O66" s="17">
        <v>750</v>
      </c>
      <c r="P66" s="18" t="s">
        <v>105</v>
      </c>
      <c r="Q66" s="17" t="s">
        <v>213</v>
      </c>
      <c r="R66" s="17"/>
      <c r="S66" s="20" t="b">
        <v>1</v>
      </c>
      <c r="T66" s="20" t="b">
        <v>0</v>
      </c>
      <c r="U66" s="20" t="b">
        <v>0</v>
      </c>
      <c r="V66" s="20" t="b">
        <v>1</v>
      </c>
      <c r="W66" s="20" t="b">
        <v>1</v>
      </c>
    </row>
    <row r="67" spans="1:23" ht="16" x14ac:dyDescent="0.2">
      <c r="A67" s="4" t="s">
        <v>23</v>
      </c>
      <c r="B67" s="5" t="s">
        <v>24</v>
      </c>
      <c r="C67" s="8">
        <v>1</v>
      </c>
      <c r="D67" s="7">
        <v>2015</v>
      </c>
      <c r="E67" s="8" t="s">
        <v>122</v>
      </c>
      <c r="F67" s="10" t="s">
        <v>214</v>
      </c>
      <c r="G67" s="5" t="s">
        <v>27</v>
      </c>
      <c r="H67" s="5" t="s">
        <v>28</v>
      </c>
      <c r="I67" s="5" t="s">
        <v>29</v>
      </c>
      <c r="J67" s="5" t="s">
        <v>30</v>
      </c>
      <c r="K67" s="8" t="s">
        <v>31</v>
      </c>
      <c r="L67" s="5" t="s">
        <v>75</v>
      </c>
      <c r="M67" s="9"/>
      <c r="N67" s="8">
        <v>55</v>
      </c>
      <c r="O67" s="8">
        <v>750</v>
      </c>
      <c r="P67" s="7" t="s">
        <v>105</v>
      </c>
      <c r="Q67" s="8" t="s">
        <v>132</v>
      </c>
      <c r="R67" s="5"/>
      <c r="S67" s="9" t="b">
        <v>1</v>
      </c>
      <c r="T67" s="9" t="b">
        <v>1</v>
      </c>
      <c r="U67" s="9" t="b">
        <v>0</v>
      </c>
      <c r="V67" s="9" t="b">
        <v>0</v>
      </c>
      <c r="W67" s="9" t="b">
        <v>1</v>
      </c>
    </row>
    <row r="68" spans="1:23" ht="16" x14ac:dyDescent="0.2">
      <c r="A68" s="12" t="s">
        <v>23</v>
      </c>
      <c r="B68" s="8" t="s">
        <v>24</v>
      </c>
      <c r="C68" s="8">
        <v>1</v>
      </c>
      <c r="D68" s="7">
        <v>2016</v>
      </c>
      <c r="E68" s="8" t="s">
        <v>215</v>
      </c>
      <c r="F68" s="10" t="s">
        <v>216</v>
      </c>
      <c r="G68" s="8" t="s">
        <v>40</v>
      </c>
      <c r="H68" s="8" t="s">
        <v>217</v>
      </c>
      <c r="I68" s="5"/>
      <c r="J68" s="5" t="s">
        <v>218</v>
      </c>
      <c r="K68" s="8"/>
      <c r="L68" s="8" t="s">
        <v>219</v>
      </c>
      <c r="M68" s="10"/>
      <c r="N68" s="11">
        <v>80</v>
      </c>
      <c r="O68" s="8">
        <v>750</v>
      </c>
      <c r="P68" s="7" t="s">
        <v>34</v>
      </c>
      <c r="Q68" s="15" t="s">
        <v>94</v>
      </c>
      <c r="R68" s="8"/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</row>
    <row r="69" spans="1:23" ht="16" x14ac:dyDescent="0.2">
      <c r="A69" s="4" t="s">
        <v>23</v>
      </c>
      <c r="B69" s="5" t="s">
        <v>24</v>
      </c>
      <c r="C69" s="8">
        <v>1</v>
      </c>
      <c r="D69" s="7">
        <v>2016</v>
      </c>
      <c r="E69" s="8" t="s">
        <v>158</v>
      </c>
      <c r="F69" s="10" t="s">
        <v>220</v>
      </c>
      <c r="G69" s="5" t="s">
        <v>74</v>
      </c>
      <c r="H69" s="5" t="s">
        <v>41</v>
      </c>
      <c r="I69" s="5" t="s">
        <v>75</v>
      </c>
      <c r="J69" s="5" t="s">
        <v>76</v>
      </c>
      <c r="K69" s="5" t="s">
        <v>160</v>
      </c>
      <c r="L69" s="9"/>
      <c r="M69" s="9"/>
      <c r="N69" s="11">
        <v>350</v>
      </c>
      <c r="O69" s="8">
        <v>750</v>
      </c>
      <c r="P69" s="7" t="s">
        <v>53</v>
      </c>
      <c r="Q69" s="8" t="s">
        <v>161</v>
      </c>
      <c r="R69" s="5"/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</row>
    <row r="70" spans="1:23" ht="16" x14ac:dyDescent="0.2">
      <c r="A70" s="4" t="s">
        <v>23</v>
      </c>
      <c r="B70" s="5" t="s">
        <v>24</v>
      </c>
      <c r="C70" s="8">
        <v>1</v>
      </c>
      <c r="D70" s="7">
        <v>2016</v>
      </c>
      <c r="E70" s="8" t="s">
        <v>84</v>
      </c>
      <c r="F70" s="10" t="s">
        <v>152</v>
      </c>
      <c r="G70" s="5" t="s">
        <v>27</v>
      </c>
      <c r="H70" s="5" t="s">
        <v>28</v>
      </c>
      <c r="I70" s="5" t="s">
        <v>29</v>
      </c>
      <c r="J70" s="5" t="s">
        <v>30</v>
      </c>
      <c r="K70" s="8" t="s">
        <v>31</v>
      </c>
      <c r="L70" s="5" t="s">
        <v>221</v>
      </c>
      <c r="M70" s="9"/>
      <c r="N70" s="11">
        <v>185</v>
      </c>
      <c r="O70" s="8">
        <v>750</v>
      </c>
      <c r="P70" s="7" t="s">
        <v>34</v>
      </c>
      <c r="Q70" s="8" t="s">
        <v>183</v>
      </c>
      <c r="R70" s="5"/>
      <c r="S70" s="9" t="b">
        <v>0</v>
      </c>
      <c r="T70" s="9" t="b">
        <v>0</v>
      </c>
      <c r="U70" s="9" t="b">
        <v>0</v>
      </c>
      <c r="V70" s="9" t="b">
        <v>0</v>
      </c>
      <c r="W70" s="9" t="b">
        <v>1</v>
      </c>
    </row>
    <row r="71" spans="1:23" ht="16" x14ac:dyDescent="0.2">
      <c r="A71" s="4" t="s">
        <v>23</v>
      </c>
      <c r="B71" s="5" t="s">
        <v>24</v>
      </c>
      <c r="C71" s="8">
        <v>1</v>
      </c>
      <c r="D71" s="7">
        <v>2016</v>
      </c>
      <c r="E71" s="8" t="s">
        <v>84</v>
      </c>
      <c r="F71" s="10" t="s">
        <v>120</v>
      </c>
      <c r="G71" s="5" t="s">
        <v>27</v>
      </c>
      <c r="H71" s="5" t="s">
        <v>28</v>
      </c>
      <c r="I71" s="5" t="s">
        <v>29</v>
      </c>
      <c r="J71" s="5" t="s">
        <v>30</v>
      </c>
      <c r="K71" s="8" t="s">
        <v>31</v>
      </c>
      <c r="L71" s="5" t="s">
        <v>121</v>
      </c>
      <c r="M71" s="9"/>
      <c r="N71" s="11">
        <v>185</v>
      </c>
      <c r="O71" s="8">
        <v>750</v>
      </c>
      <c r="P71" s="7" t="s">
        <v>34</v>
      </c>
      <c r="Q71" s="8" t="s">
        <v>183</v>
      </c>
      <c r="R71" s="5"/>
      <c r="S71" s="9" t="b">
        <v>0</v>
      </c>
      <c r="T71" s="9" t="b">
        <v>0</v>
      </c>
      <c r="U71" s="9" t="b">
        <v>0</v>
      </c>
      <c r="V71" s="9" t="b">
        <v>0</v>
      </c>
      <c r="W71" s="9" t="b">
        <v>0</v>
      </c>
    </row>
    <row r="72" spans="1:23" ht="16" x14ac:dyDescent="0.2">
      <c r="A72" s="4" t="s">
        <v>23</v>
      </c>
      <c r="B72" s="5" t="s">
        <v>24</v>
      </c>
      <c r="C72" s="8">
        <v>2</v>
      </c>
      <c r="D72" s="7">
        <v>2016</v>
      </c>
      <c r="E72" s="8" t="s">
        <v>84</v>
      </c>
      <c r="F72" s="10" t="s">
        <v>184</v>
      </c>
      <c r="G72" s="5" t="s">
        <v>27</v>
      </c>
      <c r="H72" s="5" t="s">
        <v>28</v>
      </c>
      <c r="I72" s="5" t="s">
        <v>29</v>
      </c>
      <c r="J72" s="5" t="s">
        <v>30</v>
      </c>
      <c r="K72" s="5" t="s">
        <v>31</v>
      </c>
      <c r="L72" s="8"/>
      <c r="M72" s="8"/>
      <c r="N72" s="11">
        <v>180</v>
      </c>
      <c r="O72" s="8">
        <v>750</v>
      </c>
      <c r="P72" s="7" t="s">
        <v>34</v>
      </c>
      <c r="Q72" s="8" t="s">
        <v>183</v>
      </c>
      <c r="R72" s="8"/>
      <c r="S72" s="9" t="b">
        <v>0</v>
      </c>
      <c r="T72" s="9" t="b">
        <v>0</v>
      </c>
      <c r="U72" s="9" t="b">
        <v>0</v>
      </c>
      <c r="V72" s="9" t="b">
        <v>0</v>
      </c>
      <c r="W72" s="9" t="b">
        <v>0</v>
      </c>
    </row>
    <row r="73" spans="1:23" ht="16" x14ac:dyDescent="0.2">
      <c r="A73" s="4" t="s">
        <v>23</v>
      </c>
      <c r="B73" s="5" t="s">
        <v>24</v>
      </c>
      <c r="C73" s="8">
        <v>1</v>
      </c>
      <c r="D73" s="7">
        <v>2016</v>
      </c>
      <c r="E73" s="8" t="s">
        <v>84</v>
      </c>
      <c r="F73" s="10" t="s">
        <v>222</v>
      </c>
      <c r="G73" s="5" t="s">
        <v>27</v>
      </c>
      <c r="H73" s="5" t="s">
        <v>28</v>
      </c>
      <c r="I73" s="5" t="s">
        <v>29</v>
      </c>
      <c r="J73" s="5" t="s">
        <v>30</v>
      </c>
      <c r="K73" s="5" t="s">
        <v>31</v>
      </c>
      <c r="L73" s="8"/>
      <c r="M73" s="8"/>
      <c r="N73" s="11">
        <v>165</v>
      </c>
      <c r="O73" s="8">
        <v>750</v>
      </c>
      <c r="P73" s="7" t="s">
        <v>34</v>
      </c>
      <c r="Q73" s="8" t="s">
        <v>183</v>
      </c>
      <c r="R73" s="8"/>
      <c r="S73" s="9" t="b">
        <v>0</v>
      </c>
      <c r="T73" s="9" t="b">
        <v>0</v>
      </c>
      <c r="U73" s="9" t="b">
        <v>0</v>
      </c>
      <c r="V73" s="9" t="b">
        <v>0</v>
      </c>
      <c r="W73" s="9" t="b">
        <v>0</v>
      </c>
    </row>
    <row r="74" spans="1:23" ht="16" x14ac:dyDescent="0.2">
      <c r="A74" s="4" t="s">
        <v>23</v>
      </c>
      <c r="B74" s="5" t="s">
        <v>24</v>
      </c>
      <c r="C74" s="8">
        <v>1</v>
      </c>
      <c r="D74" s="7">
        <v>2016</v>
      </c>
      <c r="E74" s="8" t="s">
        <v>223</v>
      </c>
      <c r="F74" s="10" t="s">
        <v>144</v>
      </c>
      <c r="G74" s="5" t="s">
        <v>74</v>
      </c>
      <c r="H74" s="5" t="s">
        <v>41</v>
      </c>
      <c r="I74" s="5"/>
      <c r="J74" s="5" t="s">
        <v>146</v>
      </c>
      <c r="K74" s="5" t="s">
        <v>224</v>
      </c>
      <c r="L74" s="9"/>
      <c r="M74" s="9"/>
      <c r="N74" s="11">
        <v>150</v>
      </c>
      <c r="O74" s="8">
        <v>750</v>
      </c>
      <c r="P74" s="7" t="s">
        <v>34</v>
      </c>
      <c r="Q74" s="8" t="s">
        <v>43</v>
      </c>
      <c r="R74" s="5"/>
      <c r="S74" s="9" t="b">
        <v>0</v>
      </c>
      <c r="T74" s="9" t="b">
        <v>0</v>
      </c>
      <c r="U74" s="9" t="b">
        <v>0</v>
      </c>
      <c r="V74" s="9" t="b">
        <v>0</v>
      </c>
      <c r="W74" s="9" t="b">
        <v>0</v>
      </c>
    </row>
    <row r="75" spans="1:23" ht="16" x14ac:dyDescent="0.2">
      <c r="A75" s="4" t="s">
        <v>23</v>
      </c>
      <c r="B75" s="5" t="s">
        <v>24</v>
      </c>
      <c r="C75" s="8">
        <v>1</v>
      </c>
      <c r="D75" s="7">
        <v>2016</v>
      </c>
      <c r="E75" s="8" t="s">
        <v>225</v>
      </c>
      <c r="F75" s="10" t="s">
        <v>226</v>
      </c>
      <c r="G75" s="5" t="s">
        <v>139</v>
      </c>
      <c r="H75" s="5" t="s">
        <v>41</v>
      </c>
      <c r="I75" s="5" t="s">
        <v>75</v>
      </c>
      <c r="J75" s="5" t="s">
        <v>227</v>
      </c>
      <c r="K75" s="5" t="s">
        <v>140</v>
      </c>
      <c r="L75" s="5" t="s">
        <v>228</v>
      </c>
      <c r="M75" s="9"/>
      <c r="N75" s="11">
        <v>140</v>
      </c>
      <c r="O75" s="8">
        <v>750</v>
      </c>
      <c r="P75" s="7" t="s">
        <v>34</v>
      </c>
      <c r="Q75" s="8" t="s">
        <v>35</v>
      </c>
      <c r="R75" s="5"/>
      <c r="S75" s="9" t="b">
        <v>0</v>
      </c>
      <c r="T75" s="9" t="b">
        <v>0</v>
      </c>
      <c r="U75" s="9" t="b">
        <v>0</v>
      </c>
      <c r="V75" s="9" t="b">
        <v>0</v>
      </c>
      <c r="W75" s="9" t="b">
        <v>0</v>
      </c>
    </row>
    <row r="76" spans="1:23" ht="16" x14ac:dyDescent="0.2">
      <c r="A76" s="4" t="s">
        <v>23</v>
      </c>
      <c r="B76" s="5" t="s">
        <v>24</v>
      </c>
      <c r="C76" s="8">
        <v>1</v>
      </c>
      <c r="D76" s="7">
        <v>2016</v>
      </c>
      <c r="E76" s="8" t="s">
        <v>229</v>
      </c>
      <c r="F76" s="10" t="s">
        <v>230</v>
      </c>
      <c r="G76" s="5" t="s">
        <v>156</v>
      </c>
      <c r="H76" s="5" t="s">
        <v>28</v>
      </c>
      <c r="I76" s="5" t="s">
        <v>29</v>
      </c>
      <c r="J76" s="5" t="s">
        <v>30</v>
      </c>
      <c r="K76" s="8" t="s">
        <v>97</v>
      </c>
      <c r="L76" s="8" t="s">
        <v>130</v>
      </c>
      <c r="M76" s="8" t="s">
        <v>231</v>
      </c>
      <c r="N76" s="8">
        <v>125</v>
      </c>
      <c r="O76" s="8">
        <v>750</v>
      </c>
      <c r="P76" s="7" t="s">
        <v>34</v>
      </c>
      <c r="Q76" s="8" t="s">
        <v>204</v>
      </c>
      <c r="R76" s="8"/>
      <c r="S76" s="9" t="b">
        <v>1</v>
      </c>
      <c r="T76" s="9" t="b">
        <v>0</v>
      </c>
      <c r="U76" s="9" t="b">
        <v>0</v>
      </c>
      <c r="V76" s="9" t="b">
        <v>0</v>
      </c>
      <c r="W76" s="9" t="b">
        <v>0</v>
      </c>
    </row>
    <row r="77" spans="1:23" ht="15.75" customHeight="1" x14ac:dyDescent="0.2">
      <c r="A77" s="12" t="s">
        <v>153</v>
      </c>
      <c r="B77" s="8" t="s">
        <v>24</v>
      </c>
      <c r="C77" s="8">
        <v>1</v>
      </c>
      <c r="D77" s="7">
        <v>2016</v>
      </c>
      <c r="E77" s="8" t="s">
        <v>154</v>
      </c>
      <c r="F77" s="10" t="s">
        <v>232</v>
      </c>
      <c r="G77" s="8" t="s">
        <v>27</v>
      </c>
      <c r="H77" s="8" t="s">
        <v>28</v>
      </c>
      <c r="I77" s="8" t="s">
        <v>29</v>
      </c>
      <c r="J77" s="8" t="s">
        <v>30</v>
      </c>
      <c r="K77" s="8" t="s">
        <v>31</v>
      </c>
      <c r="L77" s="8"/>
      <c r="M77" s="13"/>
      <c r="N77" s="8">
        <v>100</v>
      </c>
      <c r="O77" s="8">
        <v>750</v>
      </c>
      <c r="P77" s="7" t="s">
        <v>34</v>
      </c>
      <c r="Q77" s="8" t="s">
        <v>180</v>
      </c>
      <c r="R77" s="8"/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1</v>
      </c>
    </row>
    <row r="78" spans="1:23" ht="16" x14ac:dyDescent="0.2">
      <c r="A78" s="4" t="s">
        <v>23</v>
      </c>
      <c r="B78" s="5" t="s">
        <v>24</v>
      </c>
      <c r="C78" s="8">
        <v>1</v>
      </c>
      <c r="D78" s="7">
        <v>2016</v>
      </c>
      <c r="E78" s="8" t="s">
        <v>103</v>
      </c>
      <c r="F78" s="10" t="s">
        <v>233</v>
      </c>
      <c r="G78" s="5" t="s">
        <v>191</v>
      </c>
      <c r="H78" s="5" t="s">
        <v>28</v>
      </c>
      <c r="I78" s="5" t="s">
        <v>29</v>
      </c>
      <c r="J78" s="5" t="s">
        <v>30</v>
      </c>
      <c r="K78" s="9"/>
      <c r="L78" s="9"/>
      <c r="M78" s="9"/>
      <c r="N78" s="8">
        <v>85</v>
      </c>
      <c r="O78" s="8">
        <v>750</v>
      </c>
      <c r="P78" s="7" t="s">
        <v>105</v>
      </c>
      <c r="Q78" s="8" t="s">
        <v>193</v>
      </c>
      <c r="R78" s="5"/>
      <c r="S78" s="9" t="b">
        <v>1</v>
      </c>
      <c r="T78" s="9" t="b">
        <v>0</v>
      </c>
      <c r="U78" s="9" t="b">
        <v>0</v>
      </c>
      <c r="V78" s="9" t="b">
        <v>0</v>
      </c>
      <c r="W78" s="9" t="b">
        <v>0</v>
      </c>
    </row>
    <row r="79" spans="1:23" ht="16" x14ac:dyDescent="0.2">
      <c r="A79" s="16" t="s">
        <v>23</v>
      </c>
      <c r="B79" s="17" t="s">
        <v>24</v>
      </c>
      <c r="C79" s="17">
        <v>1</v>
      </c>
      <c r="D79" s="18">
        <v>2016</v>
      </c>
      <c r="E79" s="17" t="s">
        <v>205</v>
      </c>
      <c r="F79" s="17" t="s">
        <v>234</v>
      </c>
      <c r="G79" s="17" t="s">
        <v>235</v>
      </c>
      <c r="H79" s="17" t="s">
        <v>28</v>
      </c>
      <c r="I79" s="17" t="s">
        <v>29</v>
      </c>
      <c r="J79" s="17" t="s">
        <v>30</v>
      </c>
      <c r="K79" s="17" t="s">
        <v>31</v>
      </c>
      <c r="L79" s="17" t="s">
        <v>182</v>
      </c>
      <c r="M79" s="20"/>
      <c r="N79" s="17">
        <v>50</v>
      </c>
      <c r="O79" s="17">
        <v>750</v>
      </c>
      <c r="P79" s="18" t="s">
        <v>34</v>
      </c>
      <c r="Q79" s="17" t="s">
        <v>66</v>
      </c>
      <c r="R79" s="17"/>
      <c r="S79" s="20" t="b">
        <v>1</v>
      </c>
      <c r="T79" s="20" t="b">
        <v>1</v>
      </c>
      <c r="U79" s="20" t="b">
        <v>0</v>
      </c>
      <c r="V79" s="20" t="b">
        <v>1</v>
      </c>
      <c r="W79" s="20" t="b">
        <v>0</v>
      </c>
    </row>
    <row r="80" spans="1:23" ht="16" x14ac:dyDescent="0.2">
      <c r="A80" s="4" t="s">
        <v>23</v>
      </c>
      <c r="B80" s="5" t="s">
        <v>24</v>
      </c>
      <c r="C80" s="8">
        <v>1</v>
      </c>
      <c r="D80" s="7">
        <v>2016</v>
      </c>
      <c r="E80" s="8" t="s">
        <v>56</v>
      </c>
      <c r="F80" s="10" t="s">
        <v>236</v>
      </c>
      <c r="G80" s="5" t="s">
        <v>191</v>
      </c>
      <c r="H80" s="5" t="s">
        <v>28</v>
      </c>
      <c r="I80" s="5" t="s">
        <v>237</v>
      </c>
      <c r="J80" s="9"/>
      <c r="K80" s="5" t="s">
        <v>238</v>
      </c>
      <c r="L80" s="9"/>
      <c r="M80" s="5" t="s">
        <v>239</v>
      </c>
      <c r="N80" s="8">
        <v>33</v>
      </c>
      <c r="O80" s="8">
        <v>750</v>
      </c>
      <c r="P80" s="7" t="s">
        <v>105</v>
      </c>
      <c r="Q80" s="8" t="s">
        <v>193</v>
      </c>
      <c r="R80" s="5"/>
      <c r="S80" s="9" t="b">
        <v>1</v>
      </c>
      <c r="T80" s="9" t="b">
        <v>0</v>
      </c>
      <c r="U80" s="9" t="b">
        <v>0</v>
      </c>
      <c r="V80" s="9" t="b">
        <v>0</v>
      </c>
      <c r="W80" s="9" t="b">
        <v>1</v>
      </c>
    </row>
    <row r="81" spans="1:23" ht="16" x14ac:dyDescent="0.2">
      <c r="A81" s="4" t="s">
        <v>23</v>
      </c>
      <c r="B81" s="5" t="s">
        <v>24</v>
      </c>
      <c r="C81" s="8">
        <v>1</v>
      </c>
      <c r="D81" s="7">
        <v>2016</v>
      </c>
      <c r="E81" s="8" t="s">
        <v>122</v>
      </c>
      <c r="F81" s="8" t="s">
        <v>181</v>
      </c>
      <c r="G81" s="5" t="s">
        <v>27</v>
      </c>
      <c r="H81" s="5" t="s">
        <v>28</v>
      </c>
      <c r="I81" s="5" t="s">
        <v>29</v>
      </c>
      <c r="J81" s="5" t="s">
        <v>30</v>
      </c>
      <c r="K81" s="5" t="s">
        <v>31</v>
      </c>
      <c r="L81" s="5" t="s">
        <v>182</v>
      </c>
      <c r="M81" s="9"/>
      <c r="N81" s="11">
        <v>125</v>
      </c>
      <c r="O81" s="8">
        <v>750</v>
      </c>
      <c r="P81" s="7" t="s">
        <v>34</v>
      </c>
      <c r="Q81" s="8" t="s">
        <v>183</v>
      </c>
      <c r="R81" s="5"/>
      <c r="S81" s="9" t="b">
        <v>0</v>
      </c>
      <c r="T81" s="9" t="b">
        <v>0</v>
      </c>
      <c r="U81" s="9" t="b">
        <v>0</v>
      </c>
      <c r="V81" s="9" t="b">
        <v>0</v>
      </c>
      <c r="W81" s="9" t="b">
        <v>0</v>
      </c>
    </row>
    <row r="82" spans="1:23" ht="16" x14ac:dyDescent="0.2">
      <c r="A82" s="4" t="s">
        <v>23</v>
      </c>
      <c r="B82" s="5" t="s">
        <v>24</v>
      </c>
      <c r="C82" s="5">
        <v>1</v>
      </c>
      <c r="D82" s="7">
        <v>2016</v>
      </c>
      <c r="E82" s="5" t="s">
        <v>240</v>
      </c>
      <c r="F82" s="5" t="s">
        <v>156</v>
      </c>
      <c r="G82" s="5" t="s">
        <v>156</v>
      </c>
      <c r="H82" s="5" t="s">
        <v>28</v>
      </c>
      <c r="I82" s="5" t="s">
        <v>29</v>
      </c>
      <c r="J82" s="5" t="s">
        <v>30</v>
      </c>
      <c r="K82" s="5" t="s">
        <v>31</v>
      </c>
      <c r="L82" s="5" t="s">
        <v>241</v>
      </c>
      <c r="M82" s="9"/>
      <c r="N82" s="22">
        <v>120</v>
      </c>
      <c r="O82" s="5">
        <v>1500</v>
      </c>
      <c r="P82" s="7" t="s">
        <v>53</v>
      </c>
      <c r="Q82" s="8" t="s">
        <v>62</v>
      </c>
      <c r="R82" s="5"/>
      <c r="S82" s="9" t="b">
        <v>0</v>
      </c>
      <c r="T82" s="9" t="b">
        <v>0</v>
      </c>
      <c r="U82" s="9" t="b">
        <v>0</v>
      </c>
      <c r="V82" s="9" t="b">
        <v>0</v>
      </c>
      <c r="W82" s="9" t="b">
        <v>0</v>
      </c>
    </row>
    <row r="83" spans="1:23" ht="16" x14ac:dyDescent="0.2">
      <c r="A83" s="4" t="s">
        <v>23</v>
      </c>
      <c r="B83" s="5" t="s">
        <v>24</v>
      </c>
      <c r="C83" s="8">
        <v>2</v>
      </c>
      <c r="D83" s="7">
        <v>2016</v>
      </c>
      <c r="E83" s="8" t="s">
        <v>163</v>
      </c>
      <c r="F83" s="10" t="s">
        <v>164</v>
      </c>
      <c r="G83" s="5" t="s">
        <v>74</v>
      </c>
      <c r="H83" s="5" t="s">
        <v>28</v>
      </c>
      <c r="I83" s="5" t="s">
        <v>58</v>
      </c>
      <c r="J83" s="5" t="s">
        <v>59</v>
      </c>
      <c r="K83" s="5" t="s">
        <v>165</v>
      </c>
      <c r="L83" s="5" t="s">
        <v>165</v>
      </c>
      <c r="M83" s="5" t="s">
        <v>166</v>
      </c>
      <c r="N83" s="11">
        <v>110</v>
      </c>
      <c r="O83" s="8">
        <v>750</v>
      </c>
      <c r="P83" s="7" t="s">
        <v>34</v>
      </c>
      <c r="Q83" s="8" t="s">
        <v>167</v>
      </c>
      <c r="R83" s="5"/>
      <c r="S83" s="9" t="b">
        <v>0</v>
      </c>
      <c r="T83" s="9" t="b">
        <v>0</v>
      </c>
      <c r="U83" s="9" t="b">
        <v>0</v>
      </c>
      <c r="V83" s="9" t="b">
        <v>0</v>
      </c>
      <c r="W83" s="9" t="b">
        <v>0</v>
      </c>
    </row>
    <row r="84" spans="1:23" ht="16" x14ac:dyDescent="0.2">
      <c r="A84" s="4" t="s">
        <v>23</v>
      </c>
      <c r="B84" s="5" t="s">
        <v>24</v>
      </c>
      <c r="C84" s="8">
        <v>1</v>
      </c>
      <c r="D84" s="7">
        <v>2014</v>
      </c>
      <c r="E84" s="8" t="s">
        <v>80</v>
      </c>
      <c r="F84" s="10" t="s">
        <v>242</v>
      </c>
      <c r="G84" s="5" t="s">
        <v>40</v>
      </c>
      <c r="H84" s="5" t="s">
        <v>82</v>
      </c>
      <c r="I84" s="5"/>
      <c r="J84" s="5" t="s">
        <v>83</v>
      </c>
      <c r="K84" s="5"/>
      <c r="L84" s="9"/>
      <c r="M84" s="9"/>
      <c r="N84" s="8">
        <v>121</v>
      </c>
      <c r="O84" s="8">
        <v>750</v>
      </c>
      <c r="P84" s="7" t="s">
        <v>34</v>
      </c>
      <c r="Q84" s="8"/>
      <c r="R84" s="5"/>
      <c r="S84" s="9" t="b">
        <v>1</v>
      </c>
      <c r="T84" s="9" t="b">
        <v>0</v>
      </c>
      <c r="U84" s="9" t="b">
        <v>0</v>
      </c>
      <c r="V84" s="9" t="b">
        <v>0</v>
      </c>
      <c r="W84" s="9" t="b">
        <v>0</v>
      </c>
    </row>
    <row r="85" spans="1:23" ht="16" x14ac:dyDescent="0.2">
      <c r="A85" s="16" t="s">
        <v>153</v>
      </c>
      <c r="B85" s="17" t="s">
        <v>24</v>
      </c>
      <c r="C85" s="17">
        <v>1</v>
      </c>
      <c r="D85" s="18">
        <v>2017</v>
      </c>
      <c r="E85" s="17" t="s">
        <v>243</v>
      </c>
      <c r="F85" s="19" t="s">
        <v>244</v>
      </c>
      <c r="G85" s="17" t="s">
        <v>74</v>
      </c>
      <c r="H85" s="17" t="s">
        <v>28</v>
      </c>
      <c r="I85" s="17" t="s">
        <v>29</v>
      </c>
      <c r="J85" s="17" t="s">
        <v>30</v>
      </c>
      <c r="K85" s="17" t="s">
        <v>31</v>
      </c>
      <c r="L85" s="17"/>
      <c r="M85" s="20"/>
      <c r="N85" s="17">
        <v>170</v>
      </c>
      <c r="O85" s="17">
        <v>750</v>
      </c>
      <c r="P85" s="18" t="s">
        <v>34</v>
      </c>
      <c r="Q85" s="17" t="s">
        <v>204</v>
      </c>
      <c r="R85" s="17"/>
      <c r="S85" s="20" t="b">
        <v>1</v>
      </c>
      <c r="T85" s="20" t="b">
        <v>1</v>
      </c>
      <c r="U85" s="20" t="b">
        <v>1</v>
      </c>
      <c r="V85" s="20" t="b">
        <v>1</v>
      </c>
      <c r="W85" s="20" t="b">
        <v>0</v>
      </c>
    </row>
    <row r="86" spans="1:23" ht="16" x14ac:dyDescent="0.2">
      <c r="A86" s="4" t="s">
        <v>23</v>
      </c>
      <c r="B86" s="5" t="s">
        <v>24</v>
      </c>
      <c r="C86" s="8">
        <v>1</v>
      </c>
      <c r="D86" s="7">
        <v>2016</v>
      </c>
      <c r="E86" s="8" t="s">
        <v>163</v>
      </c>
      <c r="F86" s="10" t="s">
        <v>164</v>
      </c>
      <c r="G86" s="5" t="s">
        <v>74</v>
      </c>
      <c r="H86" s="5" t="s">
        <v>28</v>
      </c>
      <c r="I86" s="5" t="s">
        <v>58</v>
      </c>
      <c r="J86" s="5" t="s">
        <v>59</v>
      </c>
      <c r="K86" s="5" t="s">
        <v>165</v>
      </c>
      <c r="L86" s="5" t="s">
        <v>165</v>
      </c>
      <c r="M86" s="5" t="s">
        <v>166</v>
      </c>
      <c r="N86" s="11">
        <v>110</v>
      </c>
      <c r="O86" s="8">
        <v>750</v>
      </c>
      <c r="P86" s="7" t="s">
        <v>34</v>
      </c>
      <c r="Q86" s="8" t="s">
        <v>62</v>
      </c>
      <c r="R86" s="5"/>
      <c r="S86" s="9" t="b">
        <v>0</v>
      </c>
      <c r="T86" s="9" t="b">
        <v>0</v>
      </c>
      <c r="U86" s="9" t="b">
        <v>0</v>
      </c>
      <c r="V86" s="9" t="b">
        <v>0</v>
      </c>
      <c r="W86" s="9" t="b">
        <v>0</v>
      </c>
    </row>
    <row r="87" spans="1:23" ht="16" x14ac:dyDescent="0.2">
      <c r="A87" s="4" t="s">
        <v>23</v>
      </c>
      <c r="B87" s="5" t="s">
        <v>24</v>
      </c>
      <c r="C87" s="8">
        <v>1</v>
      </c>
      <c r="D87" s="7">
        <v>2016</v>
      </c>
      <c r="E87" s="8" t="s">
        <v>84</v>
      </c>
      <c r="F87" s="10" t="s">
        <v>201</v>
      </c>
      <c r="G87" s="5" t="s">
        <v>27</v>
      </c>
      <c r="H87" s="5" t="s">
        <v>28</v>
      </c>
      <c r="I87" s="5" t="s">
        <v>29</v>
      </c>
      <c r="J87" s="5" t="s">
        <v>30</v>
      </c>
      <c r="K87" s="8" t="s">
        <v>31</v>
      </c>
      <c r="L87" s="5" t="s">
        <v>75</v>
      </c>
      <c r="M87" s="9"/>
      <c r="N87" s="8">
        <v>80</v>
      </c>
      <c r="O87" s="8">
        <v>750</v>
      </c>
      <c r="P87" s="7" t="s">
        <v>34</v>
      </c>
      <c r="Q87" s="8" t="s">
        <v>66</v>
      </c>
      <c r="R87" s="5"/>
      <c r="S87" s="9" t="b">
        <v>1</v>
      </c>
      <c r="T87" s="9" t="b">
        <v>0</v>
      </c>
      <c r="U87" s="9" t="b">
        <v>0</v>
      </c>
      <c r="V87" s="9" t="b">
        <v>0</v>
      </c>
      <c r="W87" s="9" t="b">
        <v>0</v>
      </c>
    </row>
    <row r="88" spans="1:23" ht="15.75" customHeight="1" x14ac:dyDescent="0.2">
      <c r="A88" s="16" t="s">
        <v>23</v>
      </c>
      <c r="B88" s="17" t="s">
        <v>24</v>
      </c>
      <c r="C88" s="17">
        <v>2</v>
      </c>
      <c r="D88" s="18">
        <v>2016</v>
      </c>
      <c r="E88" s="17" t="s">
        <v>229</v>
      </c>
      <c r="F88" s="19" t="s">
        <v>245</v>
      </c>
      <c r="G88" s="17" t="s">
        <v>27</v>
      </c>
      <c r="H88" s="17" t="s">
        <v>28</v>
      </c>
      <c r="I88" s="17" t="s">
        <v>29</v>
      </c>
      <c r="J88" s="17" t="s">
        <v>30</v>
      </c>
      <c r="K88" s="17" t="s">
        <v>31</v>
      </c>
      <c r="L88" s="17" t="s">
        <v>221</v>
      </c>
      <c r="M88" s="17"/>
      <c r="N88" s="17">
        <v>150</v>
      </c>
      <c r="O88" s="17">
        <v>750</v>
      </c>
      <c r="P88" s="18" t="s">
        <v>34</v>
      </c>
      <c r="Q88" s="17" t="s">
        <v>204</v>
      </c>
      <c r="R88" s="17"/>
      <c r="S88" s="20" t="b">
        <v>1</v>
      </c>
      <c r="T88" s="20" t="b">
        <v>0</v>
      </c>
      <c r="U88" s="20" t="b">
        <v>0</v>
      </c>
      <c r="V88" s="20" t="b">
        <v>1</v>
      </c>
      <c r="W88" s="20" t="b">
        <v>0</v>
      </c>
    </row>
    <row r="89" spans="1:23" ht="16" x14ac:dyDescent="0.2">
      <c r="A89" s="4" t="s">
        <v>23</v>
      </c>
      <c r="B89" s="5" t="s">
        <v>24</v>
      </c>
      <c r="C89" s="6">
        <v>1</v>
      </c>
      <c r="D89" s="7">
        <v>2016</v>
      </c>
      <c r="E89" s="8" t="s">
        <v>246</v>
      </c>
      <c r="F89" s="10" t="s">
        <v>247</v>
      </c>
      <c r="G89" s="5" t="s">
        <v>129</v>
      </c>
      <c r="H89" s="5" t="s">
        <v>28</v>
      </c>
      <c r="I89" s="5" t="s">
        <v>29</v>
      </c>
      <c r="J89" s="5" t="s">
        <v>212</v>
      </c>
      <c r="K89" s="5" t="s">
        <v>248</v>
      </c>
      <c r="L89" s="9"/>
      <c r="M89" s="5" t="s">
        <v>249</v>
      </c>
      <c r="N89" s="11">
        <v>110</v>
      </c>
      <c r="O89" s="8">
        <v>750</v>
      </c>
      <c r="P89" s="7" t="s">
        <v>34</v>
      </c>
      <c r="Q89" s="8" t="s">
        <v>180</v>
      </c>
      <c r="R89" s="5"/>
      <c r="S89" s="9" t="b">
        <v>0</v>
      </c>
      <c r="T89" s="9" t="b">
        <v>0</v>
      </c>
      <c r="U89" s="9" t="b">
        <v>0</v>
      </c>
      <c r="V89" s="9" t="b">
        <v>0</v>
      </c>
      <c r="W89" s="9" t="b">
        <v>0</v>
      </c>
    </row>
    <row r="90" spans="1:23" ht="16" x14ac:dyDescent="0.2">
      <c r="A90" s="12" t="s">
        <v>23</v>
      </c>
      <c r="B90" s="8" t="s">
        <v>24</v>
      </c>
      <c r="C90" s="8">
        <v>1</v>
      </c>
      <c r="D90" s="7">
        <v>2015</v>
      </c>
      <c r="E90" s="8" t="s">
        <v>84</v>
      </c>
      <c r="F90" s="10">
        <v>1873</v>
      </c>
      <c r="G90" s="8" t="s">
        <v>27</v>
      </c>
      <c r="H90" s="8" t="s">
        <v>28</v>
      </c>
      <c r="I90" s="8" t="s">
        <v>29</v>
      </c>
      <c r="J90" s="8" t="s">
        <v>30</v>
      </c>
      <c r="K90" s="8" t="s">
        <v>31</v>
      </c>
      <c r="L90" s="13"/>
      <c r="M90" s="13"/>
      <c r="N90" s="8">
        <v>85</v>
      </c>
      <c r="O90" s="8">
        <v>750</v>
      </c>
      <c r="P90" s="7" t="s">
        <v>34</v>
      </c>
      <c r="Q90" s="8" t="s">
        <v>98</v>
      </c>
      <c r="R90" s="8"/>
      <c r="S90" s="13" t="b">
        <v>1</v>
      </c>
      <c r="T90" s="13" t="b">
        <v>1</v>
      </c>
      <c r="U90" s="13" t="b">
        <v>0</v>
      </c>
      <c r="V90" s="13" t="b">
        <v>0</v>
      </c>
      <c r="W90" s="13" t="b">
        <v>0</v>
      </c>
    </row>
    <row r="91" spans="1:23" ht="16" x14ac:dyDescent="0.2">
      <c r="A91" s="4" t="s">
        <v>23</v>
      </c>
      <c r="B91" s="5" t="s">
        <v>44</v>
      </c>
      <c r="C91" s="8">
        <v>1</v>
      </c>
      <c r="D91" s="7">
        <v>2016</v>
      </c>
      <c r="E91" s="8" t="s">
        <v>189</v>
      </c>
      <c r="F91" s="10" t="s">
        <v>250</v>
      </c>
      <c r="G91" s="5" t="s">
        <v>40</v>
      </c>
      <c r="H91" s="5" t="s">
        <v>28</v>
      </c>
      <c r="I91" s="5" t="s">
        <v>29</v>
      </c>
      <c r="J91" s="5" t="s">
        <v>30</v>
      </c>
      <c r="K91" s="9"/>
      <c r="L91" s="9"/>
      <c r="M91" s="9"/>
      <c r="N91" s="8">
        <v>65</v>
      </c>
      <c r="O91" s="8">
        <v>750</v>
      </c>
      <c r="P91" s="7" t="s">
        <v>47</v>
      </c>
      <c r="Q91" s="8" t="s">
        <v>48</v>
      </c>
      <c r="R91" s="5"/>
      <c r="S91" s="9" t="b">
        <v>1</v>
      </c>
      <c r="T91" s="9" t="b">
        <v>1</v>
      </c>
      <c r="U91" s="9" t="b">
        <v>0</v>
      </c>
      <c r="V91" s="9" t="b">
        <v>0</v>
      </c>
      <c r="W91" s="9" t="b">
        <v>0</v>
      </c>
    </row>
    <row r="92" spans="1:23" ht="16" x14ac:dyDescent="0.2">
      <c r="A92" s="12" t="s">
        <v>23</v>
      </c>
      <c r="B92" s="8" t="s">
        <v>24</v>
      </c>
      <c r="C92" s="8">
        <v>2</v>
      </c>
      <c r="D92" s="7">
        <v>2016</v>
      </c>
      <c r="E92" s="8" t="s">
        <v>122</v>
      </c>
      <c r="F92" s="10" t="s">
        <v>206</v>
      </c>
      <c r="G92" s="8" t="s">
        <v>74</v>
      </c>
      <c r="H92" s="8" t="s">
        <v>28</v>
      </c>
      <c r="I92" s="8" t="s">
        <v>29</v>
      </c>
      <c r="J92" s="8" t="s">
        <v>30</v>
      </c>
      <c r="K92" s="8" t="s">
        <v>31</v>
      </c>
      <c r="L92" s="8" t="s">
        <v>207</v>
      </c>
      <c r="M92" s="8" t="s">
        <v>251</v>
      </c>
      <c r="N92" s="8">
        <v>100</v>
      </c>
      <c r="O92" s="8">
        <v>750</v>
      </c>
      <c r="P92" s="7" t="s">
        <v>34</v>
      </c>
      <c r="Q92" s="8" t="s">
        <v>183</v>
      </c>
      <c r="R92" s="8"/>
      <c r="S92" s="13" t="b">
        <v>1</v>
      </c>
      <c r="T92" s="13" t="b">
        <v>1</v>
      </c>
      <c r="U92" s="13" t="b">
        <v>0</v>
      </c>
      <c r="V92" s="13" t="b">
        <v>1</v>
      </c>
      <c r="W92" s="13" t="b">
        <v>1</v>
      </c>
    </row>
    <row r="93" spans="1:23" ht="15.75" customHeight="1" x14ac:dyDescent="0.2">
      <c r="A93" s="16" t="s">
        <v>23</v>
      </c>
      <c r="B93" s="17" t="s">
        <v>24</v>
      </c>
      <c r="C93" s="17">
        <v>1</v>
      </c>
      <c r="D93" s="18">
        <v>2017</v>
      </c>
      <c r="E93" s="17" t="s">
        <v>229</v>
      </c>
      <c r="F93" s="19" t="s">
        <v>252</v>
      </c>
      <c r="G93" s="17" t="s">
        <v>139</v>
      </c>
      <c r="H93" s="17" t="s">
        <v>28</v>
      </c>
      <c r="I93" s="17" t="s">
        <v>29</v>
      </c>
      <c r="J93" s="17" t="s">
        <v>30</v>
      </c>
      <c r="K93" s="17" t="s">
        <v>97</v>
      </c>
      <c r="L93" s="17" t="s">
        <v>253</v>
      </c>
      <c r="M93" s="17"/>
      <c r="N93" s="17">
        <v>95</v>
      </c>
      <c r="O93" s="17">
        <v>750</v>
      </c>
      <c r="P93" s="18" t="s">
        <v>34</v>
      </c>
      <c r="Q93" s="17" t="s">
        <v>35</v>
      </c>
      <c r="R93" s="17"/>
      <c r="S93" s="20" t="b">
        <v>1</v>
      </c>
      <c r="T93" s="20" t="b">
        <v>1</v>
      </c>
      <c r="U93" s="20" t="b">
        <v>1</v>
      </c>
      <c r="V93" s="20" t="b">
        <v>1</v>
      </c>
      <c r="W93" s="20" t="b">
        <v>0</v>
      </c>
    </row>
    <row r="94" spans="1:23" ht="15.75" customHeight="1" x14ac:dyDescent="0.2">
      <c r="A94" s="4" t="s">
        <v>23</v>
      </c>
      <c r="B94" s="5" t="s">
        <v>24</v>
      </c>
      <c r="C94" s="6">
        <v>1</v>
      </c>
      <c r="D94" s="7">
        <v>2016</v>
      </c>
      <c r="E94" s="8" t="s">
        <v>254</v>
      </c>
      <c r="F94" s="10" t="s">
        <v>255</v>
      </c>
      <c r="G94" s="5" t="s">
        <v>129</v>
      </c>
      <c r="H94" s="5" t="s">
        <v>28</v>
      </c>
      <c r="I94" s="5" t="s">
        <v>237</v>
      </c>
      <c r="J94" s="5" t="s">
        <v>59</v>
      </c>
      <c r="K94" s="5" t="s">
        <v>256</v>
      </c>
      <c r="L94" s="5" t="s">
        <v>257</v>
      </c>
      <c r="M94" s="5" t="s">
        <v>255</v>
      </c>
      <c r="N94" s="11">
        <v>97</v>
      </c>
      <c r="O94" s="8">
        <v>750</v>
      </c>
      <c r="P94" s="7" t="s">
        <v>34</v>
      </c>
      <c r="Q94" s="8" t="s">
        <v>35</v>
      </c>
      <c r="R94" s="5"/>
      <c r="S94" s="9" t="b">
        <v>0</v>
      </c>
      <c r="T94" s="9" t="b">
        <v>0</v>
      </c>
      <c r="U94" s="9" t="b">
        <v>0</v>
      </c>
      <c r="V94" s="9" t="b">
        <v>0</v>
      </c>
      <c r="W94" s="9" t="b">
        <v>0</v>
      </c>
    </row>
    <row r="95" spans="1:23" ht="15.75" customHeight="1" x14ac:dyDescent="0.2">
      <c r="A95" s="4" t="s">
        <v>23</v>
      </c>
      <c r="B95" s="5" t="s">
        <v>24</v>
      </c>
      <c r="C95" s="8">
        <v>2</v>
      </c>
      <c r="D95" s="7">
        <v>2016</v>
      </c>
      <c r="E95" s="8" t="s">
        <v>258</v>
      </c>
      <c r="F95" s="10" t="s">
        <v>259</v>
      </c>
      <c r="G95" s="5" t="s">
        <v>40</v>
      </c>
      <c r="H95" s="5" t="s">
        <v>82</v>
      </c>
      <c r="I95" s="5"/>
      <c r="J95" s="5" t="s">
        <v>218</v>
      </c>
      <c r="K95" s="5" t="s">
        <v>219</v>
      </c>
      <c r="L95" s="9"/>
      <c r="M95" s="9"/>
      <c r="N95" s="11">
        <v>90</v>
      </c>
      <c r="O95" s="8">
        <v>750</v>
      </c>
      <c r="P95" s="7" t="s">
        <v>34</v>
      </c>
      <c r="Q95" s="8" t="s">
        <v>43</v>
      </c>
      <c r="R95" s="5"/>
      <c r="S95" s="9" t="b">
        <v>0</v>
      </c>
      <c r="T95" s="9" t="b">
        <v>0</v>
      </c>
      <c r="U95" s="9" t="b">
        <v>0</v>
      </c>
      <c r="V95" s="9" t="b">
        <v>0</v>
      </c>
      <c r="W95" s="9" t="b">
        <v>0</v>
      </c>
    </row>
    <row r="96" spans="1:23" ht="16" x14ac:dyDescent="0.2">
      <c r="A96" s="4" t="s">
        <v>23</v>
      </c>
      <c r="B96" s="5" t="s">
        <v>24</v>
      </c>
      <c r="C96" s="8">
        <v>1</v>
      </c>
      <c r="D96" s="7">
        <v>2016</v>
      </c>
      <c r="E96" s="8" t="s">
        <v>118</v>
      </c>
      <c r="F96" s="10" t="s">
        <v>119</v>
      </c>
      <c r="G96" s="5" t="s">
        <v>89</v>
      </c>
      <c r="H96" s="5" t="s">
        <v>82</v>
      </c>
      <c r="I96" s="5"/>
      <c r="J96" s="5" t="s">
        <v>90</v>
      </c>
      <c r="K96" s="5" t="s">
        <v>91</v>
      </c>
      <c r="L96" s="5" t="s">
        <v>92</v>
      </c>
      <c r="M96" s="5" t="s">
        <v>93</v>
      </c>
      <c r="N96" s="11">
        <v>90</v>
      </c>
      <c r="O96" s="8">
        <v>750</v>
      </c>
      <c r="P96" s="7" t="s">
        <v>34</v>
      </c>
      <c r="Q96" s="8"/>
      <c r="R96" s="5"/>
      <c r="S96" s="9" t="b">
        <v>0</v>
      </c>
      <c r="T96" s="9" t="b">
        <v>0</v>
      </c>
      <c r="U96" s="9" t="b">
        <v>1</v>
      </c>
      <c r="V96" s="9" t="b">
        <v>0</v>
      </c>
      <c r="W96" s="9" t="b">
        <v>0</v>
      </c>
    </row>
    <row r="97" spans="1:23" ht="16" x14ac:dyDescent="0.2">
      <c r="A97" s="4" t="s">
        <v>23</v>
      </c>
      <c r="B97" s="5" t="s">
        <v>24</v>
      </c>
      <c r="C97" s="8">
        <v>2</v>
      </c>
      <c r="D97" s="7">
        <v>2016</v>
      </c>
      <c r="E97" s="8" t="s">
        <v>260</v>
      </c>
      <c r="F97" s="10" t="s">
        <v>261</v>
      </c>
      <c r="G97" s="5" t="s">
        <v>40</v>
      </c>
      <c r="H97" s="5" t="s">
        <v>82</v>
      </c>
      <c r="I97" s="5"/>
      <c r="J97" s="5" t="s">
        <v>90</v>
      </c>
      <c r="K97" s="5" t="s">
        <v>92</v>
      </c>
      <c r="L97" s="9"/>
      <c r="M97" s="10" t="s">
        <v>261</v>
      </c>
      <c r="N97" s="11">
        <v>88</v>
      </c>
      <c r="O97" s="8">
        <v>750</v>
      </c>
      <c r="P97" s="7" t="s">
        <v>34</v>
      </c>
      <c r="Q97" s="8" t="s">
        <v>43</v>
      </c>
      <c r="R97" s="5"/>
      <c r="S97" s="9" t="b">
        <v>0</v>
      </c>
      <c r="T97" s="9" t="b">
        <v>0</v>
      </c>
      <c r="U97" s="9" t="b">
        <v>0</v>
      </c>
      <c r="V97" s="9" t="b">
        <v>0</v>
      </c>
      <c r="W97" s="9" t="b">
        <v>0</v>
      </c>
    </row>
    <row r="98" spans="1:23" ht="16" x14ac:dyDescent="0.2">
      <c r="A98" s="4" t="s">
        <v>23</v>
      </c>
      <c r="B98" s="5" t="s">
        <v>24</v>
      </c>
      <c r="C98" s="8">
        <v>1</v>
      </c>
      <c r="D98" s="7">
        <v>2016</v>
      </c>
      <c r="E98" s="8" t="s">
        <v>262</v>
      </c>
      <c r="F98" s="10" t="s">
        <v>263</v>
      </c>
      <c r="G98" s="5" t="s">
        <v>139</v>
      </c>
      <c r="H98" s="5" t="s">
        <v>41</v>
      </c>
      <c r="I98" s="5" t="s">
        <v>75</v>
      </c>
      <c r="J98" s="5" t="s">
        <v>227</v>
      </c>
      <c r="K98" s="10" t="s">
        <v>263</v>
      </c>
      <c r="L98" s="9"/>
      <c r="M98" s="9"/>
      <c r="N98" s="11">
        <v>80</v>
      </c>
      <c r="O98" s="8">
        <v>750</v>
      </c>
      <c r="P98" s="7" t="s">
        <v>34</v>
      </c>
      <c r="Q98" s="8" t="s">
        <v>161</v>
      </c>
      <c r="R98" s="5"/>
      <c r="S98" s="9" t="b">
        <v>0</v>
      </c>
      <c r="T98" s="9" t="b">
        <v>0</v>
      </c>
      <c r="U98" s="9" t="b">
        <v>0</v>
      </c>
      <c r="V98" s="9" t="b">
        <v>0</v>
      </c>
      <c r="W98" s="9" t="b">
        <v>0</v>
      </c>
    </row>
    <row r="99" spans="1:23" ht="16" x14ac:dyDescent="0.2">
      <c r="A99" s="4" t="s">
        <v>23</v>
      </c>
      <c r="B99" s="5" t="s">
        <v>24</v>
      </c>
      <c r="C99" s="8">
        <v>1</v>
      </c>
      <c r="D99" s="7">
        <v>2016</v>
      </c>
      <c r="E99" s="8" t="s">
        <v>264</v>
      </c>
      <c r="F99" s="10" t="s">
        <v>119</v>
      </c>
      <c r="G99" s="5" t="s">
        <v>89</v>
      </c>
      <c r="H99" s="5" t="s">
        <v>82</v>
      </c>
      <c r="I99" s="5" t="s">
        <v>75</v>
      </c>
      <c r="J99" s="5" t="s">
        <v>90</v>
      </c>
      <c r="K99" s="5" t="s">
        <v>92</v>
      </c>
      <c r="L99" s="5" t="s">
        <v>91</v>
      </c>
      <c r="M99" s="10" t="s">
        <v>265</v>
      </c>
      <c r="N99" s="11">
        <v>80</v>
      </c>
      <c r="O99" s="8">
        <v>750</v>
      </c>
      <c r="P99" s="7" t="s">
        <v>34</v>
      </c>
      <c r="Q99" s="8" t="s">
        <v>35</v>
      </c>
      <c r="R99" s="5"/>
      <c r="S99" s="9" t="b">
        <v>0</v>
      </c>
      <c r="T99" s="9" t="b">
        <v>0</v>
      </c>
      <c r="U99" s="9" t="b">
        <v>0</v>
      </c>
      <c r="V99" s="9" t="b">
        <v>0</v>
      </c>
      <c r="W99" s="9" t="b">
        <v>0</v>
      </c>
    </row>
    <row r="100" spans="1:23" ht="16" x14ac:dyDescent="0.2">
      <c r="A100" s="12" t="s">
        <v>23</v>
      </c>
      <c r="B100" s="8" t="s">
        <v>24</v>
      </c>
      <c r="C100" s="8">
        <v>2</v>
      </c>
      <c r="D100" s="7">
        <v>2016</v>
      </c>
      <c r="E100" s="8" t="s">
        <v>188</v>
      </c>
      <c r="F100" s="10" t="s">
        <v>178</v>
      </c>
      <c r="G100" s="8" t="s">
        <v>27</v>
      </c>
      <c r="H100" s="8" t="s">
        <v>28</v>
      </c>
      <c r="I100" s="8" t="s">
        <v>29</v>
      </c>
      <c r="J100" s="8" t="s">
        <v>30</v>
      </c>
      <c r="K100" s="8" t="s">
        <v>31</v>
      </c>
      <c r="L100" s="13"/>
      <c r="M100" s="8"/>
      <c r="N100" s="11">
        <v>80</v>
      </c>
      <c r="O100" s="8">
        <v>750</v>
      </c>
      <c r="P100" s="7" t="s">
        <v>34</v>
      </c>
      <c r="Q100" s="8" t="s">
        <v>183</v>
      </c>
      <c r="R100" s="8"/>
      <c r="S100" s="13" t="b">
        <v>0</v>
      </c>
      <c r="T100" s="13" t="b">
        <v>0</v>
      </c>
      <c r="U100" s="13" t="b">
        <v>0</v>
      </c>
      <c r="V100" s="13" t="b">
        <v>1</v>
      </c>
      <c r="W100" s="13" t="b">
        <v>1</v>
      </c>
    </row>
    <row r="101" spans="1:23" ht="15.75" customHeight="1" x14ac:dyDescent="0.2">
      <c r="A101" s="4" t="s">
        <v>23</v>
      </c>
      <c r="B101" s="5" t="s">
        <v>24</v>
      </c>
      <c r="C101" s="8">
        <v>1</v>
      </c>
      <c r="D101" s="7">
        <v>2016</v>
      </c>
      <c r="E101" s="8" t="s">
        <v>95</v>
      </c>
      <c r="F101" s="10" t="s">
        <v>96</v>
      </c>
      <c r="G101" s="5" t="s">
        <v>74</v>
      </c>
      <c r="H101" s="5" t="s">
        <v>28</v>
      </c>
      <c r="I101" s="5" t="s">
        <v>29</v>
      </c>
      <c r="J101" s="5" t="s">
        <v>30</v>
      </c>
      <c r="K101" s="8" t="s">
        <v>97</v>
      </c>
      <c r="L101" s="9"/>
      <c r="M101" s="9"/>
      <c r="N101" s="11">
        <v>75</v>
      </c>
      <c r="O101" s="8">
        <v>750</v>
      </c>
      <c r="P101" s="7" t="s">
        <v>34</v>
      </c>
      <c r="Q101" s="14" t="s">
        <v>78</v>
      </c>
      <c r="R101" s="5"/>
      <c r="S101" s="9" t="b">
        <v>1</v>
      </c>
      <c r="T101" s="9" t="b">
        <v>1</v>
      </c>
      <c r="U101" s="9" t="b">
        <v>0</v>
      </c>
      <c r="V101" s="9" t="b">
        <v>1</v>
      </c>
      <c r="W101" s="9" t="b">
        <v>1</v>
      </c>
    </row>
    <row r="102" spans="1:23" ht="15.75" customHeight="1" x14ac:dyDescent="0.2">
      <c r="A102" s="16" t="s">
        <v>23</v>
      </c>
      <c r="B102" s="17" t="s">
        <v>24</v>
      </c>
      <c r="C102" s="17">
        <v>1</v>
      </c>
      <c r="D102" s="18">
        <v>2016</v>
      </c>
      <c r="E102" s="17" t="s">
        <v>84</v>
      </c>
      <c r="F102" s="19" t="s">
        <v>266</v>
      </c>
      <c r="G102" s="17" t="s">
        <v>27</v>
      </c>
      <c r="H102" s="17" t="s">
        <v>28</v>
      </c>
      <c r="I102" s="17" t="s">
        <v>29</v>
      </c>
      <c r="J102" s="17" t="s">
        <v>30</v>
      </c>
      <c r="K102" s="17" t="s">
        <v>31</v>
      </c>
      <c r="L102" s="17"/>
      <c r="M102" s="17"/>
      <c r="N102" s="17">
        <v>70</v>
      </c>
      <c r="O102" s="17">
        <v>750</v>
      </c>
      <c r="P102" s="18" t="s">
        <v>34</v>
      </c>
      <c r="Q102" s="17" t="s">
        <v>204</v>
      </c>
      <c r="R102" s="17"/>
      <c r="S102" s="20" t="b">
        <v>1</v>
      </c>
      <c r="T102" s="20" t="b">
        <v>0</v>
      </c>
      <c r="U102" s="20" t="b">
        <v>0</v>
      </c>
      <c r="V102" s="20" t="b">
        <v>1</v>
      </c>
      <c r="W102" s="20" t="b">
        <v>0</v>
      </c>
    </row>
    <row r="103" spans="1:23" ht="15.75" customHeight="1" x14ac:dyDescent="0.2">
      <c r="A103" s="16" t="s">
        <v>23</v>
      </c>
      <c r="B103" s="17" t="s">
        <v>24</v>
      </c>
      <c r="C103" s="17">
        <v>1</v>
      </c>
      <c r="D103" s="18">
        <v>2016</v>
      </c>
      <c r="E103" s="17" t="s">
        <v>103</v>
      </c>
      <c r="F103" s="19" t="s">
        <v>267</v>
      </c>
      <c r="G103" s="17" t="s">
        <v>191</v>
      </c>
      <c r="H103" s="17" t="s">
        <v>28</v>
      </c>
      <c r="I103" s="17" t="s">
        <v>29</v>
      </c>
      <c r="J103" s="17" t="s">
        <v>30</v>
      </c>
      <c r="K103" s="17" t="s">
        <v>31</v>
      </c>
      <c r="L103" s="17" t="s">
        <v>268</v>
      </c>
      <c r="M103" s="20"/>
      <c r="N103" s="17">
        <v>60</v>
      </c>
      <c r="O103" s="17">
        <v>750</v>
      </c>
      <c r="P103" s="18" t="s">
        <v>105</v>
      </c>
      <c r="Q103" s="17" t="s">
        <v>193</v>
      </c>
      <c r="R103" s="17"/>
      <c r="S103" s="20" t="b">
        <v>1</v>
      </c>
      <c r="T103" s="20" t="b">
        <v>0</v>
      </c>
      <c r="U103" s="20" t="b">
        <v>0</v>
      </c>
      <c r="V103" s="20" t="b">
        <v>1</v>
      </c>
      <c r="W103" s="20" t="b">
        <v>1</v>
      </c>
    </row>
    <row r="104" spans="1:23" ht="16" x14ac:dyDescent="0.2">
      <c r="A104" s="16" t="s">
        <v>23</v>
      </c>
      <c r="B104" s="17" t="s">
        <v>24</v>
      </c>
      <c r="C104" s="17">
        <v>1</v>
      </c>
      <c r="D104" s="18">
        <v>2013</v>
      </c>
      <c r="E104" s="17" t="s">
        <v>99</v>
      </c>
      <c r="F104" s="19" t="s">
        <v>269</v>
      </c>
      <c r="G104" s="17" t="s">
        <v>27</v>
      </c>
      <c r="H104" s="17" t="s">
        <v>28</v>
      </c>
      <c r="I104" s="17" t="s">
        <v>29</v>
      </c>
      <c r="J104" s="17" t="s">
        <v>30</v>
      </c>
      <c r="K104" s="17" t="s">
        <v>31</v>
      </c>
      <c r="L104" s="17"/>
      <c r="M104" s="17"/>
      <c r="N104" s="17">
        <v>85</v>
      </c>
      <c r="O104" s="17">
        <v>750</v>
      </c>
      <c r="P104" s="18" t="s">
        <v>105</v>
      </c>
      <c r="Q104" s="17" t="s">
        <v>86</v>
      </c>
      <c r="R104" s="17"/>
      <c r="S104" s="20" t="b">
        <v>1</v>
      </c>
      <c r="T104" s="20" t="b">
        <v>0</v>
      </c>
      <c r="U104" s="20" t="b">
        <v>0</v>
      </c>
      <c r="V104" s="20" t="b">
        <v>1</v>
      </c>
      <c r="W104" s="20" t="b">
        <v>0</v>
      </c>
    </row>
    <row r="105" spans="1:23" ht="16" x14ac:dyDescent="0.2">
      <c r="A105" s="4" t="s">
        <v>23</v>
      </c>
      <c r="B105" s="5" t="s">
        <v>24</v>
      </c>
      <c r="C105" s="8">
        <v>1</v>
      </c>
      <c r="D105" s="7">
        <v>2016</v>
      </c>
      <c r="E105" s="8" t="s">
        <v>84</v>
      </c>
      <c r="F105" s="10" t="s">
        <v>270</v>
      </c>
      <c r="G105" s="5" t="s">
        <v>27</v>
      </c>
      <c r="H105" s="5" t="s">
        <v>28</v>
      </c>
      <c r="I105" s="5" t="s">
        <v>29</v>
      </c>
      <c r="J105" s="5" t="s">
        <v>30</v>
      </c>
      <c r="K105" s="8" t="s">
        <v>31</v>
      </c>
      <c r="L105" s="9"/>
      <c r="M105" s="9"/>
      <c r="N105" s="11">
        <v>70</v>
      </c>
      <c r="O105" s="8">
        <v>750</v>
      </c>
      <c r="P105" s="7" t="s">
        <v>34</v>
      </c>
      <c r="Q105" s="8" t="s">
        <v>204</v>
      </c>
      <c r="R105" s="5"/>
      <c r="S105" s="9" t="b">
        <v>1</v>
      </c>
      <c r="T105" s="9" t="b">
        <v>0</v>
      </c>
      <c r="U105" s="9" t="b">
        <v>0</v>
      </c>
      <c r="V105" s="9" t="b">
        <v>0</v>
      </c>
      <c r="W105" s="9" t="b">
        <v>1</v>
      </c>
    </row>
    <row r="106" spans="1:23" ht="16" x14ac:dyDescent="0.2">
      <c r="A106" s="4" t="s">
        <v>23</v>
      </c>
      <c r="B106" s="5" t="s">
        <v>24</v>
      </c>
      <c r="C106" s="6">
        <v>1</v>
      </c>
      <c r="D106" s="7">
        <v>2016</v>
      </c>
      <c r="E106" s="8" t="s">
        <v>197</v>
      </c>
      <c r="F106" s="10" t="s">
        <v>271</v>
      </c>
      <c r="G106" s="5" t="s">
        <v>156</v>
      </c>
      <c r="H106" s="5" t="s">
        <v>28</v>
      </c>
      <c r="I106" s="5" t="s">
        <v>29</v>
      </c>
      <c r="J106" s="5" t="s">
        <v>30</v>
      </c>
      <c r="K106" s="5" t="s">
        <v>31</v>
      </c>
      <c r="L106" s="9"/>
      <c r="M106" s="5"/>
      <c r="N106" s="8">
        <v>50</v>
      </c>
      <c r="O106" s="8">
        <v>750</v>
      </c>
      <c r="P106" s="7" t="s">
        <v>34</v>
      </c>
      <c r="Q106" s="8" t="s">
        <v>66</v>
      </c>
      <c r="R106" s="5"/>
      <c r="S106" s="9" t="b">
        <v>1</v>
      </c>
      <c r="T106" s="9" t="b">
        <v>0</v>
      </c>
      <c r="U106" s="9" t="b">
        <v>1</v>
      </c>
      <c r="V106" s="9" t="b">
        <v>0</v>
      </c>
      <c r="W106" s="9" t="b">
        <v>1</v>
      </c>
    </row>
    <row r="107" spans="1:23" ht="16" x14ac:dyDescent="0.2">
      <c r="A107" s="4" t="s">
        <v>23</v>
      </c>
      <c r="B107" s="5" t="s">
        <v>24</v>
      </c>
      <c r="C107" s="8">
        <v>1</v>
      </c>
      <c r="D107" s="7">
        <v>2016</v>
      </c>
      <c r="E107" s="8" t="s">
        <v>127</v>
      </c>
      <c r="F107" s="10" t="s">
        <v>272</v>
      </c>
      <c r="G107" s="5" t="s">
        <v>129</v>
      </c>
      <c r="H107" s="5" t="s">
        <v>28</v>
      </c>
      <c r="I107" s="5" t="s">
        <v>29</v>
      </c>
      <c r="J107" s="21" t="s">
        <v>30</v>
      </c>
      <c r="K107" s="5" t="s">
        <v>130</v>
      </c>
      <c r="L107" s="9"/>
      <c r="M107" s="10" t="s">
        <v>273</v>
      </c>
      <c r="N107" s="11">
        <v>60</v>
      </c>
      <c r="O107" s="8">
        <v>750</v>
      </c>
      <c r="P107" s="7" t="s">
        <v>34</v>
      </c>
      <c r="Q107" s="8" t="s">
        <v>43</v>
      </c>
      <c r="R107" s="5"/>
      <c r="S107" s="9" t="b">
        <v>0</v>
      </c>
      <c r="T107" s="9" t="b">
        <v>0</v>
      </c>
      <c r="U107" s="9" t="b">
        <v>0</v>
      </c>
      <c r="V107" s="9" t="b">
        <v>0</v>
      </c>
      <c r="W107" s="9" t="b">
        <v>0</v>
      </c>
    </row>
    <row r="108" spans="1:23" ht="16" x14ac:dyDescent="0.2">
      <c r="A108" s="4" t="s">
        <v>23</v>
      </c>
      <c r="B108" s="5" t="s">
        <v>24</v>
      </c>
      <c r="C108" s="8">
        <v>1</v>
      </c>
      <c r="D108" s="7">
        <v>2016</v>
      </c>
      <c r="E108" s="8" t="s">
        <v>210</v>
      </c>
      <c r="F108" s="10" t="s">
        <v>274</v>
      </c>
      <c r="G108" s="5" t="s">
        <v>129</v>
      </c>
      <c r="H108" s="5" t="s">
        <v>28</v>
      </c>
      <c r="I108" s="5" t="s">
        <v>29</v>
      </c>
      <c r="J108" s="5" t="s">
        <v>30</v>
      </c>
      <c r="K108" s="5" t="s">
        <v>212</v>
      </c>
      <c r="L108" s="9"/>
      <c r="M108" s="5" t="s">
        <v>275</v>
      </c>
      <c r="N108" s="11">
        <v>55</v>
      </c>
      <c r="O108" s="8">
        <v>750</v>
      </c>
      <c r="P108" s="7" t="s">
        <v>34</v>
      </c>
      <c r="Q108" s="8" t="s">
        <v>78</v>
      </c>
      <c r="R108" s="5"/>
      <c r="S108" s="9" t="b">
        <v>0</v>
      </c>
      <c r="T108" s="9" t="b">
        <v>0</v>
      </c>
      <c r="U108" s="9" t="b">
        <v>0</v>
      </c>
      <c r="V108" s="9" t="b">
        <v>0</v>
      </c>
      <c r="W108" s="9" t="b">
        <v>1</v>
      </c>
    </row>
    <row r="109" spans="1:23" ht="15.75" customHeight="1" x14ac:dyDescent="0.2">
      <c r="A109" s="4" t="s">
        <v>23</v>
      </c>
      <c r="B109" s="5" t="s">
        <v>24</v>
      </c>
      <c r="C109" s="8">
        <v>1</v>
      </c>
      <c r="D109" s="7">
        <v>2016</v>
      </c>
      <c r="E109" s="8" t="s">
        <v>122</v>
      </c>
      <c r="F109" s="10" t="s">
        <v>214</v>
      </c>
      <c r="G109" s="5" t="s">
        <v>27</v>
      </c>
      <c r="H109" s="5" t="s">
        <v>28</v>
      </c>
      <c r="I109" s="5" t="s">
        <v>29</v>
      </c>
      <c r="J109" s="5" t="s">
        <v>30</v>
      </c>
      <c r="K109" s="8" t="s">
        <v>31</v>
      </c>
      <c r="L109" s="5" t="s">
        <v>75</v>
      </c>
      <c r="M109" s="9"/>
      <c r="N109" s="11">
        <v>55</v>
      </c>
      <c r="O109" s="8">
        <v>750</v>
      </c>
      <c r="P109" s="7" t="s">
        <v>34</v>
      </c>
      <c r="Q109" s="8" t="s">
        <v>183</v>
      </c>
      <c r="R109" s="5"/>
      <c r="S109" s="9" t="b">
        <v>0</v>
      </c>
      <c r="T109" s="9" t="b">
        <v>0</v>
      </c>
      <c r="U109" s="9" t="b">
        <v>0</v>
      </c>
      <c r="V109" s="9" t="b">
        <v>0</v>
      </c>
      <c r="W109" s="9" t="b">
        <v>0</v>
      </c>
    </row>
    <row r="110" spans="1:23" ht="15.75" customHeight="1" x14ac:dyDescent="0.2">
      <c r="A110" s="16" t="s">
        <v>23</v>
      </c>
      <c r="B110" s="17" t="s">
        <v>24</v>
      </c>
      <c r="C110" s="17">
        <v>1</v>
      </c>
      <c r="D110" s="18">
        <v>2016</v>
      </c>
      <c r="E110" s="17" t="s">
        <v>276</v>
      </c>
      <c r="F110" s="19" t="s">
        <v>277</v>
      </c>
      <c r="G110" s="17" t="s">
        <v>27</v>
      </c>
      <c r="H110" s="17" t="s">
        <v>28</v>
      </c>
      <c r="I110" s="17" t="s">
        <v>29</v>
      </c>
      <c r="J110" s="17" t="s">
        <v>30</v>
      </c>
      <c r="K110" s="17" t="s">
        <v>97</v>
      </c>
      <c r="L110" s="17"/>
      <c r="M110" s="20"/>
      <c r="N110" s="17">
        <v>50</v>
      </c>
      <c r="O110" s="17">
        <v>750</v>
      </c>
      <c r="P110" s="18" t="s">
        <v>105</v>
      </c>
      <c r="Q110" s="16" t="s">
        <v>125</v>
      </c>
      <c r="R110" s="17"/>
      <c r="S110" s="20" t="b">
        <v>1</v>
      </c>
      <c r="T110" s="20" t="b">
        <v>0</v>
      </c>
      <c r="U110" s="20" t="b">
        <v>0</v>
      </c>
      <c r="V110" s="20" t="b">
        <v>1</v>
      </c>
      <c r="W110" s="20" t="b">
        <v>0</v>
      </c>
    </row>
    <row r="111" spans="1:23" ht="16" x14ac:dyDescent="0.2">
      <c r="A111" s="4" t="s">
        <v>23</v>
      </c>
      <c r="B111" s="5" t="s">
        <v>24</v>
      </c>
      <c r="C111" s="8">
        <v>1</v>
      </c>
      <c r="D111" s="7">
        <v>2007</v>
      </c>
      <c r="E111" s="8" t="s">
        <v>278</v>
      </c>
      <c r="F111" s="10" t="s">
        <v>196</v>
      </c>
      <c r="G111" s="5" t="s">
        <v>40</v>
      </c>
      <c r="H111" s="5" t="s">
        <v>82</v>
      </c>
      <c r="I111" s="5"/>
      <c r="J111" s="5" t="s">
        <v>90</v>
      </c>
      <c r="K111" s="5"/>
      <c r="L111" s="9"/>
      <c r="M111" s="10" t="s">
        <v>196</v>
      </c>
      <c r="N111" s="8">
        <v>58</v>
      </c>
      <c r="O111" s="8">
        <v>50</v>
      </c>
      <c r="P111" s="7" t="s">
        <v>47</v>
      </c>
      <c r="Q111" s="8" t="s">
        <v>43</v>
      </c>
      <c r="R111" s="5" t="s">
        <v>279</v>
      </c>
      <c r="S111" s="9" t="b">
        <v>1</v>
      </c>
      <c r="T111" s="9" t="b">
        <v>1</v>
      </c>
      <c r="U111" s="9" t="b">
        <v>0</v>
      </c>
      <c r="V111" s="9" t="b">
        <v>0</v>
      </c>
      <c r="W111" s="9" t="b">
        <v>0</v>
      </c>
    </row>
    <row r="112" spans="1:23" ht="16" x14ac:dyDescent="0.2">
      <c r="A112" s="12" t="s">
        <v>23</v>
      </c>
      <c r="B112" s="8" t="s">
        <v>24</v>
      </c>
      <c r="C112" s="8">
        <v>1</v>
      </c>
      <c r="D112" s="7">
        <v>2016</v>
      </c>
      <c r="E112" s="8" t="s">
        <v>122</v>
      </c>
      <c r="F112" s="8" t="s">
        <v>280</v>
      </c>
      <c r="G112" s="8" t="s">
        <v>156</v>
      </c>
      <c r="H112" s="8" t="s">
        <v>28</v>
      </c>
      <c r="I112" s="8" t="s">
        <v>29</v>
      </c>
      <c r="J112" s="8" t="s">
        <v>30</v>
      </c>
      <c r="K112" s="8" t="s">
        <v>31</v>
      </c>
      <c r="L112" s="8" t="s">
        <v>281</v>
      </c>
      <c r="M112" s="13"/>
      <c r="N112" s="11">
        <v>50</v>
      </c>
      <c r="O112" s="8">
        <v>750</v>
      </c>
      <c r="P112" s="7" t="s">
        <v>34</v>
      </c>
      <c r="Q112" s="8" t="s">
        <v>204</v>
      </c>
      <c r="R112" s="8"/>
      <c r="S112" s="13" t="b">
        <v>0</v>
      </c>
      <c r="T112" s="13" t="b">
        <v>0</v>
      </c>
      <c r="U112" s="13" t="b">
        <v>0</v>
      </c>
      <c r="V112" s="13" t="b">
        <v>0</v>
      </c>
      <c r="W112" s="13" t="b">
        <v>1</v>
      </c>
    </row>
    <row r="113" spans="1:23" ht="16" x14ac:dyDescent="0.2">
      <c r="A113" s="4" t="s">
        <v>153</v>
      </c>
      <c r="B113" s="5" t="s">
        <v>24</v>
      </c>
      <c r="C113" s="8">
        <v>1</v>
      </c>
      <c r="D113" s="7">
        <v>2016</v>
      </c>
      <c r="E113" s="8" t="s">
        <v>282</v>
      </c>
      <c r="F113" s="10" t="s">
        <v>283</v>
      </c>
      <c r="G113" s="5" t="s">
        <v>27</v>
      </c>
      <c r="H113" s="5" t="s">
        <v>28</v>
      </c>
      <c r="I113" s="5" t="s">
        <v>29</v>
      </c>
      <c r="J113" s="5" t="s">
        <v>30</v>
      </c>
      <c r="K113" s="9" t="s">
        <v>31</v>
      </c>
      <c r="L113" s="9"/>
      <c r="M113" s="9"/>
      <c r="N113" s="8">
        <v>100</v>
      </c>
      <c r="O113" s="8">
        <v>750</v>
      </c>
      <c r="P113" s="7" t="s">
        <v>105</v>
      </c>
      <c r="Q113" s="8" t="s">
        <v>284</v>
      </c>
      <c r="R113" s="5"/>
      <c r="S113" s="9" t="b">
        <v>0</v>
      </c>
      <c r="T113" s="9" t="b">
        <v>0</v>
      </c>
      <c r="U113" s="9" t="b">
        <v>0</v>
      </c>
      <c r="V113" s="9" t="b">
        <v>0</v>
      </c>
      <c r="W113" s="9" t="b">
        <v>0</v>
      </c>
    </row>
    <row r="114" spans="1:23" ht="16" x14ac:dyDescent="0.2">
      <c r="A114" s="16" t="s">
        <v>23</v>
      </c>
      <c r="B114" s="17" t="s">
        <v>24</v>
      </c>
      <c r="C114" s="17">
        <v>1</v>
      </c>
      <c r="D114" s="18">
        <v>2012</v>
      </c>
      <c r="E114" s="17" t="s">
        <v>127</v>
      </c>
      <c r="F114" s="19" t="s">
        <v>285</v>
      </c>
      <c r="G114" s="17" t="s">
        <v>129</v>
      </c>
      <c r="H114" s="17" t="s">
        <v>28</v>
      </c>
      <c r="I114" s="17" t="s">
        <v>29</v>
      </c>
      <c r="J114" s="17" t="s">
        <v>212</v>
      </c>
      <c r="K114" s="17" t="s">
        <v>248</v>
      </c>
      <c r="L114" s="20"/>
      <c r="M114" s="17" t="s">
        <v>286</v>
      </c>
      <c r="N114" s="17">
        <v>40</v>
      </c>
      <c r="O114" s="17">
        <v>750</v>
      </c>
      <c r="P114" s="18" t="s">
        <v>47</v>
      </c>
      <c r="Q114" s="17" t="s">
        <v>213</v>
      </c>
      <c r="R114" s="17"/>
      <c r="S114" s="20" t="b">
        <v>1</v>
      </c>
      <c r="T114" s="20" t="b">
        <v>1</v>
      </c>
      <c r="U114" s="20" t="b">
        <v>0</v>
      </c>
      <c r="V114" s="20" t="b">
        <v>0</v>
      </c>
      <c r="W114" s="20" t="b">
        <v>0</v>
      </c>
    </row>
    <row r="115" spans="1:23" ht="16" x14ac:dyDescent="0.2">
      <c r="A115" s="4" t="s">
        <v>23</v>
      </c>
      <c r="B115" s="5" t="s">
        <v>24</v>
      </c>
      <c r="C115" s="8">
        <v>1</v>
      </c>
      <c r="D115" s="7">
        <v>2016</v>
      </c>
      <c r="E115" s="8" t="s">
        <v>127</v>
      </c>
      <c r="F115" s="10" t="s">
        <v>131</v>
      </c>
      <c r="G115" s="5" t="s">
        <v>129</v>
      </c>
      <c r="H115" s="5" t="s">
        <v>28</v>
      </c>
      <c r="I115" s="5" t="s">
        <v>29</v>
      </c>
      <c r="J115" s="5" t="s">
        <v>30</v>
      </c>
      <c r="K115" s="5" t="s">
        <v>130</v>
      </c>
      <c r="L115" s="9"/>
      <c r="M115" s="5" t="s">
        <v>131</v>
      </c>
      <c r="N115" s="11">
        <v>50</v>
      </c>
      <c r="O115" s="8">
        <v>750</v>
      </c>
      <c r="P115" s="7" t="s">
        <v>34</v>
      </c>
      <c r="Q115" s="8" t="s">
        <v>78</v>
      </c>
      <c r="R115" s="5"/>
      <c r="S115" s="9" t="b">
        <v>0</v>
      </c>
      <c r="T115" s="9" t="b">
        <v>0</v>
      </c>
      <c r="U115" s="9" t="b">
        <v>0</v>
      </c>
      <c r="V115" s="9" t="b">
        <v>0</v>
      </c>
      <c r="W115" s="9" t="b">
        <v>0</v>
      </c>
    </row>
    <row r="116" spans="1:23" ht="16" x14ac:dyDescent="0.2">
      <c r="A116" s="4" t="s">
        <v>23</v>
      </c>
      <c r="B116" s="5" t="s">
        <v>24</v>
      </c>
      <c r="C116" s="8">
        <v>1</v>
      </c>
      <c r="D116" s="7">
        <v>2011</v>
      </c>
      <c r="E116" s="8" t="s">
        <v>287</v>
      </c>
      <c r="F116" s="10" t="s">
        <v>288</v>
      </c>
      <c r="G116" s="5" t="s">
        <v>27</v>
      </c>
      <c r="H116" s="5" t="s">
        <v>28</v>
      </c>
      <c r="I116" s="5" t="s">
        <v>29</v>
      </c>
      <c r="J116" s="5" t="s">
        <v>30</v>
      </c>
      <c r="K116" s="5" t="s">
        <v>101</v>
      </c>
      <c r="L116" s="9"/>
      <c r="M116" s="9"/>
      <c r="N116" s="8">
        <v>171</v>
      </c>
      <c r="O116" s="8">
        <v>750</v>
      </c>
      <c r="P116" s="7" t="s">
        <v>34</v>
      </c>
      <c r="Q116" s="8" t="s">
        <v>71</v>
      </c>
      <c r="R116" s="5"/>
      <c r="S116" s="9" t="b">
        <v>1</v>
      </c>
      <c r="T116" s="9" t="b">
        <v>0</v>
      </c>
      <c r="U116" s="9" t="b">
        <v>0</v>
      </c>
      <c r="V116" s="9" t="b">
        <v>0</v>
      </c>
      <c r="W116" s="9" t="b">
        <v>0</v>
      </c>
    </row>
    <row r="117" spans="1:23" ht="16" x14ac:dyDescent="0.2">
      <c r="A117" s="4" t="s">
        <v>23</v>
      </c>
      <c r="B117" s="5" t="s">
        <v>24</v>
      </c>
      <c r="C117" s="8">
        <v>1</v>
      </c>
      <c r="D117" s="7">
        <v>2017</v>
      </c>
      <c r="E117" s="8" t="s">
        <v>210</v>
      </c>
      <c r="F117" s="10" t="s">
        <v>211</v>
      </c>
      <c r="G117" s="5" t="s">
        <v>40</v>
      </c>
      <c r="H117" s="5" t="s">
        <v>28</v>
      </c>
      <c r="I117" s="5" t="s">
        <v>29</v>
      </c>
      <c r="J117" s="5" t="s">
        <v>30</v>
      </c>
      <c r="K117" s="5" t="s">
        <v>212</v>
      </c>
      <c r="L117" s="9"/>
      <c r="M117" s="5"/>
      <c r="N117" s="8">
        <v>35</v>
      </c>
      <c r="O117" s="8">
        <v>750</v>
      </c>
      <c r="P117" s="7" t="s">
        <v>105</v>
      </c>
      <c r="Q117" s="14" t="s">
        <v>78</v>
      </c>
      <c r="R117" s="5"/>
      <c r="S117" s="9" t="b">
        <v>1</v>
      </c>
      <c r="T117" s="9" t="b">
        <v>1</v>
      </c>
      <c r="U117" s="9" t="b">
        <v>0</v>
      </c>
      <c r="V117" s="9" t="b">
        <v>1</v>
      </c>
      <c r="W117" s="9" t="b">
        <v>0</v>
      </c>
    </row>
    <row r="118" spans="1:23" ht="16" x14ac:dyDescent="0.2">
      <c r="A118" s="16" t="s">
        <v>23</v>
      </c>
      <c r="B118" s="17" t="s">
        <v>24</v>
      </c>
      <c r="C118" s="17">
        <v>1</v>
      </c>
      <c r="D118" s="18">
        <v>2012</v>
      </c>
      <c r="E118" s="17" t="s">
        <v>72</v>
      </c>
      <c r="F118" s="19" t="s">
        <v>144</v>
      </c>
      <c r="G118" s="17" t="s">
        <v>74</v>
      </c>
      <c r="H118" s="17" t="s">
        <v>41</v>
      </c>
      <c r="I118" s="17" t="s">
        <v>75</v>
      </c>
      <c r="J118" s="17" t="s">
        <v>76</v>
      </c>
      <c r="K118" s="17" t="s">
        <v>77</v>
      </c>
      <c r="L118" s="20"/>
      <c r="M118" s="20"/>
      <c r="N118" s="17">
        <v>55</v>
      </c>
      <c r="O118" s="17">
        <v>750</v>
      </c>
      <c r="P118" s="18" t="s">
        <v>34</v>
      </c>
      <c r="Q118" s="17" t="s">
        <v>289</v>
      </c>
      <c r="R118" s="17"/>
      <c r="S118" s="20" t="b">
        <v>1</v>
      </c>
      <c r="T118" s="20" t="b">
        <v>0</v>
      </c>
      <c r="U118" s="20" t="b">
        <v>0</v>
      </c>
      <c r="V118" s="20" t="b">
        <v>1</v>
      </c>
      <c r="W118" s="20" t="b">
        <v>0</v>
      </c>
    </row>
    <row r="119" spans="1:23" ht="16" x14ac:dyDescent="0.2">
      <c r="A119" s="4" t="s">
        <v>153</v>
      </c>
      <c r="B119" s="5" t="s">
        <v>24</v>
      </c>
      <c r="C119" s="8">
        <v>1</v>
      </c>
      <c r="D119" s="7">
        <v>2017</v>
      </c>
      <c r="E119" s="8" t="s">
        <v>290</v>
      </c>
      <c r="F119" s="10" t="s">
        <v>291</v>
      </c>
      <c r="G119" s="5" t="s">
        <v>40</v>
      </c>
      <c r="H119" s="5" t="s">
        <v>82</v>
      </c>
      <c r="I119" s="5"/>
      <c r="J119" s="5" t="s">
        <v>218</v>
      </c>
      <c r="K119" s="5" t="s">
        <v>292</v>
      </c>
      <c r="L119" s="9"/>
      <c r="M119" s="10"/>
      <c r="N119" s="8">
        <v>75</v>
      </c>
      <c r="O119" s="8">
        <v>750</v>
      </c>
      <c r="P119" s="7" t="s">
        <v>34</v>
      </c>
      <c r="Q119" s="8" t="s">
        <v>43</v>
      </c>
      <c r="R119" s="5"/>
      <c r="S119" s="9" t="b">
        <v>0</v>
      </c>
      <c r="T119" s="9" t="b">
        <v>0</v>
      </c>
      <c r="U119" s="9" t="b">
        <v>0</v>
      </c>
      <c r="V119" s="9" t="b">
        <v>0</v>
      </c>
      <c r="W119" s="9" t="b">
        <v>0</v>
      </c>
    </row>
    <row r="120" spans="1:23" ht="16" x14ac:dyDescent="0.2">
      <c r="A120" s="4" t="s">
        <v>153</v>
      </c>
      <c r="B120" s="5" t="s">
        <v>24</v>
      </c>
      <c r="C120" s="8">
        <v>1</v>
      </c>
      <c r="D120" s="7">
        <v>2017</v>
      </c>
      <c r="E120" s="8" t="s">
        <v>154</v>
      </c>
      <c r="F120" s="10" t="s">
        <v>293</v>
      </c>
      <c r="G120" s="5" t="s">
        <v>27</v>
      </c>
      <c r="H120" s="5" t="s">
        <v>28</v>
      </c>
      <c r="I120" s="5" t="s">
        <v>29</v>
      </c>
      <c r="J120" s="5" t="s">
        <v>30</v>
      </c>
      <c r="K120" s="5" t="s">
        <v>31</v>
      </c>
      <c r="L120" s="9"/>
      <c r="M120" s="5" t="s">
        <v>294</v>
      </c>
      <c r="N120" s="8">
        <v>225</v>
      </c>
      <c r="O120" s="8">
        <v>750</v>
      </c>
      <c r="P120" s="7" t="s">
        <v>34</v>
      </c>
      <c r="Q120" s="8" t="s">
        <v>161</v>
      </c>
      <c r="R120" s="5"/>
      <c r="S120" s="9" t="b">
        <v>0</v>
      </c>
      <c r="T120" s="9" t="b">
        <v>0</v>
      </c>
      <c r="U120" s="9" t="b">
        <v>0</v>
      </c>
      <c r="V120" s="9" t="b">
        <v>0</v>
      </c>
      <c r="W120" s="9" t="b">
        <v>0</v>
      </c>
    </row>
    <row r="121" spans="1:23" ht="16" x14ac:dyDescent="0.2">
      <c r="A121" s="4" t="s">
        <v>153</v>
      </c>
      <c r="B121" s="5" t="s">
        <v>24</v>
      </c>
      <c r="C121" s="8">
        <v>1</v>
      </c>
      <c r="D121" s="7">
        <v>2017</v>
      </c>
      <c r="E121" s="8" t="s">
        <v>154</v>
      </c>
      <c r="F121" s="10" t="s">
        <v>295</v>
      </c>
      <c r="G121" s="5" t="s">
        <v>27</v>
      </c>
      <c r="H121" s="5" t="s">
        <v>28</v>
      </c>
      <c r="I121" s="5" t="s">
        <v>29</v>
      </c>
      <c r="J121" s="5" t="s">
        <v>30</v>
      </c>
      <c r="K121" s="5" t="s">
        <v>31</v>
      </c>
      <c r="L121" s="9"/>
      <c r="M121" s="5" t="s">
        <v>294</v>
      </c>
      <c r="N121" s="8">
        <v>450</v>
      </c>
      <c r="O121" s="8">
        <v>1500</v>
      </c>
      <c r="P121" s="7" t="s">
        <v>53</v>
      </c>
      <c r="Q121" s="8" t="s">
        <v>62</v>
      </c>
      <c r="R121" s="5"/>
      <c r="S121" s="9" t="b">
        <v>0</v>
      </c>
      <c r="T121" s="9" t="b">
        <v>0</v>
      </c>
      <c r="U121" s="9" t="b">
        <v>0</v>
      </c>
      <c r="V121" s="9" t="b">
        <v>0</v>
      </c>
      <c r="W121" s="9" t="b">
        <v>0</v>
      </c>
    </row>
    <row r="122" spans="1:23" ht="16" x14ac:dyDescent="0.2">
      <c r="A122" s="16" t="s">
        <v>23</v>
      </c>
      <c r="B122" s="17" t="s">
        <v>24</v>
      </c>
      <c r="C122" s="17">
        <v>1</v>
      </c>
      <c r="D122" s="18">
        <v>2016</v>
      </c>
      <c r="E122" s="17" t="s">
        <v>103</v>
      </c>
      <c r="F122" s="19" t="s">
        <v>296</v>
      </c>
      <c r="G122" s="17" t="s">
        <v>191</v>
      </c>
      <c r="H122" s="17" t="s">
        <v>28</v>
      </c>
      <c r="I122" s="17" t="s">
        <v>29</v>
      </c>
      <c r="J122" s="17" t="s">
        <v>30</v>
      </c>
      <c r="K122" s="17" t="s">
        <v>31</v>
      </c>
      <c r="L122" s="17" t="s">
        <v>268</v>
      </c>
      <c r="M122" s="20"/>
      <c r="N122" s="17">
        <v>59</v>
      </c>
      <c r="O122" s="17">
        <v>750</v>
      </c>
      <c r="P122" s="18" t="s">
        <v>105</v>
      </c>
      <c r="Q122" s="17" t="s">
        <v>193</v>
      </c>
      <c r="R122" s="17"/>
      <c r="S122" s="20" t="b">
        <v>1</v>
      </c>
      <c r="T122" s="20" t="b">
        <v>1</v>
      </c>
      <c r="U122" s="20" t="b">
        <v>0</v>
      </c>
      <c r="V122" s="20" t="b">
        <v>1</v>
      </c>
      <c r="W122" s="20" t="b">
        <v>0</v>
      </c>
    </row>
    <row r="123" spans="1:23" ht="16" x14ac:dyDescent="0.2">
      <c r="A123" s="24" t="s">
        <v>153</v>
      </c>
      <c r="B123" s="25" t="s">
        <v>24</v>
      </c>
      <c r="C123" s="25">
        <v>1</v>
      </c>
      <c r="D123" s="26">
        <v>2017</v>
      </c>
      <c r="E123" s="25" t="s">
        <v>240</v>
      </c>
      <c r="F123" s="27" t="s">
        <v>26</v>
      </c>
      <c r="G123" s="25" t="s">
        <v>27</v>
      </c>
      <c r="H123" s="25" t="s">
        <v>28</v>
      </c>
      <c r="I123" s="24" t="s">
        <v>29</v>
      </c>
      <c r="J123" s="25" t="s">
        <v>30</v>
      </c>
      <c r="K123" s="25" t="s">
        <v>31</v>
      </c>
      <c r="L123" s="25" t="s">
        <v>241</v>
      </c>
      <c r="M123" s="28"/>
      <c r="N123" s="25">
        <v>120</v>
      </c>
      <c r="O123" s="25">
        <v>750</v>
      </c>
      <c r="P123" s="26" t="s">
        <v>34</v>
      </c>
      <c r="Q123" s="24" t="s">
        <v>204</v>
      </c>
      <c r="R123" s="25"/>
      <c r="S123" s="28" t="b">
        <v>0</v>
      </c>
      <c r="T123" s="28" t="b">
        <v>0</v>
      </c>
      <c r="U123" s="28" t="b">
        <v>0</v>
      </c>
      <c r="V123" s="28" t="b">
        <v>0</v>
      </c>
      <c r="W123" s="28" t="b">
        <v>0</v>
      </c>
    </row>
    <row r="124" spans="1:23" ht="15.75" customHeight="1" x14ac:dyDescent="0.2">
      <c r="A124" s="4" t="s">
        <v>153</v>
      </c>
      <c r="B124" s="5" t="s">
        <v>24</v>
      </c>
      <c r="C124" s="8">
        <v>1</v>
      </c>
      <c r="D124" s="7">
        <v>2017</v>
      </c>
      <c r="E124" s="8" t="s">
        <v>243</v>
      </c>
      <c r="F124" s="10" t="s">
        <v>26</v>
      </c>
      <c r="G124" s="5" t="s">
        <v>27</v>
      </c>
      <c r="H124" s="5" t="s">
        <v>28</v>
      </c>
      <c r="I124" s="5" t="s">
        <v>29</v>
      </c>
      <c r="J124" s="5" t="s">
        <v>30</v>
      </c>
      <c r="K124" s="5" t="s">
        <v>31</v>
      </c>
      <c r="L124" s="9"/>
      <c r="M124" s="9"/>
      <c r="N124" s="8">
        <v>155</v>
      </c>
      <c r="O124" s="8">
        <v>750</v>
      </c>
      <c r="P124" s="7" t="s">
        <v>34</v>
      </c>
      <c r="Q124" s="8" t="s">
        <v>204</v>
      </c>
      <c r="R124" s="5"/>
      <c r="S124" s="9" t="b">
        <v>0</v>
      </c>
      <c r="T124" s="9" t="b">
        <v>0</v>
      </c>
      <c r="U124" s="9" t="b">
        <v>0</v>
      </c>
      <c r="V124" s="9" t="b">
        <v>0</v>
      </c>
      <c r="W124" s="9" t="b">
        <v>0</v>
      </c>
    </row>
    <row r="125" spans="1:23" ht="16" x14ac:dyDescent="0.2">
      <c r="A125" s="4" t="s">
        <v>23</v>
      </c>
      <c r="B125" s="5" t="s">
        <v>24</v>
      </c>
      <c r="C125" s="8">
        <v>3</v>
      </c>
      <c r="D125" s="7">
        <v>2017</v>
      </c>
      <c r="E125" s="8" t="s">
        <v>297</v>
      </c>
      <c r="F125" s="10" t="s">
        <v>298</v>
      </c>
      <c r="G125" s="5" t="s">
        <v>74</v>
      </c>
      <c r="H125" s="5" t="s">
        <v>108</v>
      </c>
      <c r="I125" s="5"/>
      <c r="J125" s="5" t="s">
        <v>299</v>
      </c>
      <c r="K125" s="5" t="s">
        <v>300</v>
      </c>
      <c r="L125" s="9"/>
      <c r="M125" s="10"/>
      <c r="N125" s="11">
        <v>150</v>
      </c>
      <c r="O125" s="8">
        <v>750</v>
      </c>
      <c r="P125" s="7" t="s">
        <v>34</v>
      </c>
      <c r="Q125" s="8" t="s">
        <v>43</v>
      </c>
      <c r="R125" s="5"/>
      <c r="S125" s="9" t="b">
        <v>0</v>
      </c>
      <c r="T125" s="9" t="b">
        <v>0</v>
      </c>
      <c r="U125" s="9" t="b">
        <v>0</v>
      </c>
      <c r="V125" s="9" t="b">
        <v>0</v>
      </c>
      <c r="W125" s="9" t="b">
        <v>0</v>
      </c>
    </row>
    <row r="126" spans="1:23" ht="16" x14ac:dyDescent="0.2">
      <c r="A126" s="4" t="s">
        <v>23</v>
      </c>
      <c r="B126" s="5" t="s">
        <v>24</v>
      </c>
      <c r="C126" s="8">
        <v>1</v>
      </c>
      <c r="D126" s="7">
        <v>2016</v>
      </c>
      <c r="E126" s="8" t="s">
        <v>301</v>
      </c>
      <c r="F126" s="10" t="s">
        <v>302</v>
      </c>
      <c r="G126" s="5" t="s">
        <v>191</v>
      </c>
      <c r="H126" s="5" t="s">
        <v>28</v>
      </c>
      <c r="I126" s="5" t="s">
        <v>29</v>
      </c>
      <c r="J126" s="5" t="s">
        <v>30</v>
      </c>
      <c r="K126" s="5" t="s">
        <v>212</v>
      </c>
      <c r="L126" s="5" t="s">
        <v>303</v>
      </c>
      <c r="M126" s="5" t="s">
        <v>304</v>
      </c>
      <c r="N126" s="8">
        <v>75</v>
      </c>
      <c r="O126" s="8">
        <v>750</v>
      </c>
      <c r="P126" s="7" t="s">
        <v>105</v>
      </c>
      <c r="Q126" s="8" t="s">
        <v>193</v>
      </c>
      <c r="R126" s="5"/>
      <c r="S126" s="9" t="b">
        <v>1</v>
      </c>
      <c r="T126" s="9" t="b">
        <v>1</v>
      </c>
      <c r="U126" s="9" t="b">
        <v>0</v>
      </c>
      <c r="V126" s="9" t="b">
        <v>0</v>
      </c>
      <c r="W126" s="9" t="b">
        <v>0</v>
      </c>
    </row>
    <row r="127" spans="1:23" ht="16" x14ac:dyDescent="0.2">
      <c r="A127" s="4" t="s">
        <v>23</v>
      </c>
      <c r="B127" s="5" t="s">
        <v>24</v>
      </c>
      <c r="C127" s="8">
        <v>4</v>
      </c>
      <c r="D127" s="7">
        <v>2017</v>
      </c>
      <c r="E127" s="8" t="s">
        <v>305</v>
      </c>
      <c r="F127" s="10" t="s">
        <v>306</v>
      </c>
      <c r="G127" s="5" t="s">
        <v>40</v>
      </c>
      <c r="H127" s="5" t="s">
        <v>51</v>
      </c>
      <c r="I127" s="5"/>
      <c r="J127" s="5"/>
      <c r="K127" s="9"/>
      <c r="L127" s="10" t="s">
        <v>135</v>
      </c>
      <c r="M127" s="9"/>
      <c r="N127" s="11">
        <v>40</v>
      </c>
      <c r="O127" s="8">
        <v>750</v>
      </c>
      <c r="P127" s="7" t="s">
        <v>34</v>
      </c>
      <c r="Q127" s="8" t="s">
        <v>54</v>
      </c>
      <c r="R127" s="5" t="s">
        <v>55</v>
      </c>
      <c r="S127" s="9" t="b">
        <v>0</v>
      </c>
      <c r="T127" s="9" t="b">
        <v>0</v>
      </c>
      <c r="U127" s="9" t="b">
        <v>0</v>
      </c>
      <c r="V127" s="9" t="b">
        <v>0</v>
      </c>
      <c r="W127" s="9" t="b">
        <v>0</v>
      </c>
    </row>
    <row r="128" spans="1:23" ht="15.75" customHeight="1" x14ac:dyDescent="0.2">
      <c r="A128" s="4" t="s">
        <v>23</v>
      </c>
      <c r="B128" s="5" t="s">
        <v>24</v>
      </c>
      <c r="C128" s="8">
        <v>2</v>
      </c>
      <c r="D128" s="7">
        <v>2018</v>
      </c>
      <c r="E128" s="8" t="s">
        <v>258</v>
      </c>
      <c r="F128" s="10" t="s">
        <v>307</v>
      </c>
      <c r="G128" s="5" t="s">
        <v>40</v>
      </c>
      <c r="H128" s="5" t="s">
        <v>82</v>
      </c>
      <c r="I128" s="5"/>
      <c r="J128" s="5" t="s">
        <v>218</v>
      </c>
      <c r="K128" s="5" t="s">
        <v>308</v>
      </c>
      <c r="L128" s="9"/>
      <c r="M128" s="9"/>
      <c r="N128" s="11">
        <v>20</v>
      </c>
      <c r="O128" s="8">
        <v>750</v>
      </c>
      <c r="P128" s="7" t="s">
        <v>34</v>
      </c>
      <c r="Q128" s="8" t="s">
        <v>309</v>
      </c>
      <c r="R128" s="5"/>
      <c r="S128" s="9" t="b">
        <v>0</v>
      </c>
      <c r="T128" s="9" t="b">
        <v>0</v>
      </c>
      <c r="U128" s="9" t="b">
        <v>0</v>
      </c>
      <c r="V128" s="9" t="b">
        <v>1</v>
      </c>
      <c r="W128" s="9" t="b">
        <v>1</v>
      </c>
    </row>
    <row r="129" spans="1:23" ht="16" x14ac:dyDescent="0.2">
      <c r="A129" s="12" t="s">
        <v>23</v>
      </c>
      <c r="B129" s="8" t="s">
        <v>24</v>
      </c>
      <c r="C129" s="8">
        <v>1</v>
      </c>
      <c r="D129" s="7">
        <v>2018</v>
      </c>
      <c r="E129" s="8" t="s">
        <v>310</v>
      </c>
      <c r="F129" s="10" t="s">
        <v>311</v>
      </c>
      <c r="G129" s="8" t="s">
        <v>139</v>
      </c>
      <c r="H129" s="8" t="s">
        <v>41</v>
      </c>
      <c r="I129" s="8"/>
      <c r="J129" s="8" t="s">
        <v>140</v>
      </c>
      <c r="K129" s="8" t="s">
        <v>312</v>
      </c>
      <c r="L129" s="13"/>
      <c r="M129" s="10"/>
      <c r="N129" s="11">
        <v>60</v>
      </c>
      <c r="O129" s="8">
        <v>1500</v>
      </c>
      <c r="P129" s="7" t="s">
        <v>34</v>
      </c>
      <c r="Q129" s="14" t="s">
        <v>62</v>
      </c>
      <c r="R129" s="8"/>
      <c r="S129" s="13" t="b">
        <v>0</v>
      </c>
      <c r="T129" s="13" t="b">
        <v>0</v>
      </c>
      <c r="U129" s="13" t="b">
        <v>0</v>
      </c>
      <c r="V129" s="13" t="b">
        <v>0</v>
      </c>
      <c r="W129" s="13" t="b">
        <v>0</v>
      </c>
    </row>
    <row r="130" spans="1:23" ht="15.75" customHeight="1" x14ac:dyDescent="0.2">
      <c r="A130" s="4" t="s">
        <v>153</v>
      </c>
      <c r="B130" s="5" t="s">
        <v>24</v>
      </c>
      <c r="C130" s="8">
        <v>1</v>
      </c>
      <c r="D130" s="7">
        <v>2018</v>
      </c>
      <c r="E130" s="8" t="s">
        <v>313</v>
      </c>
      <c r="F130" s="10" t="s">
        <v>314</v>
      </c>
      <c r="G130" s="5" t="s">
        <v>156</v>
      </c>
      <c r="H130" s="5" t="s">
        <v>28</v>
      </c>
      <c r="I130" s="5" t="s">
        <v>29</v>
      </c>
      <c r="J130" s="5" t="s">
        <v>30</v>
      </c>
      <c r="K130" s="5" t="s">
        <v>31</v>
      </c>
      <c r="L130" s="8" t="s">
        <v>186</v>
      </c>
      <c r="M130" s="10" t="s">
        <v>315</v>
      </c>
      <c r="N130" s="8">
        <v>225</v>
      </c>
      <c r="O130" s="8">
        <v>750</v>
      </c>
      <c r="P130" s="7" t="s">
        <v>34</v>
      </c>
      <c r="Q130" s="8" t="s">
        <v>316</v>
      </c>
      <c r="R130" s="5"/>
      <c r="S130" s="9" t="b">
        <v>0</v>
      </c>
      <c r="T130" s="9" t="b">
        <v>0</v>
      </c>
      <c r="U130" s="9" t="b">
        <v>0</v>
      </c>
      <c r="V130" s="9" t="b">
        <v>0</v>
      </c>
      <c r="W130" s="9" t="b">
        <v>0</v>
      </c>
    </row>
    <row r="131" spans="1:23" ht="15.75" customHeight="1" x14ac:dyDescent="0.2">
      <c r="A131" s="4" t="s">
        <v>153</v>
      </c>
      <c r="B131" s="5" t="s">
        <v>24</v>
      </c>
      <c r="C131" s="5">
        <v>1</v>
      </c>
      <c r="D131" s="7">
        <v>2018</v>
      </c>
      <c r="E131" s="5" t="s">
        <v>317</v>
      </c>
      <c r="F131" s="5" t="s">
        <v>318</v>
      </c>
      <c r="G131" s="5" t="s">
        <v>27</v>
      </c>
      <c r="H131" s="5" t="s">
        <v>28</v>
      </c>
      <c r="I131" s="5" t="s">
        <v>29</v>
      </c>
      <c r="J131" s="5" t="s">
        <v>30</v>
      </c>
      <c r="K131" s="5" t="s">
        <v>31</v>
      </c>
      <c r="L131" s="9"/>
      <c r="M131" s="9"/>
      <c r="N131" s="5">
        <v>255</v>
      </c>
      <c r="O131" s="5">
        <v>750</v>
      </c>
      <c r="P131" s="7" t="s">
        <v>53</v>
      </c>
      <c r="Q131" s="8" t="s">
        <v>180</v>
      </c>
      <c r="R131" s="5"/>
      <c r="S131" s="9" t="b">
        <v>0</v>
      </c>
      <c r="T131" s="9" t="b">
        <v>0</v>
      </c>
      <c r="U131" s="9" t="b">
        <v>0</v>
      </c>
      <c r="V131" s="9" t="b">
        <v>0</v>
      </c>
      <c r="W131" s="9" t="b">
        <v>0</v>
      </c>
    </row>
    <row r="132" spans="1:23" ht="15.75" customHeight="1" x14ac:dyDescent="0.2">
      <c r="A132" s="12" t="s">
        <v>23</v>
      </c>
      <c r="B132" s="8" t="s">
        <v>24</v>
      </c>
      <c r="C132" s="8">
        <v>2</v>
      </c>
      <c r="D132" s="7">
        <v>2018</v>
      </c>
      <c r="E132" s="8" t="s">
        <v>319</v>
      </c>
      <c r="F132" s="10" t="s">
        <v>320</v>
      </c>
      <c r="G132" s="8" t="s">
        <v>156</v>
      </c>
      <c r="H132" s="8" t="s">
        <v>28</v>
      </c>
      <c r="I132" s="5" t="s">
        <v>29</v>
      </c>
      <c r="J132" s="8" t="s">
        <v>31</v>
      </c>
      <c r="K132" s="8"/>
      <c r="L132" s="13"/>
      <c r="M132" s="10" t="s">
        <v>321</v>
      </c>
      <c r="N132" s="11">
        <v>75</v>
      </c>
      <c r="O132" s="8">
        <v>750</v>
      </c>
      <c r="P132" s="7" t="s">
        <v>34</v>
      </c>
      <c r="Q132" s="8" t="s">
        <v>204</v>
      </c>
      <c r="R132" s="8"/>
      <c r="S132" s="13" t="b">
        <v>0</v>
      </c>
      <c r="T132" s="13" t="b">
        <v>0</v>
      </c>
      <c r="U132" s="13" t="b">
        <v>0</v>
      </c>
      <c r="V132" s="13" t="b">
        <v>0</v>
      </c>
      <c r="W132" s="13" t="b">
        <v>0</v>
      </c>
    </row>
    <row r="133" spans="1:23" ht="15.75" customHeight="1" x14ac:dyDescent="0.2">
      <c r="A133" s="12" t="s">
        <v>23</v>
      </c>
      <c r="B133" s="8" t="s">
        <v>37</v>
      </c>
      <c r="C133" s="8">
        <v>1</v>
      </c>
      <c r="D133" s="7">
        <v>2018</v>
      </c>
      <c r="E133" s="8" t="s">
        <v>322</v>
      </c>
      <c r="F133" s="10" t="s">
        <v>323</v>
      </c>
      <c r="G133" s="8" t="s">
        <v>40</v>
      </c>
      <c r="H133" s="8" t="s">
        <v>28</v>
      </c>
      <c r="I133" s="5" t="s">
        <v>29</v>
      </c>
      <c r="J133" s="5" t="s">
        <v>30</v>
      </c>
      <c r="K133" s="8" t="s">
        <v>324</v>
      </c>
      <c r="L133" s="13"/>
      <c r="M133" s="10" t="s">
        <v>325</v>
      </c>
      <c r="N133" s="8" t="s">
        <v>326</v>
      </c>
      <c r="O133" s="8">
        <v>750</v>
      </c>
      <c r="P133" s="7" t="s">
        <v>105</v>
      </c>
      <c r="Q133" s="14" t="s">
        <v>78</v>
      </c>
      <c r="R133" s="8"/>
      <c r="S133" s="13" t="b">
        <v>1</v>
      </c>
      <c r="T133" s="13" t="b">
        <v>0</v>
      </c>
      <c r="U133" s="13" t="b">
        <v>0</v>
      </c>
      <c r="V133" s="13" t="b">
        <v>1</v>
      </c>
      <c r="W133" s="13" t="b">
        <v>0</v>
      </c>
    </row>
    <row r="134" spans="1:23" ht="15.75" customHeight="1" x14ac:dyDescent="0.2">
      <c r="A134" s="12" t="s">
        <v>153</v>
      </c>
      <c r="B134" s="8" t="s">
        <v>24</v>
      </c>
      <c r="C134" s="8">
        <v>1</v>
      </c>
      <c r="D134" s="7">
        <v>2018</v>
      </c>
      <c r="E134" s="8" t="s">
        <v>317</v>
      </c>
      <c r="F134" s="8" t="s">
        <v>156</v>
      </c>
      <c r="G134" s="8" t="s">
        <v>156</v>
      </c>
      <c r="H134" s="8" t="s">
        <v>28</v>
      </c>
      <c r="I134" s="8" t="s">
        <v>29</v>
      </c>
      <c r="J134" s="8" t="s">
        <v>30</v>
      </c>
      <c r="K134" s="8" t="s">
        <v>31</v>
      </c>
      <c r="L134" s="13"/>
      <c r="M134" s="13"/>
      <c r="N134" s="8">
        <v>80</v>
      </c>
      <c r="O134" s="8">
        <v>750</v>
      </c>
      <c r="P134" s="7" t="s">
        <v>34</v>
      </c>
      <c r="Q134" s="8" t="s">
        <v>180</v>
      </c>
      <c r="R134" s="8"/>
      <c r="S134" s="13" t="b">
        <v>0</v>
      </c>
      <c r="T134" s="13" t="b">
        <v>0</v>
      </c>
      <c r="U134" s="13" t="b">
        <v>0</v>
      </c>
      <c r="V134" s="13" t="b">
        <v>0</v>
      </c>
      <c r="W134" s="13" t="b">
        <v>0</v>
      </c>
    </row>
    <row r="135" spans="1:23" ht="15.75" customHeight="1" x14ac:dyDescent="0.2">
      <c r="A135" s="12" t="s">
        <v>153</v>
      </c>
      <c r="B135" s="8" t="s">
        <v>24</v>
      </c>
      <c r="C135" s="8">
        <v>4</v>
      </c>
      <c r="D135" s="7">
        <v>2018</v>
      </c>
      <c r="E135" s="8" t="s">
        <v>154</v>
      </c>
      <c r="F135" s="10" t="s">
        <v>327</v>
      </c>
      <c r="G135" s="8" t="s">
        <v>27</v>
      </c>
      <c r="H135" s="8" t="s">
        <v>28</v>
      </c>
      <c r="I135" s="8" t="s">
        <v>29</v>
      </c>
      <c r="J135" s="8" t="s">
        <v>30</v>
      </c>
      <c r="K135" s="8" t="s">
        <v>31</v>
      </c>
      <c r="L135" s="8" t="s">
        <v>186</v>
      </c>
      <c r="M135" s="13"/>
      <c r="N135" s="8">
        <v>100</v>
      </c>
      <c r="O135" s="8">
        <v>750</v>
      </c>
      <c r="P135" s="7" t="s">
        <v>34</v>
      </c>
      <c r="Q135" s="8" t="s">
        <v>180</v>
      </c>
      <c r="R135" s="8"/>
      <c r="S135" s="13" t="b">
        <v>0</v>
      </c>
      <c r="T135" s="13" t="b">
        <v>0</v>
      </c>
      <c r="U135" s="13" t="b">
        <v>0</v>
      </c>
      <c r="V135" s="13" t="b">
        <v>1</v>
      </c>
      <c r="W135" s="13" t="b">
        <v>1</v>
      </c>
    </row>
    <row r="136" spans="1:23" ht="15.75" customHeight="1" x14ac:dyDescent="0.2">
      <c r="A136" s="4" t="s">
        <v>23</v>
      </c>
      <c r="B136" s="5" t="s">
        <v>24</v>
      </c>
      <c r="C136" s="8">
        <v>2</v>
      </c>
      <c r="D136" s="7">
        <v>2018</v>
      </c>
      <c r="E136" s="8" t="s">
        <v>188</v>
      </c>
      <c r="F136" s="10" t="s">
        <v>328</v>
      </c>
      <c r="G136" s="5" t="s">
        <v>27</v>
      </c>
      <c r="H136" s="5" t="s">
        <v>28</v>
      </c>
      <c r="I136" s="5" t="s">
        <v>29</v>
      </c>
      <c r="J136" s="5" t="s">
        <v>30</v>
      </c>
      <c r="K136" s="8" t="s">
        <v>31</v>
      </c>
      <c r="L136" s="9"/>
      <c r="M136" s="5"/>
      <c r="N136" s="11">
        <v>315</v>
      </c>
      <c r="O136" s="8">
        <v>750</v>
      </c>
      <c r="P136" s="7" t="s">
        <v>53</v>
      </c>
      <c r="Q136" s="14" t="s">
        <v>94</v>
      </c>
      <c r="R136" s="5"/>
      <c r="S136" s="9" t="b">
        <v>0</v>
      </c>
      <c r="T136" s="9" t="b">
        <v>0</v>
      </c>
      <c r="U136" s="9" t="b">
        <v>0</v>
      </c>
      <c r="V136" s="9" t="b">
        <v>0</v>
      </c>
      <c r="W136" s="9" t="b">
        <v>0</v>
      </c>
    </row>
    <row r="137" spans="1:23" ht="15.75" customHeight="1" x14ac:dyDescent="0.2">
      <c r="A137" s="4" t="s">
        <v>153</v>
      </c>
      <c r="B137" s="5" t="s">
        <v>24</v>
      </c>
      <c r="C137" s="8">
        <v>1</v>
      </c>
      <c r="D137" s="7">
        <v>2018</v>
      </c>
      <c r="E137" s="8" t="s">
        <v>154</v>
      </c>
      <c r="F137" s="10" t="s">
        <v>155</v>
      </c>
      <c r="G137" s="5" t="s">
        <v>156</v>
      </c>
      <c r="H137" s="5" t="s">
        <v>28</v>
      </c>
      <c r="I137" s="5" t="s">
        <v>29</v>
      </c>
      <c r="J137" s="5" t="s">
        <v>30</v>
      </c>
      <c r="K137" s="5" t="s">
        <v>31</v>
      </c>
      <c r="L137" s="5" t="s">
        <v>221</v>
      </c>
      <c r="M137" s="5" t="s">
        <v>157</v>
      </c>
      <c r="N137" s="8">
        <v>100</v>
      </c>
      <c r="O137" s="8">
        <v>750</v>
      </c>
      <c r="P137" s="7" t="s">
        <v>34</v>
      </c>
      <c r="Q137" s="8" t="s">
        <v>161</v>
      </c>
      <c r="R137" s="5"/>
      <c r="S137" s="9" t="b">
        <v>0</v>
      </c>
      <c r="T137" s="9" t="b">
        <v>0</v>
      </c>
      <c r="U137" s="9" t="b">
        <v>0</v>
      </c>
      <c r="V137" s="9" t="b">
        <v>0</v>
      </c>
      <c r="W137" s="9" t="b">
        <v>0</v>
      </c>
    </row>
    <row r="138" spans="1:23" ht="15.75" customHeight="1" x14ac:dyDescent="0.2">
      <c r="A138" s="4" t="s">
        <v>153</v>
      </c>
      <c r="B138" s="5" t="s">
        <v>24</v>
      </c>
      <c r="C138" s="8">
        <v>3</v>
      </c>
      <c r="D138" s="7">
        <v>2018</v>
      </c>
      <c r="E138" s="8" t="s">
        <v>154</v>
      </c>
      <c r="F138" s="10" t="s">
        <v>293</v>
      </c>
      <c r="G138" s="5" t="s">
        <v>27</v>
      </c>
      <c r="H138" s="5" t="s">
        <v>28</v>
      </c>
      <c r="I138" s="5" t="s">
        <v>29</v>
      </c>
      <c r="J138" s="5" t="s">
        <v>30</v>
      </c>
      <c r="K138" s="5" t="s">
        <v>31</v>
      </c>
      <c r="L138" s="9"/>
      <c r="M138" s="5" t="s">
        <v>294</v>
      </c>
      <c r="N138" s="8">
        <v>220</v>
      </c>
      <c r="O138" s="8">
        <v>750</v>
      </c>
      <c r="P138" s="7" t="s">
        <v>53</v>
      </c>
      <c r="Q138" s="8" t="s">
        <v>284</v>
      </c>
      <c r="R138" s="5"/>
      <c r="S138" s="9" t="b">
        <v>0</v>
      </c>
      <c r="T138" s="9" t="b">
        <v>0</v>
      </c>
      <c r="U138" s="9" t="b">
        <v>0</v>
      </c>
      <c r="V138" s="9" t="b">
        <v>0</v>
      </c>
      <c r="W138" s="9" t="b">
        <v>0</v>
      </c>
    </row>
    <row r="139" spans="1:23" ht="15.75" customHeight="1" x14ac:dyDescent="0.2">
      <c r="A139" s="4" t="s">
        <v>153</v>
      </c>
      <c r="B139" s="5" t="s">
        <v>24</v>
      </c>
      <c r="C139" s="8">
        <v>1</v>
      </c>
      <c r="D139" s="7">
        <v>2018</v>
      </c>
      <c r="E139" s="8" t="s">
        <v>329</v>
      </c>
      <c r="F139" s="10" t="s">
        <v>330</v>
      </c>
      <c r="G139" s="5" t="s">
        <v>27</v>
      </c>
      <c r="H139" s="5" t="s">
        <v>28</v>
      </c>
      <c r="I139" s="5" t="s">
        <v>29</v>
      </c>
      <c r="J139" s="5" t="s">
        <v>30</v>
      </c>
      <c r="K139" s="5" t="s">
        <v>31</v>
      </c>
      <c r="L139" s="5" t="s">
        <v>331</v>
      </c>
      <c r="M139" s="5" t="s">
        <v>330</v>
      </c>
      <c r="N139" s="8">
        <v>100</v>
      </c>
      <c r="O139" s="8">
        <v>750</v>
      </c>
      <c r="P139" s="7" t="s">
        <v>34</v>
      </c>
      <c r="Q139" s="8" t="s">
        <v>309</v>
      </c>
      <c r="R139" s="5"/>
      <c r="S139" s="9" t="b">
        <v>0</v>
      </c>
      <c r="T139" s="9" t="b">
        <v>0</v>
      </c>
      <c r="U139" s="9" t="b">
        <v>0</v>
      </c>
      <c r="V139" s="9" t="b">
        <v>0</v>
      </c>
      <c r="W139" s="9" t="b">
        <v>0</v>
      </c>
    </row>
    <row r="140" spans="1:23" ht="15.75" customHeight="1" x14ac:dyDescent="0.2">
      <c r="A140" s="12" t="s">
        <v>153</v>
      </c>
      <c r="B140" s="8" t="s">
        <v>24</v>
      </c>
      <c r="C140" s="8">
        <v>3</v>
      </c>
      <c r="D140" s="7">
        <v>2018</v>
      </c>
      <c r="E140" s="8" t="s">
        <v>329</v>
      </c>
      <c r="F140" s="10" t="s">
        <v>332</v>
      </c>
      <c r="G140" s="8" t="s">
        <v>27</v>
      </c>
      <c r="H140" s="8" t="s">
        <v>28</v>
      </c>
      <c r="I140" s="8" t="s">
        <v>29</v>
      </c>
      <c r="J140" s="12" t="s">
        <v>30</v>
      </c>
      <c r="K140" s="8" t="s">
        <v>31</v>
      </c>
      <c r="L140" s="8" t="s">
        <v>333</v>
      </c>
      <c r="M140" s="8" t="s">
        <v>332</v>
      </c>
      <c r="N140" s="8">
        <v>110</v>
      </c>
      <c r="O140" s="8">
        <v>750</v>
      </c>
      <c r="P140" s="7" t="s">
        <v>34</v>
      </c>
      <c r="Q140" s="12" t="s">
        <v>204</v>
      </c>
      <c r="R140" s="8"/>
      <c r="S140" s="13" t="b">
        <v>0</v>
      </c>
      <c r="T140" s="13" t="b">
        <v>0</v>
      </c>
      <c r="U140" s="13" t="b">
        <v>0</v>
      </c>
      <c r="V140" s="13" t="b">
        <v>0</v>
      </c>
      <c r="W140" s="13" t="b">
        <v>0</v>
      </c>
    </row>
    <row r="141" spans="1:23" ht="15.75" customHeight="1" x14ac:dyDescent="0.2">
      <c r="A141" s="16" t="s">
        <v>23</v>
      </c>
      <c r="B141" s="17" t="s">
        <v>24</v>
      </c>
      <c r="C141" s="17">
        <v>1</v>
      </c>
      <c r="D141" s="18">
        <v>2018</v>
      </c>
      <c r="E141" s="17" t="s">
        <v>188</v>
      </c>
      <c r="F141" s="19" t="s">
        <v>334</v>
      </c>
      <c r="G141" s="17" t="s">
        <v>191</v>
      </c>
      <c r="H141" s="17" t="s">
        <v>28</v>
      </c>
      <c r="I141" s="17" t="s">
        <v>29</v>
      </c>
      <c r="J141" s="17" t="s">
        <v>130</v>
      </c>
      <c r="K141" s="17"/>
      <c r="L141" s="20"/>
      <c r="M141" s="17" t="s">
        <v>334</v>
      </c>
      <c r="N141" s="17">
        <v>45</v>
      </c>
      <c r="O141" s="17">
        <v>750</v>
      </c>
      <c r="P141" s="18" t="s">
        <v>47</v>
      </c>
      <c r="Q141" s="17" t="s">
        <v>35</v>
      </c>
      <c r="R141" s="17"/>
      <c r="S141" s="20" t="b">
        <v>1</v>
      </c>
      <c r="T141" s="20" t="b">
        <v>0</v>
      </c>
      <c r="U141" s="20" t="b">
        <v>1</v>
      </c>
      <c r="V141" s="20" t="b">
        <v>1</v>
      </c>
      <c r="W141" s="20" t="b">
        <v>0</v>
      </c>
    </row>
    <row r="142" spans="1:23" ht="15.75" customHeight="1" x14ac:dyDescent="0.2">
      <c r="A142" s="4" t="s">
        <v>23</v>
      </c>
      <c r="B142" s="5" t="s">
        <v>24</v>
      </c>
      <c r="C142" s="8">
        <v>1</v>
      </c>
      <c r="D142" s="7">
        <v>2018</v>
      </c>
      <c r="E142" s="8" t="s">
        <v>158</v>
      </c>
      <c r="F142" s="10" t="s">
        <v>220</v>
      </c>
      <c r="G142" s="5" t="s">
        <v>74</v>
      </c>
      <c r="H142" s="5" t="s">
        <v>41</v>
      </c>
      <c r="I142" s="5" t="s">
        <v>75</v>
      </c>
      <c r="J142" s="4" t="s">
        <v>146</v>
      </c>
      <c r="K142" s="5" t="s">
        <v>160</v>
      </c>
      <c r="L142" s="9"/>
      <c r="M142" s="9"/>
      <c r="N142" s="11">
        <v>300</v>
      </c>
      <c r="O142" s="8">
        <v>750</v>
      </c>
      <c r="P142" s="7" t="s">
        <v>34</v>
      </c>
      <c r="Q142" s="8" t="s">
        <v>43</v>
      </c>
      <c r="R142" s="5"/>
      <c r="S142" s="9" t="b">
        <v>0</v>
      </c>
      <c r="T142" s="9" t="b">
        <v>0</v>
      </c>
      <c r="U142" s="9" t="b">
        <v>0</v>
      </c>
      <c r="V142" s="9" t="b">
        <v>0</v>
      </c>
      <c r="W142" s="9" t="b">
        <v>0</v>
      </c>
    </row>
    <row r="143" spans="1:23" ht="15.75" customHeight="1" x14ac:dyDescent="0.2">
      <c r="A143" s="16" t="s">
        <v>23</v>
      </c>
      <c r="B143" s="17" t="s">
        <v>24</v>
      </c>
      <c r="C143" s="17">
        <v>1</v>
      </c>
      <c r="D143" s="18">
        <v>2017</v>
      </c>
      <c r="E143" s="17" t="s">
        <v>335</v>
      </c>
      <c r="F143" s="19" t="s">
        <v>336</v>
      </c>
      <c r="G143" s="17" t="s">
        <v>191</v>
      </c>
      <c r="H143" s="17" t="s">
        <v>28</v>
      </c>
      <c r="I143" s="17" t="s">
        <v>29</v>
      </c>
      <c r="J143" s="17" t="s">
        <v>30</v>
      </c>
      <c r="K143" s="29" t="s">
        <v>337</v>
      </c>
      <c r="L143" s="17" t="s">
        <v>338</v>
      </c>
      <c r="M143" s="17" t="s">
        <v>339</v>
      </c>
      <c r="N143" s="17">
        <v>40</v>
      </c>
      <c r="O143" s="17">
        <v>750</v>
      </c>
      <c r="P143" s="18" t="s">
        <v>105</v>
      </c>
      <c r="Q143" s="17" t="s">
        <v>193</v>
      </c>
      <c r="R143" s="17"/>
      <c r="S143" s="20" t="b">
        <v>1</v>
      </c>
      <c r="T143" s="20" t="b">
        <v>0</v>
      </c>
      <c r="U143" s="20" t="b">
        <v>0</v>
      </c>
      <c r="V143" s="20" t="b">
        <v>1</v>
      </c>
      <c r="W143" s="20" t="b">
        <v>1</v>
      </c>
    </row>
    <row r="144" spans="1:23" ht="15.75" customHeight="1" x14ac:dyDescent="0.2">
      <c r="A144" s="4" t="s">
        <v>23</v>
      </c>
      <c r="B144" s="5" t="s">
        <v>24</v>
      </c>
      <c r="C144" s="8">
        <v>1</v>
      </c>
      <c r="D144" s="7">
        <v>2018</v>
      </c>
      <c r="E144" s="8" t="s">
        <v>25</v>
      </c>
      <c r="F144" s="10" t="s">
        <v>340</v>
      </c>
      <c r="G144" s="5" t="s">
        <v>27</v>
      </c>
      <c r="H144" s="5" t="s">
        <v>28</v>
      </c>
      <c r="I144" s="5" t="s">
        <v>29</v>
      </c>
      <c r="J144" s="5" t="s">
        <v>30</v>
      </c>
      <c r="K144" s="5" t="s">
        <v>31</v>
      </c>
      <c r="L144" s="5" t="s">
        <v>32</v>
      </c>
      <c r="M144" s="5" t="s">
        <v>115</v>
      </c>
      <c r="N144" s="11">
        <v>215</v>
      </c>
      <c r="O144" s="8">
        <v>750</v>
      </c>
      <c r="P144" s="7" t="s">
        <v>53</v>
      </c>
      <c r="Q144" s="14" t="s">
        <v>94</v>
      </c>
      <c r="R144" s="5"/>
      <c r="S144" s="9" t="b">
        <v>0</v>
      </c>
      <c r="T144" s="9" t="b">
        <v>0</v>
      </c>
      <c r="U144" s="9" t="b">
        <v>0</v>
      </c>
      <c r="V144" s="9" t="b">
        <v>0</v>
      </c>
      <c r="W144" s="9" t="b">
        <v>0</v>
      </c>
    </row>
    <row r="145" spans="1:23" ht="15.75" customHeight="1" x14ac:dyDescent="0.2">
      <c r="A145" s="4" t="s">
        <v>23</v>
      </c>
      <c r="B145" s="5" t="s">
        <v>24</v>
      </c>
      <c r="C145" s="8">
        <v>1</v>
      </c>
      <c r="D145" s="7">
        <v>2018</v>
      </c>
      <c r="E145" s="8" t="s">
        <v>341</v>
      </c>
      <c r="F145" s="10" t="s">
        <v>144</v>
      </c>
      <c r="G145" s="5" t="s">
        <v>74</v>
      </c>
      <c r="H145" s="5" t="s">
        <v>41</v>
      </c>
      <c r="I145" s="5" t="s">
        <v>75</v>
      </c>
      <c r="J145" s="4" t="s">
        <v>146</v>
      </c>
      <c r="K145" s="5" t="s">
        <v>342</v>
      </c>
      <c r="L145" s="9"/>
      <c r="M145" s="9"/>
      <c r="N145" s="11">
        <v>145</v>
      </c>
      <c r="O145" s="8">
        <v>750</v>
      </c>
      <c r="P145" s="7" t="s">
        <v>34</v>
      </c>
      <c r="Q145" s="8" t="s">
        <v>43</v>
      </c>
      <c r="R145" s="5"/>
      <c r="S145" s="9" t="b">
        <v>0</v>
      </c>
      <c r="T145" s="9" t="b">
        <v>0</v>
      </c>
      <c r="U145" s="9" t="b">
        <v>0</v>
      </c>
      <c r="V145" s="9" t="b">
        <v>0</v>
      </c>
      <c r="W145" s="9" t="b">
        <v>0</v>
      </c>
    </row>
    <row r="146" spans="1:23" ht="15.75" customHeight="1" x14ac:dyDescent="0.2">
      <c r="A146" s="4" t="s">
        <v>153</v>
      </c>
      <c r="B146" s="5" t="s">
        <v>24</v>
      </c>
      <c r="C146" s="5">
        <v>1</v>
      </c>
      <c r="D146" s="7">
        <v>2018</v>
      </c>
      <c r="E146" s="5" t="s">
        <v>343</v>
      </c>
      <c r="F146" s="5" t="s">
        <v>344</v>
      </c>
      <c r="G146" s="5" t="s">
        <v>27</v>
      </c>
      <c r="H146" s="5" t="s">
        <v>28</v>
      </c>
      <c r="I146" s="5" t="s">
        <v>29</v>
      </c>
      <c r="J146" s="5" t="s">
        <v>30</v>
      </c>
      <c r="K146" s="5" t="s">
        <v>31</v>
      </c>
      <c r="L146" s="5" t="s">
        <v>32</v>
      </c>
      <c r="M146" s="9"/>
      <c r="N146" s="5">
        <v>185</v>
      </c>
      <c r="O146" s="5">
        <v>750</v>
      </c>
      <c r="P146" s="7" t="s">
        <v>53</v>
      </c>
      <c r="Q146" s="8" t="s">
        <v>161</v>
      </c>
      <c r="R146" s="5"/>
      <c r="S146" s="9" t="b">
        <v>0</v>
      </c>
      <c r="T146" s="9" t="b">
        <v>0</v>
      </c>
      <c r="U146" s="9" t="b">
        <v>0</v>
      </c>
      <c r="V146" s="9" t="b">
        <v>0</v>
      </c>
      <c r="W146" s="9" t="b">
        <v>0</v>
      </c>
    </row>
    <row r="147" spans="1:23" ht="15.75" customHeight="1" x14ac:dyDescent="0.2">
      <c r="A147" s="4" t="s">
        <v>23</v>
      </c>
      <c r="B147" s="5" t="s">
        <v>24</v>
      </c>
      <c r="C147" s="8">
        <v>2</v>
      </c>
      <c r="D147" s="7">
        <v>2018</v>
      </c>
      <c r="E147" s="8" t="s">
        <v>345</v>
      </c>
      <c r="F147" s="10" t="s">
        <v>346</v>
      </c>
      <c r="G147" s="5" t="s">
        <v>27</v>
      </c>
      <c r="H147" s="5" t="s">
        <v>28</v>
      </c>
      <c r="I147" s="5" t="s">
        <v>29</v>
      </c>
      <c r="J147" s="5" t="s">
        <v>30</v>
      </c>
      <c r="K147" s="5" t="s">
        <v>31</v>
      </c>
      <c r="L147" s="9"/>
      <c r="M147" s="10" t="s">
        <v>346</v>
      </c>
      <c r="N147" s="11">
        <v>125</v>
      </c>
      <c r="O147" s="8">
        <v>750</v>
      </c>
      <c r="P147" s="7" t="s">
        <v>34</v>
      </c>
      <c r="Q147" s="8" t="s">
        <v>180</v>
      </c>
      <c r="R147" s="5"/>
      <c r="S147" s="9" t="b">
        <v>0</v>
      </c>
      <c r="T147" s="9" t="b">
        <v>0</v>
      </c>
      <c r="U147" s="9" t="b">
        <v>0</v>
      </c>
      <c r="V147" s="9" t="b">
        <v>0</v>
      </c>
      <c r="W147" s="9" t="b">
        <v>1</v>
      </c>
    </row>
    <row r="148" spans="1:23" ht="15.75" customHeight="1" x14ac:dyDescent="0.2">
      <c r="A148" s="4" t="s">
        <v>153</v>
      </c>
      <c r="B148" s="5" t="s">
        <v>24</v>
      </c>
      <c r="C148" s="8">
        <v>1</v>
      </c>
      <c r="D148" s="7">
        <v>2018</v>
      </c>
      <c r="E148" s="8" t="s">
        <v>347</v>
      </c>
      <c r="F148" s="10" t="s">
        <v>348</v>
      </c>
      <c r="G148" s="5" t="s">
        <v>74</v>
      </c>
      <c r="H148" s="5" t="s">
        <v>28</v>
      </c>
      <c r="I148" s="5" t="s">
        <v>29</v>
      </c>
      <c r="J148" s="21" t="s">
        <v>30</v>
      </c>
      <c r="K148" s="5" t="s">
        <v>31</v>
      </c>
      <c r="L148" s="9"/>
      <c r="M148" s="9"/>
      <c r="N148" s="8">
        <v>110</v>
      </c>
      <c r="O148" s="8">
        <v>750</v>
      </c>
      <c r="P148" s="7" t="s">
        <v>34</v>
      </c>
      <c r="Q148" s="8" t="s">
        <v>43</v>
      </c>
      <c r="R148" s="5"/>
      <c r="S148" s="9" t="b">
        <v>0</v>
      </c>
      <c r="T148" s="9" t="b">
        <v>0</v>
      </c>
      <c r="U148" s="9" t="b">
        <v>0</v>
      </c>
      <c r="V148" s="9" t="b">
        <v>0</v>
      </c>
      <c r="W148" s="9" t="b">
        <v>0</v>
      </c>
    </row>
    <row r="149" spans="1:23" ht="15.75" customHeight="1" x14ac:dyDescent="0.2">
      <c r="A149" s="4" t="s">
        <v>153</v>
      </c>
      <c r="B149" s="5" t="s">
        <v>24</v>
      </c>
      <c r="C149" s="8">
        <v>1</v>
      </c>
      <c r="D149" s="7">
        <v>2018</v>
      </c>
      <c r="E149" s="8" t="s">
        <v>347</v>
      </c>
      <c r="F149" s="10" t="s">
        <v>349</v>
      </c>
      <c r="G149" s="5" t="s">
        <v>350</v>
      </c>
      <c r="H149" s="5" t="s">
        <v>28</v>
      </c>
      <c r="I149" s="5" t="s">
        <v>29</v>
      </c>
      <c r="J149" s="5" t="s">
        <v>30</v>
      </c>
      <c r="K149" s="5" t="s">
        <v>130</v>
      </c>
      <c r="L149" s="9"/>
      <c r="M149" s="10" t="s">
        <v>351</v>
      </c>
      <c r="N149" s="8">
        <v>40</v>
      </c>
      <c r="O149" s="8">
        <v>750</v>
      </c>
      <c r="P149" s="7" t="s">
        <v>47</v>
      </c>
      <c r="Q149" s="8" t="s">
        <v>43</v>
      </c>
      <c r="R149" s="5"/>
      <c r="S149" s="9" t="b">
        <v>0</v>
      </c>
      <c r="T149" s="9" t="b">
        <v>0</v>
      </c>
      <c r="U149" s="9" t="b">
        <v>0</v>
      </c>
      <c r="V149" s="9" t="b">
        <v>0</v>
      </c>
      <c r="W149" s="9" t="b">
        <v>0</v>
      </c>
    </row>
    <row r="150" spans="1:23" ht="15.75" customHeight="1" x14ac:dyDescent="0.2">
      <c r="A150" s="4" t="s">
        <v>23</v>
      </c>
      <c r="B150" s="5" t="s">
        <v>24</v>
      </c>
      <c r="C150" s="8">
        <v>1</v>
      </c>
      <c r="D150" s="7">
        <v>2018</v>
      </c>
      <c r="E150" s="10" t="s">
        <v>352</v>
      </c>
      <c r="F150" s="5" t="s">
        <v>353</v>
      </c>
      <c r="G150" s="5" t="s">
        <v>74</v>
      </c>
      <c r="H150" s="5" t="s">
        <v>41</v>
      </c>
      <c r="I150" s="5" t="s">
        <v>75</v>
      </c>
      <c r="J150" s="5" t="s">
        <v>76</v>
      </c>
      <c r="K150" s="5" t="s">
        <v>354</v>
      </c>
      <c r="L150" s="9"/>
      <c r="M150" s="9"/>
      <c r="N150" s="11">
        <v>110</v>
      </c>
      <c r="O150" s="8">
        <v>750</v>
      </c>
      <c r="P150" s="7" t="s">
        <v>34</v>
      </c>
      <c r="Q150" s="12" t="s">
        <v>161</v>
      </c>
      <c r="R150" s="5"/>
      <c r="S150" s="9" t="b">
        <v>0</v>
      </c>
      <c r="T150" s="9" t="b">
        <v>0</v>
      </c>
      <c r="U150" s="9" t="b">
        <v>0</v>
      </c>
      <c r="V150" s="9" t="b">
        <v>0</v>
      </c>
      <c r="W150" s="9" t="b">
        <v>0</v>
      </c>
    </row>
    <row r="151" spans="1:23" ht="15.75" customHeight="1" x14ac:dyDescent="0.2">
      <c r="A151" s="4" t="s">
        <v>153</v>
      </c>
      <c r="B151" s="5" t="s">
        <v>24</v>
      </c>
      <c r="C151" s="8">
        <v>1</v>
      </c>
      <c r="D151" s="7">
        <v>2018</v>
      </c>
      <c r="E151" s="8" t="s">
        <v>355</v>
      </c>
      <c r="F151" s="10" t="s">
        <v>356</v>
      </c>
      <c r="G151" s="5" t="s">
        <v>27</v>
      </c>
      <c r="H151" s="5" t="s">
        <v>28</v>
      </c>
      <c r="I151" s="5" t="s">
        <v>29</v>
      </c>
      <c r="J151" s="5" t="s">
        <v>30</v>
      </c>
      <c r="K151" s="5" t="s">
        <v>31</v>
      </c>
      <c r="L151" s="9"/>
      <c r="M151" s="10" t="s">
        <v>356</v>
      </c>
      <c r="N151" s="8">
        <v>210</v>
      </c>
      <c r="O151" s="8">
        <v>750</v>
      </c>
      <c r="P151" s="7" t="s">
        <v>34</v>
      </c>
      <c r="Q151" s="8" t="s">
        <v>161</v>
      </c>
      <c r="R151" s="5"/>
      <c r="S151" s="9" t="b">
        <v>0</v>
      </c>
      <c r="T151" s="9" t="b">
        <v>0</v>
      </c>
      <c r="U151" s="9" t="b">
        <v>0</v>
      </c>
      <c r="V151" s="9" t="b">
        <v>0</v>
      </c>
      <c r="W151" s="9" t="b">
        <v>0</v>
      </c>
    </row>
    <row r="152" spans="1:23" ht="15.75" customHeight="1" x14ac:dyDescent="0.2">
      <c r="A152" s="12" t="s">
        <v>153</v>
      </c>
      <c r="B152" s="8" t="s">
        <v>24</v>
      </c>
      <c r="C152" s="8">
        <v>2</v>
      </c>
      <c r="D152" s="7">
        <v>2018</v>
      </c>
      <c r="E152" s="8" t="s">
        <v>282</v>
      </c>
      <c r="F152" s="10" t="s">
        <v>357</v>
      </c>
      <c r="G152" s="8" t="s">
        <v>27</v>
      </c>
      <c r="H152" s="8" t="s">
        <v>28</v>
      </c>
      <c r="I152" s="8" t="s">
        <v>29</v>
      </c>
      <c r="J152" s="8" t="s">
        <v>30</v>
      </c>
      <c r="K152" s="8" t="s">
        <v>31</v>
      </c>
      <c r="L152" s="8"/>
      <c r="M152" s="13"/>
      <c r="N152" s="8">
        <v>120</v>
      </c>
      <c r="O152" s="8">
        <v>750</v>
      </c>
      <c r="P152" s="7" t="s">
        <v>53</v>
      </c>
      <c r="Q152" s="12" t="s">
        <v>284</v>
      </c>
      <c r="R152" s="8"/>
      <c r="S152" s="13" t="b">
        <v>0</v>
      </c>
      <c r="T152" s="13" t="b">
        <v>0</v>
      </c>
      <c r="U152" s="13" t="b">
        <v>0</v>
      </c>
      <c r="V152" s="13" t="b">
        <v>0</v>
      </c>
      <c r="W152" s="13" t="b">
        <v>0</v>
      </c>
    </row>
    <row r="153" spans="1:23" ht="15.75" customHeight="1" x14ac:dyDescent="0.2">
      <c r="A153" s="12" t="s">
        <v>153</v>
      </c>
      <c r="B153" s="8" t="s">
        <v>37</v>
      </c>
      <c r="C153" s="8">
        <v>1</v>
      </c>
      <c r="D153" s="7">
        <v>2018</v>
      </c>
      <c r="E153" s="8" t="s">
        <v>282</v>
      </c>
      <c r="F153" s="10" t="s">
        <v>358</v>
      </c>
      <c r="G153" s="8" t="s">
        <v>350</v>
      </c>
      <c r="H153" s="8" t="s">
        <v>28</v>
      </c>
      <c r="I153" s="8" t="s">
        <v>29</v>
      </c>
      <c r="J153" s="8" t="s">
        <v>30</v>
      </c>
      <c r="K153" s="8" t="s">
        <v>31</v>
      </c>
      <c r="L153" s="8"/>
      <c r="M153" s="13"/>
      <c r="N153" s="8">
        <v>85</v>
      </c>
      <c r="O153" s="8">
        <v>750</v>
      </c>
      <c r="P153" s="7" t="s">
        <v>105</v>
      </c>
      <c r="Q153" s="8" t="s">
        <v>284</v>
      </c>
      <c r="R153" s="8"/>
      <c r="S153" s="13" t="b">
        <v>0</v>
      </c>
      <c r="T153" s="13" t="b">
        <v>0</v>
      </c>
      <c r="U153" s="13" t="b">
        <v>0</v>
      </c>
      <c r="V153" s="13" t="b">
        <v>0</v>
      </c>
      <c r="W153" s="13" t="b">
        <v>0</v>
      </c>
    </row>
    <row r="154" spans="1:23" ht="15.75" customHeight="1" x14ac:dyDescent="0.2">
      <c r="A154" s="4" t="s">
        <v>153</v>
      </c>
      <c r="B154" s="5" t="s">
        <v>24</v>
      </c>
      <c r="C154" s="8">
        <v>2</v>
      </c>
      <c r="D154" s="7">
        <v>2018</v>
      </c>
      <c r="E154" s="8" t="s">
        <v>359</v>
      </c>
      <c r="F154" s="10" t="s">
        <v>360</v>
      </c>
      <c r="G154" s="5" t="s">
        <v>27</v>
      </c>
      <c r="H154" s="5" t="s">
        <v>28</v>
      </c>
      <c r="I154" s="5" t="s">
        <v>29</v>
      </c>
      <c r="J154" s="5" t="s">
        <v>30</v>
      </c>
      <c r="K154" s="5" t="s">
        <v>65</v>
      </c>
      <c r="L154" s="9"/>
      <c r="M154" s="10" t="s">
        <v>361</v>
      </c>
      <c r="N154" s="8" t="s">
        <v>326</v>
      </c>
      <c r="O154" s="8">
        <v>750</v>
      </c>
      <c r="P154" s="7" t="s">
        <v>53</v>
      </c>
      <c r="Q154" s="8"/>
      <c r="R154" s="5"/>
      <c r="S154" s="9" t="b">
        <v>0</v>
      </c>
      <c r="T154" s="9" t="b">
        <v>0</v>
      </c>
      <c r="U154" s="9" t="b">
        <v>0</v>
      </c>
      <c r="V154" s="9" t="b">
        <v>0</v>
      </c>
      <c r="W154" s="9" t="b">
        <v>0</v>
      </c>
    </row>
    <row r="155" spans="1:23" ht="15.75" customHeight="1" x14ac:dyDescent="0.2">
      <c r="A155" s="4" t="s">
        <v>23</v>
      </c>
      <c r="B155" s="5" t="s">
        <v>24</v>
      </c>
      <c r="C155" s="8">
        <v>1</v>
      </c>
      <c r="D155" s="7">
        <v>2018</v>
      </c>
      <c r="E155" s="8" t="s">
        <v>225</v>
      </c>
      <c r="F155" s="10" t="s">
        <v>226</v>
      </c>
      <c r="G155" s="5" t="s">
        <v>139</v>
      </c>
      <c r="H155" s="5" t="s">
        <v>41</v>
      </c>
      <c r="I155" s="5" t="s">
        <v>75</v>
      </c>
      <c r="J155" s="5" t="s">
        <v>227</v>
      </c>
      <c r="K155" s="5" t="s">
        <v>140</v>
      </c>
      <c r="L155" s="5" t="s">
        <v>228</v>
      </c>
      <c r="M155" s="9"/>
      <c r="N155" s="11">
        <v>80</v>
      </c>
      <c r="O155" s="8">
        <v>750</v>
      </c>
      <c r="P155" s="7" t="s">
        <v>34</v>
      </c>
      <c r="Q155" s="8" t="s">
        <v>43</v>
      </c>
      <c r="R155" s="5"/>
      <c r="S155" s="9" t="b">
        <v>0</v>
      </c>
      <c r="T155" s="9" t="b">
        <v>0</v>
      </c>
      <c r="U155" s="9" t="b">
        <v>0</v>
      </c>
      <c r="V155" s="9" t="b">
        <v>0</v>
      </c>
      <c r="W155" s="9" t="b">
        <v>0</v>
      </c>
    </row>
    <row r="156" spans="1:23" ht="16" x14ac:dyDescent="0.2">
      <c r="A156" s="4" t="s">
        <v>23</v>
      </c>
      <c r="B156" s="5" t="s">
        <v>24</v>
      </c>
      <c r="C156" s="8">
        <v>1</v>
      </c>
      <c r="D156" s="7">
        <v>2018</v>
      </c>
      <c r="E156" s="8" t="s">
        <v>282</v>
      </c>
      <c r="F156" s="10" t="s">
        <v>235</v>
      </c>
      <c r="G156" s="5" t="s">
        <v>235</v>
      </c>
      <c r="H156" s="5" t="s">
        <v>28</v>
      </c>
      <c r="I156" s="5" t="s">
        <v>29</v>
      </c>
      <c r="J156" s="5" t="s">
        <v>30</v>
      </c>
      <c r="K156" s="5" t="s">
        <v>31</v>
      </c>
      <c r="L156" s="9"/>
      <c r="M156" s="10"/>
      <c r="N156" s="8">
        <v>80</v>
      </c>
      <c r="O156" s="8">
        <v>750</v>
      </c>
      <c r="P156" s="7" t="s">
        <v>34</v>
      </c>
      <c r="Q156" s="8" t="s">
        <v>362</v>
      </c>
      <c r="R156" s="5"/>
      <c r="S156" s="9" t="b">
        <v>1</v>
      </c>
      <c r="T156" s="9" t="b">
        <v>0</v>
      </c>
      <c r="U156" s="9" t="b">
        <v>0</v>
      </c>
      <c r="V156" s="9" t="b">
        <v>0</v>
      </c>
      <c r="W156" s="9" t="b">
        <v>1</v>
      </c>
    </row>
    <row r="157" spans="1:23" ht="16" x14ac:dyDescent="0.2">
      <c r="A157" s="12" t="s">
        <v>153</v>
      </c>
      <c r="B157" s="8" t="s">
        <v>24</v>
      </c>
      <c r="C157" s="8">
        <v>1</v>
      </c>
      <c r="D157" s="7">
        <v>2018</v>
      </c>
      <c r="E157" s="8" t="s">
        <v>282</v>
      </c>
      <c r="F157" s="10" t="s">
        <v>363</v>
      </c>
      <c r="G157" s="8" t="s">
        <v>27</v>
      </c>
      <c r="H157" s="8" t="s">
        <v>28</v>
      </c>
      <c r="I157" s="8" t="s">
        <v>29</v>
      </c>
      <c r="J157" s="8" t="s">
        <v>30</v>
      </c>
      <c r="K157" s="8" t="s">
        <v>31</v>
      </c>
      <c r="L157" s="8"/>
      <c r="M157" s="5"/>
      <c r="N157" s="8" t="s">
        <v>326</v>
      </c>
      <c r="O157" s="8">
        <v>750</v>
      </c>
      <c r="P157" s="7" t="s">
        <v>53</v>
      </c>
      <c r="Q157" s="14" t="s">
        <v>94</v>
      </c>
      <c r="R157" s="8"/>
      <c r="S157" s="13" t="b">
        <v>0</v>
      </c>
      <c r="T157" s="13" t="b">
        <v>0</v>
      </c>
      <c r="U157" s="13" t="b">
        <v>0</v>
      </c>
      <c r="V157" s="13" t="b">
        <v>0</v>
      </c>
      <c r="W157" s="13" t="b">
        <v>0</v>
      </c>
    </row>
    <row r="158" spans="1:23" ht="16" x14ac:dyDescent="0.2">
      <c r="A158" s="12" t="s">
        <v>23</v>
      </c>
      <c r="B158" s="8" t="s">
        <v>44</v>
      </c>
      <c r="C158" s="8">
        <v>1</v>
      </c>
      <c r="D158" s="7">
        <v>2018</v>
      </c>
      <c r="E158" s="8" t="s">
        <v>364</v>
      </c>
      <c r="F158" s="10" t="s">
        <v>365</v>
      </c>
      <c r="G158" s="8" t="s">
        <v>350</v>
      </c>
      <c r="H158" s="8" t="s">
        <v>28</v>
      </c>
      <c r="I158" s="5" t="s">
        <v>29</v>
      </c>
      <c r="J158" s="8" t="s">
        <v>130</v>
      </c>
      <c r="K158" s="8"/>
      <c r="L158" s="13"/>
      <c r="M158" s="10" t="s">
        <v>366</v>
      </c>
      <c r="N158" s="11">
        <v>80</v>
      </c>
      <c r="O158" s="8">
        <v>750</v>
      </c>
      <c r="P158" s="7" t="s">
        <v>105</v>
      </c>
      <c r="Q158" s="12" t="s">
        <v>98</v>
      </c>
      <c r="R158" s="8"/>
      <c r="S158" s="13" t="b">
        <v>0</v>
      </c>
      <c r="T158" s="13" t="b">
        <v>0</v>
      </c>
      <c r="U158" s="13" t="b">
        <v>0</v>
      </c>
      <c r="V158" s="13" t="b">
        <v>0</v>
      </c>
      <c r="W158" s="13" t="b">
        <v>0</v>
      </c>
    </row>
    <row r="159" spans="1:23" ht="16" x14ac:dyDescent="0.2">
      <c r="A159" s="4" t="s">
        <v>153</v>
      </c>
      <c r="B159" s="5" t="s">
        <v>24</v>
      </c>
      <c r="C159" s="8">
        <v>1</v>
      </c>
      <c r="D159" s="7">
        <v>2019</v>
      </c>
      <c r="E159" s="8" t="s">
        <v>329</v>
      </c>
      <c r="F159" s="10" t="s">
        <v>367</v>
      </c>
      <c r="G159" s="5" t="s">
        <v>27</v>
      </c>
      <c r="H159" s="5" t="s">
        <v>28</v>
      </c>
      <c r="I159" s="5" t="s">
        <v>29</v>
      </c>
      <c r="J159" s="5" t="s">
        <v>30</v>
      </c>
      <c r="K159" s="5" t="s">
        <v>31</v>
      </c>
      <c r="L159" s="9"/>
      <c r="M159" s="9"/>
      <c r="N159" s="8">
        <v>65</v>
      </c>
      <c r="O159" s="8">
        <v>750</v>
      </c>
      <c r="P159" s="7" t="s">
        <v>105</v>
      </c>
      <c r="Q159" s="8" t="s">
        <v>125</v>
      </c>
      <c r="R159" s="5"/>
      <c r="S159" s="9" t="b">
        <v>1</v>
      </c>
      <c r="T159" s="9" t="b">
        <v>1</v>
      </c>
      <c r="U159" s="9" t="b">
        <v>0</v>
      </c>
      <c r="V159" s="9" t="b">
        <v>0</v>
      </c>
      <c r="W159" s="9" t="b">
        <v>0</v>
      </c>
    </row>
    <row r="160" spans="1:23" ht="16" x14ac:dyDescent="0.2">
      <c r="A160" s="4" t="s">
        <v>23</v>
      </c>
      <c r="B160" s="5" t="s">
        <v>24</v>
      </c>
      <c r="C160" s="8">
        <v>2</v>
      </c>
      <c r="D160" s="7">
        <v>2018</v>
      </c>
      <c r="E160" s="8" t="s">
        <v>368</v>
      </c>
      <c r="F160" s="10" t="s">
        <v>369</v>
      </c>
      <c r="G160" s="5" t="s">
        <v>27</v>
      </c>
      <c r="H160" s="5" t="s">
        <v>28</v>
      </c>
      <c r="I160" s="5" t="s">
        <v>29</v>
      </c>
      <c r="J160" s="5" t="s">
        <v>30</v>
      </c>
      <c r="K160" s="5" t="s">
        <v>31</v>
      </c>
      <c r="L160" s="9"/>
      <c r="M160" s="5" t="s">
        <v>370</v>
      </c>
      <c r="N160" s="11">
        <v>75</v>
      </c>
      <c r="O160" s="8">
        <v>750</v>
      </c>
      <c r="P160" s="7" t="s">
        <v>34</v>
      </c>
      <c r="Q160" s="12" t="s">
        <v>161</v>
      </c>
      <c r="R160" s="5"/>
      <c r="S160" s="9" t="b">
        <v>0</v>
      </c>
      <c r="T160" s="9" t="b">
        <v>0</v>
      </c>
      <c r="U160" s="9" t="b">
        <v>0</v>
      </c>
      <c r="V160" s="9" t="b">
        <v>0</v>
      </c>
      <c r="W160" s="9" t="b">
        <v>0</v>
      </c>
    </row>
    <row r="161" spans="1:23" ht="16" x14ac:dyDescent="0.2">
      <c r="A161" s="4" t="s">
        <v>23</v>
      </c>
      <c r="B161" s="5" t="s">
        <v>24</v>
      </c>
      <c r="C161" s="8">
        <v>1</v>
      </c>
      <c r="D161" s="7">
        <v>2018</v>
      </c>
      <c r="E161" s="8" t="s">
        <v>371</v>
      </c>
      <c r="F161" s="10" t="s">
        <v>372</v>
      </c>
      <c r="G161" s="5" t="s">
        <v>40</v>
      </c>
      <c r="H161" s="5"/>
      <c r="I161" s="5"/>
      <c r="J161" s="5" t="s">
        <v>373</v>
      </c>
      <c r="K161" s="5"/>
      <c r="L161" s="9"/>
      <c r="M161" s="10"/>
      <c r="N161" s="11">
        <v>60</v>
      </c>
      <c r="O161" s="8">
        <v>750</v>
      </c>
      <c r="P161" s="7" t="s">
        <v>34</v>
      </c>
      <c r="Q161" s="8" t="s">
        <v>43</v>
      </c>
      <c r="R161" s="5"/>
      <c r="S161" s="9" t="b">
        <v>0</v>
      </c>
      <c r="T161" s="9" t="b">
        <v>0</v>
      </c>
      <c r="U161" s="9" t="b">
        <v>0</v>
      </c>
      <c r="V161" s="9" t="b">
        <v>0</v>
      </c>
      <c r="W161" s="9" t="b">
        <v>0</v>
      </c>
    </row>
    <row r="162" spans="1:23" ht="16" x14ac:dyDescent="0.2">
      <c r="A162" s="12" t="s">
        <v>23</v>
      </c>
      <c r="B162" s="8" t="s">
        <v>24</v>
      </c>
      <c r="C162" s="8">
        <v>1</v>
      </c>
      <c r="D162" s="7">
        <v>2018</v>
      </c>
      <c r="E162" s="8" t="s">
        <v>254</v>
      </c>
      <c r="F162" s="10" t="s">
        <v>374</v>
      </c>
      <c r="G162" s="8" t="s">
        <v>139</v>
      </c>
      <c r="H162" s="8" t="s">
        <v>28</v>
      </c>
      <c r="I162" s="8" t="s">
        <v>58</v>
      </c>
      <c r="J162" s="13"/>
      <c r="K162" s="13"/>
      <c r="L162" s="13"/>
      <c r="M162" s="13"/>
      <c r="N162" s="8">
        <v>57</v>
      </c>
      <c r="O162" s="8">
        <v>750</v>
      </c>
      <c r="P162" s="7" t="s">
        <v>105</v>
      </c>
      <c r="Q162" s="14" t="s">
        <v>78</v>
      </c>
      <c r="R162" s="8"/>
      <c r="S162" s="13" t="b">
        <v>1</v>
      </c>
      <c r="T162" s="13" t="b">
        <v>0</v>
      </c>
      <c r="U162" s="13" t="b">
        <v>0</v>
      </c>
      <c r="V162" s="13" t="b">
        <v>0</v>
      </c>
      <c r="W162" s="13" t="b">
        <v>1</v>
      </c>
    </row>
    <row r="163" spans="1:23" ht="16" x14ac:dyDescent="0.2">
      <c r="A163" s="4" t="s">
        <v>153</v>
      </c>
      <c r="B163" s="5" t="s">
        <v>24</v>
      </c>
      <c r="C163" s="8">
        <v>2</v>
      </c>
      <c r="D163" s="7">
        <v>2019</v>
      </c>
      <c r="E163" s="8" t="s">
        <v>313</v>
      </c>
      <c r="F163" s="10" t="s">
        <v>314</v>
      </c>
      <c r="G163" s="5" t="s">
        <v>156</v>
      </c>
      <c r="H163" s="5" t="s">
        <v>28</v>
      </c>
      <c r="I163" s="5" t="s">
        <v>29</v>
      </c>
      <c r="J163" s="5" t="s">
        <v>30</v>
      </c>
      <c r="K163" s="5" t="s">
        <v>31</v>
      </c>
      <c r="L163" s="8" t="s">
        <v>186</v>
      </c>
      <c r="M163" s="10" t="s">
        <v>315</v>
      </c>
      <c r="N163" s="8">
        <v>225</v>
      </c>
      <c r="O163" s="8">
        <v>750</v>
      </c>
      <c r="P163" s="7" t="s">
        <v>34</v>
      </c>
      <c r="Q163" s="8" t="s">
        <v>309</v>
      </c>
      <c r="R163" s="5"/>
      <c r="S163" s="9" t="b">
        <v>0</v>
      </c>
      <c r="T163" s="9" t="b">
        <v>0</v>
      </c>
      <c r="U163" s="9" t="b">
        <v>0</v>
      </c>
      <c r="V163" s="9" t="b">
        <v>0</v>
      </c>
      <c r="W163" s="9" t="b">
        <v>0</v>
      </c>
    </row>
    <row r="164" spans="1:23" ht="16" x14ac:dyDescent="0.2">
      <c r="A164" s="12" t="s">
        <v>23</v>
      </c>
      <c r="B164" s="8" t="s">
        <v>24</v>
      </c>
      <c r="C164" s="8">
        <v>1</v>
      </c>
      <c r="D164" s="7">
        <v>2019</v>
      </c>
      <c r="E164" s="8" t="s">
        <v>375</v>
      </c>
      <c r="F164" s="10" t="s">
        <v>376</v>
      </c>
      <c r="G164" s="8" t="s">
        <v>129</v>
      </c>
      <c r="H164" s="8" t="s">
        <v>41</v>
      </c>
      <c r="I164" s="8"/>
      <c r="J164" s="8" t="s">
        <v>377</v>
      </c>
      <c r="K164" s="8" t="s">
        <v>378</v>
      </c>
      <c r="L164" s="13"/>
      <c r="M164" s="10" t="s">
        <v>379</v>
      </c>
      <c r="N164" s="11">
        <v>67</v>
      </c>
      <c r="O164" s="8">
        <v>750</v>
      </c>
      <c r="P164" s="7" t="s">
        <v>34</v>
      </c>
      <c r="Q164" s="8" t="s">
        <v>98</v>
      </c>
      <c r="R164" s="8"/>
      <c r="S164" s="13" t="b">
        <v>0</v>
      </c>
      <c r="T164" s="13" t="b">
        <v>0</v>
      </c>
      <c r="U164" s="13" t="b">
        <v>0</v>
      </c>
      <c r="V164" s="13" t="b">
        <v>0</v>
      </c>
      <c r="W164" s="13" t="b">
        <v>0</v>
      </c>
    </row>
    <row r="165" spans="1:23" ht="16" x14ac:dyDescent="0.2">
      <c r="A165" s="4" t="s">
        <v>153</v>
      </c>
      <c r="B165" s="5" t="s">
        <v>24</v>
      </c>
      <c r="C165" s="8">
        <v>2</v>
      </c>
      <c r="D165" s="7">
        <v>2019</v>
      </c>
      <c r="E165" s="8" t="s">
        <v>329</v>
      </c>
      <c r="F165" s="10" t="s">
        <v>380</v>
      </c>
      <c r="G165" s="5" t="s">
        <v>27</v>
      </c>
      <c r="H165" s="5" t="s">
        <v>28</v>
      </c>
      <c r="I165" s="5" t="s">
        <v>29</v>
      </c>
      <c r="J165" s="5" t="s">
        <v>30</v>
      </c>
      <c r="K165" s="5" t="s">
        <v>31</v>
      </c>
      <c r="L165" s="5" t="s">
        <v>333</v>
      </c>
      <c r="M165" s="5" t="s">
        <v>380</v>
      </c>
      <c r="N165" s="8">
        <v>115</v>
      </c>
      <c r="O165" s="8">
        <v>750</v>
      </c>
      <c r="P165" s="7" t="s">
        <v>34</v>
      </c>
      <c r="Q165" s="12" t="s">
        <v>309</v>
      </c>
      <c r="R165" s="5"/>
      <c r="S165" s="9" t="b">
        <v>0</v>
      </c>
      <c r="T165" s="9" t="b">
        <v>0</v>
      </c>
      <c r="U165" s="9" t="b">
        <v>0</v>
      </c>
      <c r="V165" s="9" t="b">
        <v>0</v>
      </c>
      <c r="W165" s="9" t="b">
        <v>0</v>
      </c>
    </row>
    <row r="166" spans="1:23" ht="16" x14ac:dyDescent="0.2">
      <c r="A166" s="4" t="s">
        <v>153</v>
      </c>
      <c r="B166" s="5" t="s">
        <v>24</v>
      </c>
      <c r="C166" s="8">
        <v>2</v>
      </c>
      <c r="D166" s="7">
        <v>2019</v>
      </c>
      <c r="E166" s="8" t="s">
        <v>329</v>
      </c>
      <c r="F166" s="10" t="s">
        <v>367</v>
      </c>
      <c r="G166" s="5" t="s">
        <v>27</v>
      </c>
      <c r="H166" s="5" t="s">
        <v>28</v>
      </c>
      <c r="I166" s="5" t="s">
        <v>29</v>
      </c>
      <c r="J166" s="5" t="s">
        <v>30</v>
      </c>
      <c r="K166" s="4" t="s">
        <v>31</v>
      </c>
      <c r="L166" s="9"/>
      <c r="M166" s="10"/>
      <c r="N166" s="8">
        <v>65</v>
      </c>
      <c r="O166" s="8">
        <v>750</v>
      </c>
      <c r="P166" s="7" t="s">
        <v>105</v>
      </c>
      <c r="Q166" s="8" t="s">
        <v>309</v>
      </c>
      <c r="R166" s="5"/>
      <c r="S166" s="9" t="b">
        <v>0</v>
      </c>
      <c r="T166" s="9" t="b">
        <v>0</v>
      </c>
      <c r="U166" s="9" t="b">
        <v>0</v>
      </c>
      <c r="V166" s="9" t="b">
        <v>0</v>
      </c>
      <c r="W166" s="9" t="b">
        <v>0</v>
      </c>
    </row>
    <row r="167" spans="1:23" ht="16" x14ac:dyDescent="0.2">
      <c r="A167" s="4" t="s">
        <v>23</v>
      </c>
      <c r="B167" s="5" t="s">
        <v>24</v>
      </c>
      <c r="C167" s="8">
        <v>1</v>
      </c>
      <c r="D167" s="7">
        <v>2019</v>
      </c>
      <c r="E167" s="8" t="s">
        <v>276</v>
      </c>
      <c r="F167" s="10" t="s">
        <v>156</v>
      </c>
      <c r="G167" s="5" t="s">
        <v>156</v>
      </c>
      <c r="H167" s="5" t="s">
        <v>28</v>
      </c>
      <c r="I167" s="5" t="s">
        <v>29</v>
      </c>
      <c r="J167" s="5" t="s">
        <v>30</v>
      </c>
      <c r="K167" s="4" t="s">
        <v>97</v>
      </c>
      <c r="L167" s="9"/>
      <c r="M167" s="10"/>
      <c r="N167" s="8">
        <v>45</v>
      </c>
      <c r="O167" s="8">
        <v>750</v>
      </c>
      <c r="P167" s="7" t="s">
        <v>105</v>
      </c>
      <c r="Q167" s="14" t="s">
        <v>78</v>
      </c>
      <c r="R167" s="5"/>
      <c r="S167" s="9" t="b">
        <v>1</v>
      </c>
      <c r="T167" s="9" t="b">
        <v>1</v>
      </c>
      <c r="U167" s="9" t="b">
        <v>0</v>
      </c>
      <c r="V167" s="9" t="b">
        <v>0</v>
      </c>
      <c r="W167" s="9" t="b">
        <v>1</v>
      </c>
    </row>
    <row r="168" spans="1:23" ht="16" x14ac:dyDescent="0.2">
      <c r="A168" s="12" t="s">
        <v>23</v>
      </c>
      <c r="B168" s="8" t="s">
        <v>24</v>
      </c>
      <c r="C168" s="8">
        <v>2</v>
      </c>
      <c r="D168" s="7">
        <v>2019</v>
      </c>
      <c r="E168" s="8" t="s">
        <v>310</v>
      </c>
      <c r="F168" s="10" t="s">
        <v>381</v>
      </c>
      <c r="G168" s="8" t="s">
        <v>139</v>
      </c>
      <c r="H168" s="8" t="s">
        <v>41</v>
      </c>
      <c r="I168" s="8"/>
      <c r="J168" s="8" t="s">
        <v>140</v>
      </c>
      <c r="K168" s="8" t="s">
        <v>382</v>
      </c>
      <c r="L168" s="13"/>
      <c r="M168" s="10"/>
      <c r="N168" s="11">
        <v>80</v>
      </c>
      <c r="O168" s="8">
        <v>750</v>
      </c>
      <c r="P168" s="7" t="s">
        <v>34</v>
      </c>
      <c r="Q168" s="14" t="s">
        <v>94</v>
      </c>
      <c r="R168" s="8"/>
      <c r="S168" s="13" t="b">
        <v>0</v>
      </c>
      <c r="T168" s="13" t="b">
        <v>0</v>
      </c>
      <c r="U168" s="13" t="b">
        <v>0</v>
      </c>
      <c r="V168" s="13" t="b">
        <v>0</v>
      </c>
      <c r="W168" s="13" t="b">
        <v>0</v>
      </c>
    </row>
    <row r="169" spans="1:23" ht="16" x14ac:dyDescent="0.2">
      <c r="A169" s="12" t="s">
        <v>23</v>
      </c>
      <c r="B169" s="8" t="s">
        <v>24</v>
      </c>
      <c r="C169" s="8">
        <v>1</v>
      </c>
      <c r="D169" s="7">
        <v>2019</v>
      </c>
      <c r="E169" s="8" t="s">
        <v>310</v>
      </c>
      <c r="F169" s="10" t="s">
        <v>311</v>
      </c>
      <c r="G169" s="8" t="s">
        <v>139</v>
      </c>
      <c r="H169" s="8" t="s">
        <v>41</v>
      </c>
      <c r="I169" s="8"/>
      <c r="J169" s="8" t="s">
        <v>140</v>
      </c>
      <c r="K169" s="8" t="s">
        <v>312</v>
      </c>
      <c r="L169" s="13"/>
      <c r="M169" s="10"/>
      <c r="N169" s="11">
        <v>30</v>
      </c>
      <c r="O169" s="8">
        <v>750</v>
      </c>
      <c r="P169" s="7" t="s">
        <v>105</v>
      </c>
      <c r="Q169" s="15" t="s">
        <v>383</v>
      </c>
      <c r="R169" s="8"/>
      <c r="S169" s="13" t="b">
        <v>0</v>
      </c>
      <c r="T169" s="13" t="b">
        <v>0</v>
      </c>
      <c r="U169" s="13" t="b">
        <v>0</v>
      </c>
      <c r="V169" s="13" t="b">
        <v>0</v>
      </c>
      <c r="W169" s="13" t="b">
        <v>0</v>
      </c>
    </row>
    <row r="170" spans="1:23" ht="16" x14ac:dyDescent="0.2">
      <c r="A170" s="4" t="s">
        <v>153</v>
      </c>
      <c r="B170" s="5" t="s">
        <v>24</v>
      </c>
      <c r="C170" s="8">
        <v>1</v>
      </c>
      <c r="D170" s="7">
        <v>2019</v>
      </c>
      <c r="E170" s="8" t="s">
        <v>359</v>
      </c>
      <c r="F170" s="10" t="s">
        <v>384</v>
      </c>
      <c r="G170" s="5" t="s">
        <v>27</v>
      </c>
      <c r="H170" s="5" t="s">
        <v>28</v>
      </c>
      <c r="I170" s="5" t="s">
        <v>29</v>
      </c>
      <c r="J170" s="5" t="s">
        <v>30</v>
      </c>
      <c r="K170" s="5" t="s">
        <v>65</v>
      </c>
      <c r="L170" s="9"/>
      <c r="M170" s="10" t="s">
        <v>361</v>
      </c>
      <c r="N170" s="8">
        <v>75</v>
      </c>
      <c r="O170" s="8">
        <v>750</v>
      </c>
      <c r="P170" s="7" t="s">
        <v>34</v>
      </c>
      <c r="Q170" s="12" t="s">
        <v>362</v>
      </c>
      <c r="R170" s="5"/>
      <c r="S170" s="9" t="b">
        <v>0</v>
      </c>
      <c r="T170" s="9" t="b">
        <v>0</v>
      </c>
      <c r="U170" s="9" t="b">
        <v>0</v>
      </c>
      <c r="V170" s="9" t="b">
        <v>0</v>
      </c>
      <c r="W170" s="9" t="b">
        <v>0</v>
      </c>
    </row>
    <row r="171" spans="1:23" ht="16" x14ac:dyDescent="0.2">
      <c r="A171" s="4" t="s">
        <v>153</v>
      </c>
      <c r="B171" s="5" t="s">
        <v>24</v>
      </c>
      <c r="C171" s="8">
        <v>1</v>
      </c>
      <c r="D171" s="7">
        <v>2019</v>
      </c>
      <c r="E171" s="8" t="s">
        <v>359</v>
      </c>
      <c r="F171" s="10" t="s">
        <v>384</v>
      </c>
      <c r="G171" s="5" t="s">
        <v>27</v>
      </c>
      <c r="H171" s="5" t="s">
        <v>28</v>
      </c>
      <c r="I171" s="5" t="s">
        <v>29</v>
      </c>
      <c r="J171" s="5" t="s">
        <v>30</v>
      </c>
      <c r="K171" s="5" t="s">
        <v>65</v>
      </c>
      <c r="L171" s="9"/>
      <c r="M171" s="10" t="s">
        <v>361</v>
      </c>
      <c r="N171" s="8">
        <v>75</v>
      </c>
      <c r="O171" s="8">
        <v>1500</v>
      </c>
      <c r="P171" s="7" t="s">
        <v>53</v>
      </c>
      <c r="Q171" s="12" t="s">
        <v>385</v>
      </c>
      <c r="R171" s="5"/>
      <c r="S171" s="9" t="b">
        <v>0</v>
      </c>
      <c r="T171" s="9" t="b">
        <v>0</v>
      </c>
      <c r="U171" s="9" t="b">
        <v>0</v>
      </c>
      <c r="V171" s="9" t="b">
        <v>0</v>
      </c>
      <c r="W171" s="9" t="b">
        <v>0</v>
      </c>
    </row>
    <row r="172" spans="1:23" ht="16" x14ac:dyDescent="0.2">
      <c r="A172" s="12" t="s">
        <v>23</v>
      </c>
      <c r="B172" s="8" t="s">
        <v>24</v>
      </c>
      <c r="C172" s="8">
        <v>1</v>
      </c>
      <c r="D172" s="7">
        <v>2019</v>
      </c>
      <c r="E172" s="8" t="s">
        <v>386</v>
      </c>
      <c r="F172" s="10" t="s">
        <v>387</v>
      </c>
      <c r="G172" s="8" t="s">
        <v>191</v>
      </c>
      <c r="H172" s="8" t="s">
        <v>28</v>
      </c>
      <c r="I172" s="8" t="s">
        <v>29</v>
      </c>
      <c r="J172" s="8" t="s">
        <v>30</v>
      </c>
      <c r="K172" s="8" t="s">
        <v>130</v>
      </c>
      <c r="L172" s="13"/>
      <c r="M172" s="10"/>
      <c r="N172" s="8">
        <v>60</v>
      </c>
      <c r="O172" s="8">
        <v>750</v>
      </c>
      <c r="P172" s="7" t="s">
        <v>105</v>
      </c>
      <c r="Q172" s="8" t="s">
        <v>132</v>
      </c>
      <c r="R172" s="8"/>
      <c r="S172" s="13" t="b">
        <v>1</v>
      </c>
      <c r="T172" s="13" t="b">
        <v>1</v>
      </c>
      <c r="U172" s="13" t="b">
        <v>0</v>
      </c>
      <c r="V172" s="13" t="b">
        <v>0</v>
      </c>
      <c r="W172" s="13" t="b">
        <v>0</v>
      </c>
    </row>
    <row r="173" spans="1:23" ht="16" x14ac:dyDescent="0.2">
      <c r="A173" s="12" t="s">
        <v>23</v>
      </c>
      <c r="B173" s="8" t="s">
        <v>24</v>
      </c>
      <c r="C173" s="8">
        <v>1</v>
      </c>
      <c r="D173" s="7">
        <v>2019</v>
      </c>
      <c r="E173" s="8" t="s">
        <v>347</v>
      </c>
      <c r="F173" s="10" t="s">
        <v>388</v>
      </c>
      <c r="G173" s="8" t="s">
        <v>235</v>
      </c>
      <c r="H173" s="8" t="s">
        <v>28</v>
      </c>
      <c r="I173" s="5" t="s">
        <v>29</v>
      </c>
      <c r="J173" s="8" t="s">
        <v>31</v>
      </c>
      <c r="K173" s="8"/>
      <c r="L173" s="13"/>
      <c r="M173" s="10" t="s">
        <v>348</v>
      </c>
      <c r="N173" s="11">
        <v>70</v>
      </c>
      <c r="O173" s="8">
        <v>750</v>
      </c>
      <c r="P173" s="7" t="s">
        <v>105</v>
      </c>
      <c r="Q173" s="8" t="s">
        <v>204</v>
      </c>
      <c r="R173" s="8"/>
      <c r="S173" s="13" t="b">
        <v>0</v>
      </c>
      <c r="T173" s="13" t="b">
        <v>0</v>
      </c>
      <c r="U173" s="13" t="b">
        <v>0</v>
      </c>
      <c r="V173" s="13" t="b">
        <v>0</v>
      </c>
      <c r="W173" s="13" t="b">
        <v>0</v>
      </c>
    </row>
    <row r="174" spans="1:23" ht="16" x14ac:dyDescent="0.2">
      <c r="A174" s="4" t="s">
        <v>23</v>
      </c>
      <c r="B174" s="8" t="s">
        <v>24</v>
      </c>
      <c r="C174" s="8">
        <v>1</v>
      </c>
      <c r="D174" s="7">
        <v>2019</v>
      </c>
      <c r="E174" s="8" t="s">
        <v>359</v>
      </c>
      <c r="F174" s="10" t="s">
        <v>360</v>
      </c>
      <c r="G174" s="8" t="s">
        <v>74</v>
      </c>
      <c r="H174" s="5" t="s">
        <v>28</v>
      </c>
      <c r="I174" s="5" t="s">
        <v>29</v>
      </c>
      <c r="J174" s="5" t="s">
        <v>30</v>
      </c>
      <c r="K174" s="8" t="s">
        <v>65</v>
      </c>
      <c r="L174" s="13"/>
      <c r="M174" s="10"/>
      <c r="N174" s="11">
        <v>240</v>
      </c>
      <c r="O174" s="8">
        <v>750</v>
      </c>
      <c r="P174" s="7" t="s">
        <v>53</v>
      </c>
      <c r="Q174" s="14" t="s">
        <v>94</v>
      </c>
      <c r="R174" s="8"/>
      <c r="S174" s="13" t="b">
        <v>0</v>
      </c>
      <c r="T174" s="13" t="b">
        <v>0</v>
      </c>
      <c r="U174" s="13" t="b">
        <v>0</v>
      </c>
      <c r="V174" s="13" t="b">
        <v>0</v>
      </c>
      <c r="W174" s="13" t="b">
        <v>0</v>
      </c>
    </row>
    <row r="175" spans="1:23" ht="16" x14ac:dyDescent="0.2">
      <c r="A175" s="4" t="s">
        <v>23</v>
      </c>
      <c r="B175" s="8" t="s">
        <v>24</v>
      </c>
      <c r="C175" s="8">
        <v>1</v>
      </c>
      <c r="D175" s="7">
        <v>2019</v>
      </c>
      <c r="E175" s="8" t="s">
        <v>359</v>
      </c>
      <c r="F175" s="10" t="s">
        <v>384</v>
      </c>
      <c r="G175" s="8" t="s">
        <v>74</v>
      </c>
      <c r="H175" s="5" t="s">
        <v>28</v>
      </c>
      <c r="I175" s="5" t="s">
        <v>29</v>
      </c>
      <c r="J175" s="5" t="s">
        <v>30</v>
      </c>
      <c r="K175" s="8"/>
      <c r="L175" s="13"/>
      <c r="M175" s="10"/>
      <c r="N175" s="11">
        <v>100</v>
      </c>
      <c r="O175" s="8">
        <v>750</v>
      </c>
      <c r="P175" s="7" t="s">
        <v>34</v>
      </c>
      <c r="Q175" s="14" t="s">
        <v>98</v>
      </c>
      <c r="R175" s="8"/>
      <c r="S175" s="13" t="b">
        <v>0</v>
      </c>
      <c r="T175" s="13" t="b">
        <v>0</v>
      </c>
      <c r="U175" s="13" t="b">
        <v>0</v>
      </c>
      <c r="V175" s="13" t="b">
        <v>0</v>
      </c>
      <c r="W175" s="13" t="b">
        <v>0</v>
      </c>
    </row>
    <row r="176" spans="1:23" ht="16" x14ac:dyDescent="0.2">
      <c r="A176" s="4" t="s">
        <v>23</v>
      </c>
      <c r="B176" s="5" t="s">
        <v>24</v>
      </c>
      <c r="C176" s="8">
        <v>1</v>
      </c>
      <c r="D176" s="7">
        <v>2019</v>
      </c>
      <c r="E176" s="8" t="s">
        <v>225</v>
      </c>
      <c r="F176" s="10" t="s">
        <v>226</v>
      </c>
      <c r="G176" s="5" t="s">
        <v>139</v>
      </c>
      <c r="H176" s="5" t="s">
        <v>41</v>
      </c>
      <c r="I176" s="5" t="s">
        <v>75</v>
      </c>
      <c r="J176" s="5" t="s">
        <v>227</v>
      </c>
      <c r="K176" s="5" t="s">
        <v>140</v>
      </c>
      <c r="L176" s="5" t="s">
        <v>228</v>
      </c>
      <c r="M176" s="9"/>
      <c r="N176" s="11">
        <v>80</v>
      </c>
      <c r="O176" s="8">
        <v>750</v>
      </c>
      <c r="P176" s="7" t="s">
        <v>34</v>
      </c>
      <c r="Q176" s="15" t="s">
        <v>43</v>
      </c>
      <c r="R176" s="5"/>
      <c r="S176" s="9" t="b">
        <v>0</v>
      </c>
      <c r="T176" s="9" t="b">
        <v>0</v>
      </c>
      <c r="U176" s="9" t="b">
        <v>0</v>
      </c>
      <c r="V176" s="9" t="b">
        <v>0</v>
      </c>
      <c r="W176" s="9" t="b">
        <v>0</v>
      </c>
    </row>
    <row r="177" spans="1:23" ht="16" x14ac:dyDescent="0.2">
      <c r="A177" s="4" t="s">
        <v>23</v>
      </c>
      <c r="B177" s="5" t="s">
        <v>24</v>
      </c>
      <c r="C177" s="8">
        <v>3</v>
      </c>
      <c r="D177" s="7">
        <v>2019</v>
      </c>
      <c r="E177" s="8" t="s">
        <v>386</v>
      </c>
      <c r="F177" s="10" t="s">
        <v>387</v>
      </c>
      <c r="G177" s="5" t="s">
        <v>191</v>
      </c>
      <c r="H177" s="5" t="s">
        <v>28</v>
      </c>
      <c r="I177" s="5" t="s">
        <v>29</v>
      </c>
      <c r="J177" s="5" t="s">
        <v>30</v>
      </c>
      <c r="K177" s="5" t="s">
        <v>130</v>
      </c>
      <c r="L177" s="9"/>
      <c r="M177" s="10"/>
      <c r="N177" s="11">
        <v>60</v>
      </c>
      <c r="O177" s="8">
        <v>750</v>
      </c>
      <c r="P177" s="7" t="s">
        <v>34</v>
      </c>
      <c r="Q177" s="12" t="s">
        <v>35</v>
      </c>
      <c r="R177" s="5"/>
      <c r="S177" s="9" t="b">
        <v>0</v>
      </c>
      <c r="T177" s="9" t="b">
        <v>0</v>
      </c>
      <c r="U177" s="9" t="b">
        <v>0</v>
      </c>
      <c r="V177" s="9" t="b">
        <v>0</v>
      </c>
      <c r="W177" s="9" t="b">
        <v>0</v>
      </c>
    </row>
    <row r="178" spans="1:23" ht="15.75" customHeight="1" x14ac:dyDescent="0.2">
      <c r="A178" s="16" t="s">
        <v>23</v>
      </c>
      <c r="B178" s="17" t="s">
        <v>24</v>
      </c>
      <c r="C178" s="17">
        <v>1</v>
      </c>
      <c r="D178" s="18">
        <v>2015</v>
      </c>
      <c r="E178" s="17" t="s">
        <v>170</v>
      </c>
      <c r="F178" s="19" t="s">
        <v>389</v>
      </c>
      <c r="G178" s="17" t="s">
        <v>390</v>
      </c>
      <c r="H178" s="17" t="s">
        <v>28</v>
      </c>
      <c r="I178" s="17" t="s">
        <v>29</v>
      </c>
      <c r="J178" s="17" t="s">
        <v>30</v>
      </c>
      <c r="K178" s="17" t="s">
        <v>31</v>
      </c>
      <c r="L178" s="20" t="s">
        <v>126</v>
      </c>
      <c r="M178" s="19"/>
      <c r="N178" s="17">
        <v>125</v>
      </c>
      <c r="O178" s="17">
        <v>750</v>
      </c>
      <c r="P178" s="18" t="s">
        <v>105</v>
      </c>
      <c r="Q178" s="17" t="s">
        <v>125</v>
      </c>
      <c r="R178" s="17"/>
      <c r="S178" s="20" t="b">
        <v>1</v>
      </c>
      <c r="T178" s="20" t="b">
        <v>1</v>
      </c>
      <c r="U178" s="20" t="b">
        <v>0</v>
      </c>
      <c r="V178" s="20" t="b">
        <v>1</v>
      </c>
      <c r="W178" s="20" t="b">
        <v>0</v>
      </c>
    </row>
    <row r="179" spans="1:23" ht="16" x14ac:dyDescent="0.2">
      <c r="A179" s="4" t="s">
        <v>23</v>
      </c>
      <c r="B179" s="5" t="s">
        <v>24</v>
      </c>
      <c r="C179" s="8">
        <v>1</v>
      </c>
      <c r="D179" s="7">
        <v>2019</v>
      </c>
      <c r="E179" s="8" t="s">
        <v>188</v>
      </c>
      <c r="F179" s="10" t="s">
        <v>334</v>
      </c>
      <c r="G179" s="5" t="s">
        <v>191</v>
      </c>
      <c r="H179" s="5" t="s">
        <v>28</v>
      </c>
      <c r="I179" s="5" t="s">
        <v>29</v>
      </c>
      <c r="J179" s="5" t="s">
        <v>130</v>
      </c>
      <c r="K179" s="5"/>
      <c r="L179" s="9"/>
      <c r="M179" s="10" t="s">
        <v>334</v>
      </c>
      <c r="N179" s="11">
        <v>45</v>
      </c>
      <c r="O179" s="8">
        <v>750</v>
      </c>
      <c r="P179" s="7" t="s">
        <v>47</v>
      </c>
      <c r="Q179" s="14" t="s">
        <v>78</v>
      </c>
      <c r="R179" s="5"/>
      <c r="S179" s="9" t="b">
        <v>0</v>
      </c>
      <c r="T179" s="9" t="b">
        <v>0</v>
      </c>
      <c r="U179" s="9" t="b">
        <v>0</v>
      </c>
      <c r="V179" s="9" t="b">
        <v>0</v>
      </c>
      <c r="W179" s="9" t="b">
        <v>1</v>
      </c>
    </row>
    <row r="180" spans="1:23" ht="16" x14ac:dyDescent="0.2">
      <c r="A180" s="4" t="s">
        <v>23</v>
      </c>
      <c r="B180" s="5" t="s">
        <v>44</v>
      </c>
      <c r="C180" s="8">
        <v>1</v>
      </c>
      <c r="D180" s="7" t="s">
        <v>75</v>
      </c>
      <c r="E180" s="8" t="s">
        <v>103</v>
      </c>
      <c r="F180" s="10" t="s">
        <v>391</v>
      </c>
      <c r="G180" s="5" t="s">
        <v>40</v>
      </c>
      <c r="H180" s="5" t="s">
        <v>28</v>
      </c>
      <c r="I180" s="5" t="s">
        <v>29</v>
      </c>
      <c r="J180" s="5" t="s">
        <v>30</v>
      </c>
      <c r="K180" s="9"/>
      <c r="L180" s="9"/>
      <c r="M180" s="9"/>
      <c r="N180" s="8">
        <v>40</v>
      </c>
      <c r="O180" s="8">
        <v>750</v>
      </c>
      <c r="P180" s="7" t="s">
        <v>105</v>
      </c>
      <c r="Q180" s="8" t="s">
        <v>48</v>
      </c>
      <c r="R180" s="5"/>
      <c r="S180" s="9" t="b">
        <v>1</v>
      </c>
      <c r="T180" s="9" t="b">
        <v>1</v>
      </c>
      <c r="U180" s="9" t="b">
        <v>0</v>
      </c>
      <c r="V180" s="9" t="b">
        <v>0</v>
      </c>
      <c r="W180" s="9" t="b">
        <v>0</v>
      </c>
    </row>
    <row r="181" spans="1:23" ht="16" x14ac:dyDescent="0.2">
      <c r="A181" s="4" t="s">
        <v>23</v>
      </c>
      <c r="B181" s="5" t="s">
        <v>37</v>
      </c>
      <c r="C181" s="8">
        <v>3</v>
      </c>
      <c r="D181" s="7">
        <v>2019</v>
      </c>
      <c r="E181" s="8" t="s">
        <v>133</v>
      </c>
      <c r="F181" s="10" t="s">
        <v>392</v>
      </c>
      <c r="G181" s="5" t="s">
        <v>40</v>
      </c>
      <c r="H181" s="5" t="s">
        <v>51</v>
      </c>
      <c r="I181" s="5"/>
      <c r="J181" s="5"/>
      <c r="K181" s="9"/>
      <c r="L181" s="10" t="s">
        <v>135</v>
      </c>
      <c r="M181" s="9"/>
      <c r="N181" s="11">
        <v>30</v>
      </c>
      <c r="O181" s="8">
        <v>500</v>
      </c>
      <c r="P181" s="7" t="s">
        <v>105</v>
      </c>
      <c r="Q181" s="12" t="s">
        <v>54</v>
      </c>
      <c r="R181" s="5"/>
      <c r="S181" s="9" t="b">
        <v>0</v>
      </c>
      <c r="T181" s="9" t="b">
        <v>0</v>
      </c>
      <c r="U181" s="9" t="b">
        <v>0</v>
      </c>
      <c r="V181" s="9" t="b">
        <v>0</v>
      </c>
      <c r="W181" s="9" t="b">
        <v>0</v>
      </c>
    </row>
    <row r="182" spans="1:23" ht="16" x14ac:dyDescent="0.2">
      <c r="A182" s="4" t="s">
        <v>153</v>
      </c>
      <c r="B182" s="5" t="s">
        <v>24</v>
      </c>
      <c r="C182" s="8">
        <v>2</v>
      </c>
      <c r="D182" s="7">
        <v>2020</v>
      </c>
      <c r="E182" s="8" t="s">
        <v>329</v>
      </c>
      <c r="F182" s="10" t="s">
        <v>367</v>
      </c>
      <c r="G182" s="5" t="s">
        <v>27</v>
      </c>
      <c r="H182" s="5" t="s">
        <v>28</v>
      </c>
      <c r="I182" s="5" t="s">
        <v>29</v>
      </c>
      <c r="J182" s="5" t="s">
        <v>30</v>
      </c>
      <c r="K182" s="5" t="s">
        <v>31</v>
      </c>
      <c r="L182" s="9"/>
      <c r="M182" s="10"/>
      <c r="N182" s="8">
        <v>65</v>
      </c>
      <c r="O182" s="8">
        <v>750</v>
      </c>
      <c r="P182" s="7" t="s">
        <v>105</v>
      </c>
      <c r="Q182" s="8" t="s">
        <v>309</v>
      </c>
      <c r="R182" s="5"/>
      <c r="S182" s="9" t="b">
        <v>0</v>
      </c>
      <c r="T182" s="9" t="b">
        <v>0</v>
      </c>
      <c r="U182" s="9" t="b">
        <v>0</v>
      </c>
      <c r="V182" s="9" t="b">
        <v>0</v>
      </c>
      <c r="W182" s="9" t="b">
        <v>0</v>
      </c>
    </row>
    <row r="183" spans="1:23" ht="16" x14ac:dyDescent="0.2">
      <c r="A183" s="4" t="s">
        <v>23</v>
      </c>
      <c r="B183" s="8" t="s">
        <v>37</v>
      </c>
      <c r="C183" s="8">
        <v>1</v>
      </c>
      <c r="D183" s="7">
        <v>2020</v>
      </c>
      <c r="E183" s="8" t="s">
        <v>393</v>
      </c>
      <c r="F183" s="10" t="s">
        <v>394</v>
      </c>
      <c r="G183" s="8" t="s">
        <v>350</v>
      </c>
      <c r="H183" s="8" t="s">
        <v>41</v>
      </c>
      <c r="I183" s="8"/>
      <c r="J183" s="8" t="s">
        <v>395</v>
      </c>
      <c r="K183" s="14" t="s">
        <v>396</v>
      </c>
      <c r="L183" s="13"/>
      <c r="M183" s="10"/>
      <c r="N183" s="8" t="s">
        <v>326</v>
      </c>
      <c r="O183" s="8">
        <v>750</v>
      </c>
      <c r="P183" s="7" t="s">
        <v>34</v>
      </c>
      <c r="Q183" s="8" t="s">
        <v>362</v>
      </c>
      <c r="R183" s="8"/>
      <c r="S183" s="13" t="b">
        <v>1</v>
      </c>
      <c r="T183" s="13" t="b">
        <v>0</v>
      </c>
      <c r="U183" s="13" t="b">
        <v>0</v>
      </c>
      <c r="V183" s="13" t="b">
        <v>0</v>
      </c>
      <c r="W183" s="13" t="b">
        <v>0</v>
      </c>
    </row>
    <row r="184" spans="1:23" ht="16" x14ac:dyDescent="0.2">
      <c r="A184" s="12" t="s">
        <v>23</v>
      </c>
      <c r="B184" s="8" t="s">
        <v>37</v>
      </c>
      <c r="C184" s="8">
        <v>1</v>
      </c>
      <c r="D184" s="7">
        <v>2020</v>
      </c>
      <c r="E184" s="8" t="s">
        <v>322</v>
      </c>
      <c r="F184" s="10" t="s">
        <v>397</v>
      </c>
      <c r="G184" s="8" t="s">
        <v>350</v>
      </c>
      <c r="H184" s="8" t="s">
        <v>28</v>
      </c>
      <c r="I184" s="5" t="s">
        <v>29</v>
      </c>
      <c r="J184" s="5" t="s">
        <v>30</v>
      </c>
      <c r="K184" s="8" t="s">
        <v>65</v>
      </c>
      <c r="L184" s="13"/>
      <c r="M184" s="10" t="s">
        <v>398</v>
      </c>
      <c r="N184" s="11">
        <v>35</v>
      </c>
      <c r="O184" s="8">
        <v>750</v>
      </c>
      <c r="P184" s="7" t="s">
        <v>105</v>
      </c>
      <c r="Q184" s="14" t="s">
        <v>78</v>
      </c>
      <c r="R184" s="8"/>
      <c r="S184" s="13" t="b">
        <v>1</v>
      </c>
      <c r="T184" s="13" t="b">
        <v>0</v>
      </c>
      <c r="U184" s="13" t="b">
        <v>1</v>
      </c>
      <c r="V184" s="13" t="b">
        <v>1</v>
      </c>
      <c r="W184" s="13" t="b">
        <v>1</v>
      </c>
    </row>
    <row r="185" spans="1:23" ht="16" x14ac:dyDescent="0.2">
      <c r="A185" s="12" t="s">
        <v>23</v>
      </c>
      <c r="B185" s="8" t="s">
        <v>37</v>
      </c>
      <c r="C185" s="8">
        <v>2</v>
      </c>
      <c r="D185" s="7">
        <v>2022</v>
      </c>
      <c r="E185" s="8" t="s">
        <v>399</v>
      </c>
      <c r="F185" s="10" t="s">
        <v>400</v>
      </c>
      <c r="G185" s="8" t="s">
        <v>40</v>
      </c>
      <c r="H185" s="8" t="s">
        <v>41</v>
      </c>
      <c r="I185" s="5" t="s">
        <v>401</v>
      </c>
      <c r="J185" s="8" t="s">
        <v>402</v>
      </c>
      <c r="K185" s="8"/>
      <c r="L185" s="13"/>
      <c r="M185" s="10"/>
      <c r="N185" s="11">
        <v>30</v>
      </c>
      <c r="O185" s="8"/>
      <c r="P185" s="7" t="s">
        <v>105</v>
      </c>
      <c r="Q185" s="14" t="s">
        <v>78</v>
      </c>
      <c r="R185" s="8"/>
      <c r="S185" s="13" t="b">
        <v>0</v>
      </c>
      <c r="T185" s="13" t="b">
        <v>0</v>
      </c>
      <c r="U185" s="13" t="b">
        <v>0</v>
      </c>
      <c r="V185" s="13" t="b">
        <v>0</v>
      </c>
      <c r="W185" s="13" t="b">
        <v>0</v>
      </c>
    </row>
    <row r="186" spans="1:23" ht="16" x14ac:dyDescent="0.2">
      <c r="A186" s="4" t="s">
        <v>153</v>
      </c>
      <c r="B186" s="5" t="s">
        <v>24</v>
      </c>
      <c r="C186" s="8">
        <v>1</v>
      </c>
      <c r="D186" s="7">
        <v>2020</v>
      </c>
      <c r="E186" s="8" t="s">
        <v>343</v>
      </c>
      <c r="F186" s="10" t="s">
        <v>403</v>
      </c>
      <c r="G186" s="5" t="s">
        <v>40</v>
      </c>
      <c r="H186" s="5" t="s">
        <v>28</v>
      </c>
      <c r="I186" s="5" t="s">
        <v>29</v>
      </c>
      <c r="J186" s="5" t="s">
        <v>30</v>
      </c>
      <c r="K186" s="5" t="s">
        <v>404</v>
      </c>
      <c r="L186" s="10" t="s">
        <v>405</v>
      </c>
      <c r="M186" s="10" t="s">
        <v>406</v>
      </c>
      <c r="N186" s="8">
        <v>30</v>
      </c>
      <c r="O186" s="8">
        <v>750</v>
      </c>
      <c r="P186" s="7" t="s">
        <v>47</v>
      </c>
      <c r="Q186" s="8" t="s">
        <v>43</v>
      </c>
      <c r="R186" s="5"/>
      <c r="S186" s="9" t="b">
        <v>0</v>
      </c>
      <c r="T186" s="9" t="b">
        <v>0</v>
      </c>
      <c r="U186" s="9" t="b">
        <v>0</v>
      </c>
      <c r="V186" s="9" t="b">
        <v>0</v>
      </c>
      <c r="W186" s="9" t="b">
        <v>1</v>
      </c>
    </row>
    <row r="187" spans="1:23" ht="16" x14ac:dyDescent="0.2">
      <c r="A187" s="12" t="s">
        <v>23</v>
      </c>
      <c r="B187" s="8" t="s">
        <v>24</v>
      </c>
      <c r="C187" s="8">
        <v>1</v>
      </c>
      <c r="D187" s="7" t="s">
        <v>407</v>
      </c>
      <c r="E187" s="8" t="s">
        <v>408</v>
      </c>
      <c r="F187" s="10" t="s">
        <v>409</v>
      </c>
      <c r="G187" s="8" t="s">
        <v>40</v>
      </c>
      <c r="H187" s="8" t="s">
        <v>28</v>
      </c>
      <c r="I187" s="8" t="s">
        <v>29</v>
      </c>
      <c r="J187" s="8" t="s">
        <v>31</v>
      </c>
      <c r="K187" s="8"/>
      <c r="L187" s="13"/>
      <c r="M187" s="10"/>
      <c r="N187" s="11">
        <v>40</v>
      </c>
      <c r="O187" s="8">
        <v>750</v>
      </c>
      <c r="P187" s="7" t="s">
        <v>53</v>
      </c>
      <c r="Q187" s="8" t="s">
        <v>98</v>
      </c>
      <c r="R187" s="8"/>
      <c r="S187" s="13" t="b">
        <v>0</v>
      </c>
      <c r="T187" s="13" t="b">
        <v>0</v>
      </c>
      <c r="U187" s="13" t="b">
        <v>0</v>
      </c>
      <c r="V187" s="13" t="b">
        <v>0</v>
      </c>
      <c r="W187" s="13" t="b">
        <v>0</v>
      </c>
    </row>
    <row r="188" spans="1:23" ht="16" x14ac:dyDescent="0.2">
      <c r="A188" s="12" t="s">
        <v>23</v>
      </c>
      <c r="B188" s="8" t="s">
        <v>24</v>
      </c>
      <c r="C188" s="8">
        <v>1</v>
      </c>
      <c r="D188" s="7">
        <v>2019</v>
      </c>
      <c r="E188" s="8" t="s">
        <v>410</v>
      </c>
      <c r="F188" s="10" t="s">
        <v>411</v>
      </c>
      <c r="G188" s="8" t="s">
        <v>27</v>
      </c>
      <c r="H188" s="8" t="s">
        <v>373</v>
      </c>
      <c r="I188" s="8" t="s">
        <v>412</v>
      </c>
      <c r="J188" s="8" t="s">
        <v>413</v>
      </c>
      <c r="K188" s="8"/>
      <c r="L188" s="13"/>
      <c r="M188" s="10"/>
      <c r="N188" s="11">
        <v>40</v>
      </c>
      <c r="O188" s="8">
        <v>750</v>
      </c>
      <c r="P188" s="7" t="s">
        <v>34</v>
      </c>
      <c r="Q188" s="8" t="s">
        <v>78</v>
      </c>
      <c r="R188" s="8"/>
      <c r="S188" s="13" t="b">
        <v>0</v>
      </c>
      <c r="T188" s="13" t="b">
        <v>0</v>
      </c>
      <c r="U188" s="13" t="b">
        <v>0</v>
      </c>
      <c r="V188" s="13" t="b">
        <v>0</v>
      </c>
      <c r="W188" s="13" t="b">
        <v>0</v>
      </c>
    </row>
    <row r="189" spans="1:23" ht="16" x14ac:dyDescent="0.2">
      <c r="A189" s="12" t="s">
        <v>23</v>
      </c>
      <c r="B189" s="8" t="s">
        <v>24</v>
      </c>
      <c r="C189" s="8">
        <v>1</v>
      </c>
      <c r="D189" s="7">
        <v>2019</v>
      </c>
      <c r="E189" s="8" t="s">
        <v>414</v>
      </c>
      <c r="F189" s="10" t="s">
        <v>415</v>
      </c>
      <c r="G189" s="8" t="s">
        <v>40</v>
      </c>
      <c r="H189" s="8" t="s">
        <v>108</v>
      </c>
      <c r="I189" s="8"/>
      <c r="J189" s="8" t="s">
        <v>416</v>
      </c>
      <c r="K189" s="8" t="s">
        <v>417</v>
      </c>
      <c r="L189" s="13"/>
      <c r="M189" s="10"/>
      <c r="N189" s="11">
        <v>40</v>
      </c>
      <c r="O189" s="8">
        <v>750</v>
      </c>
      <c r="P189" s="7" t="s">
        <v>105</v>
      </c>
      <c r="Q189" s="8" t="s">
        <v>78</v>
      </c>
      <c r="R189" s="8"/>
      <c r="S189" s="13" t="b">
        <v>0</v>
      </c>
      <c r="T189" s="13" t="b">
        <v>0</v>
      </c>
      <c r="U189" s="13" t="b">
        <v>0</v>
      </c>
      <c r="V189" s="13" t="b">
        <v>1</v>
      </c>
      <c r="W189" s="13" t="b">
        <v>0</v>
      </c>
    </row>
    <row r="190" spans="1:23" ht="16" x14ac:dyDescent="0.2">
      <c r="A190" s="12" t="s">
        <v>23</v>
      </c>
      <c r="B190" s="8" t="s">
        <v>24</v>
      </c>
      <c r="C190" s="8">
        <v>1</v>
      </c>
      <c r="D190" s="7">
        <v>2018</v>
      </c>
      <c r="E190" s="8" t="s">
        <v>317</v>
      </c>
      <c r="F190" s="10" t="s">
        <v>418</v>
      </c>
      <c r="G190" s="8" t="s">
        <v>27</v>
      </c>
      <c r="H190" s="8" t="s">
        <v>28</v>
      </c>
      <c r="I190" s="8" t="s">
        <v>29</v>
      </c>
      <c r="J190" s="8" t="s">
        <v>31</v>
      </c>
      <c r="K190" s="10" t="s">
        <v>419</v>
      </c>
      <c r="M190" s="10" t="s">
        <v>420</v>
      </c>
      <c r="N190" s="11">
        <v>195</v>
      </c>
      <c r="O190" s="8">
        <v>750</v>
      </c>
      <c r="P190" s="7" t="s">
        <v>34</v>
      </c>
      <c r="Q190" s="8" t="s">
        <v>78</v>
      </c>
      <c r="R190" s="8"/>
      <c r="S190" s="13" t="b">
        <v>0</v>
      </c>
      <c r="T190" s="13" t="b">
        <v>0</v>
      </c>
      <c r="U190" s="13" t="b">
        <v>0</v>
      </c>
      <c r="V190" s="13" t="b">
        <v>0</v>
      </c>
      <c r="W190" s="13" t="b">
        <v>0</v>
      </c>
    </row>
    <row r="191" spans="1:23" ht="16" x14ac:dyDescent="0.2">
      <c r="A191" s="12" t="s">
        <v>23</v>
      </c>
      <c r="B191" s="8" t="s">
        <v>37</v>
      </c>
      <c r="C191" s="8">
        <v>1</v>
      </c>
      <c r="D191" s="7">
        <v>2022</v>
      </c>
      <c r="E191" s="8" t="s">
        <v>421</v>
      </c>
      <c r="F191" s="10" t="s">
        <v>422</v>
      </c>
      <c r="G191" s="8" t="s">
        <v>40</v>
      </c>
      <c r="H191" s="8" t="s">
        <v>41</v>
      </c>
      <c r="I191" s="8"/>
      <c r="J191" s="8" t="s">
        <v>395</v>
      </c>
      <c r="K191" s="8"/>
      <c r="L191" s="10"/>
      <c r="M191" s="10"/>
      <c r="N191" s="11">
        <v>55</v>
      </c>
      <c r="O191" s="8">
        <v>750</v>
      </c>
      <c r="P191" s="7" t="s">
        <v>34</v>
      </c>
      <c r="Q191" s="8" t="s">
        <v>78</v>
      </c>
      <c r="R191" s="8"/>
      <c r="S191" s="13" t="b">
        <v>0</v>
      </c>
      <c r="T191" s="13" t="b">
        <v>0</v>
      </c>
      <c r="U191" s="13" t="b">
        <v>0</v>
      </c>
      <c r="V191" s="13" t="b">
        <v>0</v>
      </c>
      <c r="W191" s="13" t="b">
        <v>0</v>
      </c>
    </row>
    <row r="192" spans="1:23" ht="16" x14ac:dyDescent="0.2">
      <c r="A192" s="12" t="s">
        <v>23</v>
      </c>
      <c r="B192" s="8" t="s">
        <v>24</v>
      </c>
      <c r="C192" s="8">
        <v>1</v>
      </c>
      <c r="D192" s="7">
        <v>2021</v>
      </c>
      <c r="E192" s="8" t="s">
        <v>423</v>
      </c>
      <c r="F192" s="10" t="s">
        <v>424</v>
      </c>
      <c r="G192" s="8" t="s">
        <v>425</v>
      </c>
      <c r="H192" s="8" t="s">
        <v>82</v>
      </c>
      <c r="I192" s="8" t="s">
        <v>90</v>
      </c>
      <c r="J192" s="8" t="s">
        <v>426</v>
      </c>
      <c r="K192" s="8" t="s">
        <v>92</v>
      </c>
      <c r="L192" s="10"/>
      <c r="M192" s="10" t="s">
        <v>93</v>
      </c>
      <c r="N192" s="11">
        <v>80</v>
      </c>
      <c r="O192" s="8">
        <v>750</v>
      </c>
      <c r="P192" s="7" t="s">
        <v>34</v>
      </c>
      <c r="Q192" s="8" t="s">
        <v>383</v>
      </c>
      <c r="R192" s="8"/>
      <c r="S192" s="13" t="b">
        <v>0</v>
      </c>
      <c r="T192" s="13" t="b">
        <v>0</v>
      </c>
      <c r="U192" s="13" t="b">
        <v>0</v>
      </c>
      <c r="V192" s="13" t="b">
        <v>0</v>
      </c>
      <c r="W192" s="13" t="b">
        <v>0</v>
      </c>
    </row>
    <row r="193" spans="1:23" ht="16" x14ac:dyDescent="0.2">
      <c r="A193" s="12" t="s">
        <v>23</v>
      </c>
      <c r="B193" s="8" t="s">
        <v>24</v>
      </c>
      <c r="C193" s="8">
        <v>1</v>
      </c>
      <c r="D193" s="7">
        <v>2022</v>
      </c>
      <c r="E193" s="8" t="s">
        <v>427</v>
      </c>
      <c r="F193" s="10" t="s">
        <v>428</v>
      </c>
      <c r="G193" s="8" t="s">
        <v>425</v>
      </c>
      <c r="H193" s="8" t="s">
        <v>82</v>
      </c>
      <c r="I193" s="8" t="s">
        <v>90</v>
      </c>
      <c r="J193" s="8" t="s">
        <v>426</v>
      </c>
      <c r="K193" s="8" t="s">
        <v>92</v>
      </c>
      <c r="L193" s="10"/>
      <c r="M193" s="10"/>
      <c r="N193" s="11">
        <v>45</v>
      </c>
      <c r="O193" s="8">
        <v>750</v>
      </c>
      <c r="P193" s="7" t="s">
        <v>34</v>
      </c>
      <c r="Q193" s="8" t="s">
        <v>383</v>
      </c>
      <c r="R193" s="8"/>
      <c r="S193" s="13" t="b">
        <v>0</v>
      </c>
      <c r="T193" s="13" t="b">
        <v>0</v>
      </c>
      <c r="U193" s="13" t="b">
        <v>0</v>
      </c>
      <c r="V193" s="13" t="b">
        <v>0</v>
      </c>
      <c r="W193" s="13" t="b">
        <v>0</v>
      </c>
    </row>
    <row r="194" spans="1:23" ht="16" x14ac:dyDescent="0.2">
      <c r="A194" s="12" t="s">
        <v>23</v>
      </c>
      <c r="B194" s="8" t="s">
        <v>24</v>
      </c>
      <c r="C194" s="8">
        <v>1</v>
      </c>
      <c r="D194" s="7">
        <v>2018</v>
      </c>
      <c r="E194" s="8" t="s">
        <v>429</v>
      </c>
      <c r="F194" s="10" t="s">
        <v>430</v>
      </c>
      <c r="G194" s="8" t="s">
        <v>40</v>
      </c>
      <c r="H194" s="8" t="s">
        <v>28</v>
      </c>
      <c r="I194" s="8" t="s">
        <v>29</v>
      </c>
      <c r="J194" s="8" t="s">
        <v>30</v>
      </c>
      <c r="K194" s="8" t="s">
        <v>31</v>
      </c>
      <c r="L194" s="10" t="s">
        <v>101</v>
      </c>
      <c r="M194" s="10" t="s">
        <v>431</v>
      </c>
      <c r="N194" s="11">
        <v>60</v>
      </c>
      <c r="O194" s="8">
        <v>750</v>
      </c>
      <c r="P194" s="7" t="s">
        <v>34</v>
      </c>
      <c r="Q194" s="8" t="s">
        <v>78</v>
      </c>
      <c r="R194" s="8"/>
      <c r="S194" s="13" t="b">
        <v>0</v>
      </c>
      <c r="T194" s="13" t="b">
        <v>0</v>
      </c>
      <c r="U194" s="13" t="b">
        <v>0</v>
      </c>
      <c r="V194" s="13" t="b">
        <v>0</v>
      </c>
      <c r="W194" s="13" t="b">
        <v>0</v>
      </c>
    </row>
    <row r="195" spans="1:23" ht="16" x14ac:dyDescent="0.2">
      <c r="A195" s="12" t="s">
        <v>23</v>
      </c>
      <c r="B195" s="8" t="s">
        <v>24</v>
      </c>
      <c r="C195" s="8">
        <v>1</v>
      </c>
      <c r="D195" s="7">
        <v>2022</v>
      </c>
      <c r="E195" s="8" t="s">
        <v>432</v>
      </c>
      <c r="F195" s="10" t="s">
        <v>433</v>
      </c>
      <c r="G195" s="8" t="s">
        <v>40</v>
      </c>
      <c r="H195" s="8" t="s">
        <v>28</v>
      </c>
      <c r="I195" s="8" t="s">
        <v>29</v>
      </c>
      <c r="J195" s="8" t="s">
        <v>65</v>
      </c>
      <c r="K195" s="8"/>
      <c r="L195" s="10"/>
      <c r="M195" s="10" t="s">
        <v>434</v>
      </c>
      <c r="N195" s="11">
        <v>30</v>
      </c>
      <c r="O195" s="8">
        <v>750</v>
      </c>
      <c r="P195" s="7" t="s">
        <v>105</v>
      </c>
      <c r="Q195" s="8" t="s">
        <v>78</v>
      </c>
      <c r="R195" s="8"/>
      <c r="S195" s="13" t="b">
        <v>0</v>
      </c>
      <c r="T195" s="13" t="b">
        <v>0</v>
      </c>
      <c r="U195" s="13" t="b">
        <v>0</v>
      </c>
      <c r="V195" s="13" t="b">
        <v>0</v>
      </c>
      <c r="W195" s="13" t="b">
        <v>0</v>
      </c>
    </row>
    <row r="196" spans="1:23" ht="16" x14ac:dyDescent="0.2">
      <c r="A196" s="12" t="s">
        <v>23</v>
      </c>
      <c r="B196" s="8" t="s">
        <v>24</v>
      </c>
      <c r="C196" s="8">
        <v>1</v>
      </c>
      <c r="D196" s="7">
        <v>2022</v>
      </c>
      <c r="E196" s="8" t="s">
        <v>432</v>
      </c>
      <c r="F196" s="10" t="s">
        <v>433</v>
      </c>
      <c r="G196" s="8" t="s">
        <v>40</v>
      </c>
      <c r="H196" s="8" t="s">
        <v>28</v>
      </c>
      <c r="I196" s="8" t="s">
        <v>29</v>
      </c>
      <c r="J196" s="8" t="s">
        <v>65</v>
      </c>
      <c r="K196" s="8"/>
      <c r="L196" s="10"/>
      <c r="M196" s="10" t="s">
        <v>434</v>
      </c>
      <c r="N196" s="11">
        <v>30</v>
      </c>
      <c r="O196" s="8">
        <v>750</v>
      </c>
      <c r="P196" s="7" t="s">
        <v>105</v>
      </c>
      <c r="Q196" s="8" t="s">
        <v>98</v>
      </c>
      <c r="R196" s="8"/>
      <c r="S196" s="13" t="b">
        <v>0</v>
      </c>
      <c r="T196" s="13" t="b">
        <v>0</v>
      </c>
      <c r="U196" s="13" t="b">
        <v>0</v>
      </c>
      <c r="V196" s="13" t="b">
        <v>0</v>
      </c>
      <c r="W196" s="13" t="b">
        <v>0</v>
      </c>
    </row>
    <row r="197" spans="1:23" ht="16" x14ac:dyDescent="0.2">
      <c r="A197" s="12" t="s">
        <v>23</v>
      </c>
      <c r="B197" s="8" t="s">
        <v>24</v>
      </c>
      <c r="C197" s="8">
        <v>2</v>
      </c>
      <c r="D197" s="7">
        <v>2022</v>
      </c>
      <c r="E197" s="8" t="s">
        <v>435</v>
      </c>
      <c r="F197" s="10" t="s">
        <v>436</v>
      </c>
      <c r="G197" s="8" t="s">
        <v>139</v>
      </c>
      <c r="H197" s="8" t="s">
        <v>41</v>
      </c>
      <c r="I197" s="8"/>
      <c r="J197" s="8" t="s">
        <v>437</v>
      </c>
      <c r="K197" s="8" t="s">
        <v>140</v>
      </c>
      <c r="L197" s="10"/>
      <c r="M197" s="10"/>
      <c r="N197" s="11">
        <v>60</v>
      </c>
      <c r="O197" s="8">
        <v>750</v>
      </c>
      <c r="P197" s="7" t="s">
        <v>34</v>
      </c>
      <c r="Q197" s="8" t="s">
        <v>98</v>
      </c>
      <c r="R197" s="8"/>
      <c r="S197" s="13" t="b">
        <v>0</v>
      </c>
      <c r="T197" s="13" t="b">
        <v>0</v>
      </c>
      <c r="U197" s="13" t="b">
        <v>0</v>
      </c>
      <c r="V197" s="13" t="b">
        <v>0</v>
      </c>
      <c r="W197" s="13" t="b">
        <v>0</v>
      </c>
    </row>
    <row r="198" spans="1:23" ht="16" x14ac:dyDescent="0.2">
      <c r="A198" s="12" t="s">
        <v>23</v>
      </c>
      <c r="B198" s="8" t="s">
        <v>24</v>
      </c>
      <c r="C198" s="8">
        <v>2</v>
      </c>
      <c r="D198" s="7">
        <v>2020</v>
      </c>
      <c r="E198" s="8" t="s">
        <v>438</v>
      </c>
      <c r="F198" s="10" t="s">
        <v>439</v>
      </c>
      <c r="G198" s="8" t="s">
        <v>440</v>
      </c>
      <c r="H198" s="8" t="s">
        <v>82</v>
      </c>
      <c r="I198" s="8" t="s">
        <v>441</v>
      </c>
      <c r="J198" s="8" t="s">
        <v>442</v>
      </c>
      <c r="K198" s="8"/>
      <c r="L198" s="10"/>
      <c r="M198" s="10"/>
      <c r="N198" s="11">
        <v>30</v>
      </c>
      <c r="O198" s="8">
        <v>750</v>
      </c>
      <c r="P198" s="7" t="s">
        <v>34</v>
      </c>
      <c r="Q198" s="8" t="s">
        <v>98</v>
      </c>
      <c r="R198" s="8"/>
      <c r="S198" s="13" t="b">
        <v>0</v>
      </c>
      <c r="T198" s="13" t="b">
        <v>0</v>
      </c>
      <c r="U198" s="13" t="b">
        <v>0</v>
      </c>
      <c r="V198" s="13" t="b">
        <v>0</v>
      </c>
      <c r="W198" s="13" t="b">
        <v>0</v>
      </c>
    </row>
    <row r="199" spans="1:23" ht="16" x14ac:dyDescent="0.2">
      <c r="A199" s="12" t="s">
        <v>23</v>
      </c>
      <c r="B199" s="8" t="s">
        <v>44</v>
      </c>
      <c r="C199" s="8">
        <v>1</v>
      </c>
      <c r="D199" s="7">
        <v>2018</v>
      </c>
      <c r="E199" s="8" t="s">
        <v>443</v>
      </c>
      <c r="F199" s="10" t="s">
        <v>444</v>
      </c>
      <c r="G199" s="8" t="s">
        <v>40</v>
      </c>
      <c r="H199" s="8" t="s">
        <v>28</v>
      </c>
      <c r="I199" s="8" t="s">
        <v>29</v>
      </c>
      <c r="J199" s="8" t="s">
        <v>445</v>
      </c>
      <c r="K199" s="8"/>
      <c r="L199" s="10"/>
      <c r="M199" s="10" t="s">
        <v>444</v>
      </c>
      <c r="N199" s="11">
        <v>60</v>
      </c>
      <c r="O199" s="8">
        <v>750</v>
      </c>
      <c r="P199" s="7" t="s">
        <v>105</v>
      </c>
      <c r="Q199" s="8" t="s">
        <v>98</v>
      </c>
      <c r="R199" s="8"/>
      <c r="S199" s="13" t="b">
        <v>0</v>
      </c>
      <c r="T199" s="13" t="b">
        <v>0</v>
      </c>
      <c r="U199" s="13" t="b">
        <v>0</v>
      </c>
      <c r="V199" s="13" t="b">
        <v>0</v>
      </c>
      <c r="W199" s="13" t="b">
        <v>0</v>
      </c>
    </row>
    <row r="200" spans="1:23" ht="16" x14ac:dyDescent="0.2">
      <c r="A200" s="12" t="s">
        <v>23</v>
      </c>
      <c r="B200" s="8" t="s">
        <v>37</v>
      </c>
      <c r="C200" s="8">
        <v>1</v>
      </c>
      <c r="D200" s="7">
        <v>2022</v>
      </c>
      <c r="E200" s="8" t="s">
        <v>446</v>
      </c>
      <c r="F200" s="10" t="s">
        <v>447</v>
      </c>
      <c r="G200" s="8" t="s">
        <v>350</v>
      </c>
      <c r="H200" s="8" t="s">
        <v>41</v>
      </c>
      <c r="I200" s="8"/>
      <c r="J200" s="8" t="s">
        <v>395</v>
      </c>
      <c r="K200" s="8" t="s">
        <v>42</v>
      </c>
      <c r="L200" s="10" t="s">
        <v>448</v>
      </c>
      <c r="M200" s="10"/>
      <c r="N200" s="11">
        <v>40</v>
      </c>
      <c r="O200" s="8">
        <v>750</v>
      </c>
      <c r="P200" s="7" t="s">
        <v>105</v>
      </c>
      <c r="Q200" s="8" t="s">
        <v>98</v>
      </c>
      <c r="R200" s="8"/>
      <c r="S200" s="13" t="b">
        <v>0</v>
      </c>
      <c r="T200" s="13" t="b">
        <v>0</v>
      </c>
      <c r="U200" s="13" t="b">
        <v>0</v>
      </c>
      <c r="V200" s="13" t="b">
        <v>0</v>
      </c>
      <c r="W200" s="13" t="b">
        <v>0</v>
      </c>
    </row>
    <row r="201" spans="1:23" ht="16" x14ac:dyDescent="0.2">
      <c r="A201" s="12" t="s">
        <v>23</v>
      </c>
      <c r="B201" s="8" t="s">
        <v>24</v>
      </c>
      <c r="C201" s="8">
        <v>1</v>
      </c>
      <c r="D201" s="7">
        <v>2018</v>
      </c>
      <c r="E201" s="8" t="s">
        <v>449</v>
      </c>
      <c r="F201" s="10" t="s">
        <v>450</v>
      </c>
      <c r="G201" s="8" t="s">
        <v>129</v>
      </c>
      <c r="H201" s="8" t="s">
        <v>373</v>
      </c>
      <c r="I201" s="8" t="s">
        <v>451</v>
      </c>
      <c r="J201" s="8" t="s">
        <v>452</v>
      </c>
      <c r="K201" s="8"/>
      <c r="L201" s="10"/>
      <c r="M201" s="10" t="s">
        <v>453</v>
      </c>
      <c r="N201" s="11">
        <v>110</v>
      </c>
      <c r="O201" s="8">
        <v>750</v>
      </c>
      <c r="P201" s="7" t="s">
        <v>34</v>
      </c>
      <c r="Q201" s="8" t="s">
        <v>43</v>
      </c>
      <c r="R201" s="8"/>
      <c r="S201" s="13" t="b">
        <v>0</v>
      </c>
      <c r="T201" s="13" t="b">
        <v>0</v>
      </c>
      <c r="U201" s="13" t="b">
        <v>0</v>
      </c>
      <c r="V201" s="13" t="b">
        <v>0</v>
      </c>
      <c r="W201" s="13" t="b">
        <v>0</v>
      </c>
    </row>
  </sheetData>
  <autoFilter ref="A1:W201" xr:uid="{00000000-0009-0000-0000-000000000000}"/>
  <conditionalFormatting sqref="P2:P31">
    <cfRule type="containsText" dxfId="67" priority="1" operator="containsText" text="Medium">
      <formula>NOT(ISERROR(SEARCH(("Medium"),(P2))))</formula>
    </cfRule>
    <cfRule type="containsText" dxfId="66" priority="2" operator="containsText" text="Now">
      <formula>NOT(ISERROR(SEARCH(("Now"),(P2))))</formula>
    </cfRule>
    <cfRule type="containsText" dxfId="65" priority="3" operator="containsText" text="Short">
      <formula>NOT(ISERROR(SEARCH(("Short"),(P2))))</formula>
    </cfRule>
    <cfRule type="containsText" dxfId="64" priority="4" operator="containsText" text="Long">
      <formula>NOT(ISERROR(SEARCH(("Long"),(P2))))</formula>
    </cfRule>
  </conditionalFormatting>
  <conditionalFormatting sqref="P31:P33">
    <cfRule type="containsText" dxfId="63" priority="94" operator="containsText" text="Now">
      <formula>NOT(ISERROR(SEARCH(("Now"),(P31))))</formula>
    </cfRule>
    <cfRule type="containsText" dxfId="62" priority="93" operator="containsText" text="Medium">
      <formula>NOT(ISERROR(SEARCH(("Medium"),(P31))))</formula>
    </cfRule>
    <cfRule type="containsText" dxfId="61" priority="95" operator="containsText" text="Short">
      <formula>NOT(ISERROR(SEARCH(("Short"),(P31))))</formula>
    </cfRule>
    <cfRule type="containsText" dxfId="60" priority="96" operator="containsText" text="Long">
      <formula>NOT(ISERROR(SEARCH(("Long"),(P31))))</formula>
    </cfRule>
  </conditionalFormatting>
  <conditionalFormatting sqref="P33:P34">
    <cfRule type="containsText" dxfId="59" priority="97" operator="containsText" text="Medium">
      <formula>NOT(ISERROR(SEARCH(("Medium"),(P33))))</formula>
    </cfRule>
    <cfRule type="containsText" dxfId="58" priority="98" operator="containsText" text="Now">
      <formula>NOT(ISERROR(SEARCH(("Now"),(P33))))</formula>
    </cfRule>
    <cfRule type="containsText" dxfId="57" priority="99" operator="containsText" text="Short">
      <formula>NOT(ISERROR(SEARCH(("Short"),(P33))))</formula>
    </cfRule>
    <cfRule type="containsText" dxfId="56" priority="100" operator="containsText" text="Long">
      <formula>NOT(ISERROR(SEARCH(("Long"),(P33))))</formula>
    </cfRule>
  </conditionalFormatting>
  <conditionalFormatting sqref="P34:P45">
    <cfRule type="containsText" dxfId="55" priority="105" operator="containsText" text="Medium">
      <formula>NOT(ISERROR(SEARCH(("Medium"),(P34))))</formula>
    </cfRule>
    <cfRule type="containsText" dxfId="54" priority="106" operator="containsText" text="Now">
      <formula>NOT(ISERROR(SEARCH(("Now"),(P34))))</formula>
    </cfRule>
    <cfRule type="containsText" dxfId="53" priority="107" operator="containsText" text="Short">
      <formula>NOT(ISERROR(SEARCH(("Short"),(P34))))</formula>
    </cfRule>
    <cfRule type="containsText" dxfId="52" priority="108" operator="containsText" text="Long">
      <formula>NOT(ISERROR(SEARCH(("Long"),(P34))))</formula>
    </cfRule>
  </conditionalFormatting>
  <conditionalFormatting sqref="P46:P50">
    <cfRule type="containsText" dxfId="51" priority="17" operator="containsText" text="Medium">
      <formula>NOT(ISERROR(SEARCH(("Medium"),(P46))))</formula>
    </cfRule>
    <cfRule type="containsText" dxfId="50" priority="18" operator="containsText" text="Now">
      <formula>NOT(ISERROR(SEARCH(("Now"),(P46))))</formula>
    </cfRule>
    <cfRule type="containsText" dxfId="49" priority="19" operator="containsText" text="Short">
      <formula>NOT(ISERROR(SEARCH(("Short"),(P46))))</formula>
    </cfRule>
    <cfRule type="containsText" dxfId="48" priority="20" operator="containsText" text="Long">
      <formula>NOT(ISERROR(SEARCH(("Long"),(P46))))</formula>
    </cfRule>
  </conditionalFormatting>
  <conditionalFormatting sqref="P51:P84">
    <cfRule type="containsText" dxfId="47" priority="157" operator="containsText" text="Medium">
      <formula>NOT(ISERROR(SEARCH(("Medium"),(P51))))</formula>
    </cfRule>
    <cfRule type="containsText" dxfId="46" priority="158" operator="containsText" text="Now">
      <formula>NOT(ISERROR(SEARCH(("Now"),(P51))))</formula>
    </cfRule>
    <cfRule type="containsText" dxfId="45" priority="159" operator="containsText" text="Short">
      <formula>NOT(ISERROR(SEARCH(("Short"),(P51))))</formula>
    </cfRule>
    <cfRule type="containsText" dxfId="44" priority="160" operator="containsText" text="Long">
      <formula>NOT(ISERROR(SEARCH(("Long"),(P51))))</formula>
    </cfRule>
  </conditionalFormatting>
  <conditionalFormatting sqref="P54">
    <cfRule type="containsText" dxfId="43" priority="153" operator="containsText" text="Medium">
      <formula>NOT(ISERROR(SEARCH(("Medium"),(P54))))</formula>
    </cfRule>
    <cfRule type="containsText" dxfId="42" priority="154" operator="containsText" text="Now">
      <formula>NOT(ISERROR(SEARCH(("Now"),(P54))))</formula>
    </cfRule>
    <cfRule type="containsText" dxfId="41" priority="155" operator="containsText" text="Short">
      <formula>NOT(ISERROR(SEARCH(("Short"),(P54))))</formula>
    </cfRule>
    <cfRule type="containsText" dxfId="40" priority="156" operator="containsText" text="Long">
      <formula>NOT(ISERROR(SEARCH(("Long"),(P54))))</formula>
    </cfRule>
  </conditionalFormatting>
  <conditionalFormatting sqref="P82:P90">
    <cfRule type="containsText" dxfId="39" priority="236" operator="containsText" text="Long">
      <formula>NOT(ISERROR(SEARCH(("Long"),(P82))))</formula>
    </cfRule>
    <cfRule type="containsText" dxfId="38" priority="235" operator="containsText" text="Short">
      <formula>NOT(ISERROR(SEARCH(("Short"),(P82))))</formula>
    </cfRule>
    <cfRule type="containsText" dxfId="37" priority="234" operator="containsText" text="Now">
      <formula>NOT(ISERROR(SEARCH(("Now"),(P82))))</formula>
    </cfRule>
    <cfRule type="containsText" dxfId="36" priority="233" operator="containsText" text="Medium">
      <formula>NOT(ISERROR(SEARCH(("Medium"),(P82))))</formula>
    </cfRule>
  </conditionalFormatting>
  <conditionalFormatting sqref="P90:P101">
    <cfRule type="containsText" dxfId="35" priority="260" operator="containsText" text="Long">
      <formula>NOT(ISERROR(SEARCH(("Long"),(P90))))</formula>
    </cfRule>
    <cfRule type="containsText" dxfId="34" priority="257" operator="containsText" text="Medium">
      <formula>NOT(ISERROR(SEARCH(("Medium"),(P90))))</formula>
    </cfRule>
    <cfRule type="containsText" dxfId="33" priority="258" operator="containsText" text="Now">
      <formula>NOT(ISERROR(SEARCH(("Now"),(P90))))</formula>
    </cfRule>
    <cfRule type="containsText" dxfId="32" priority="259" operator="containsText" text="Short">
      <formula>NOT(ISERROR(SEARCH(("Short"),(P90))))</formula>
    </cfRule>
  </conditionalFormatting>
  <conditionalFormatting sqref="P101:P107">
    <cfRule type="containsText" dxfId="31" priority="296" operator="containsText" text="Long">
      <formula>NOT(ISERROR(SEARCH(("Long"),(P101))))</formula>
    </cfRule>
    <cfRule type="containsText" dxfId="30" priority="295" operator="containsText" text="Short">
      <formula>NOT(ISERROR(SEARCH(("Short"),(P101))))</formula>
    </cfRule>
    <cfRule type="containsText" dxfId="29" priority="294" operator="containsText" text="Now">
      <formula>NOT(ISERROR(SEARCH(("Now"),(P101))))</formula>
    </cfRule>
    <cfRule type="containsText" dxfId="28" priority="293" operator="containsText" text="Medium">
      <formula>NOT(ISERROR(SEARCH(("Medium"),(P101))))</formula>
    </cfRule>
  </conditionalFormatting>
  <conditionalFormatting sqref="P107">
    <cfRule type="containsText" dxfId="27" priority="37" operator="containsText" text="Medium">
      <formula>NOT(ISERROR(SEARCH(("Medium"),(P107))))</formula>
    </cfRule>
    <cfRule type="containsText" dxfId="26" priority="38" operator="containsText" text="Now">
      <formula>NOT(ISERROR(SEARCH(("Now"),(P107))))</formula>
    </cfRule>
    <cfRule type="containsText" dxfId="25" priority="39" operator="containsText" text="Short">
      <formula>NOT(ISERROR(SEARCH(("Short"),(P107))))</formula>
    </cfRule>
    <cfRule type="containsText" dxfId="24" priority="40" operator="containsText" text="Long">
      <formula>NOT(ISERROR(SEARCH(("Long"),(P107))))</formula>
    </cfRule>
  </conditionalFormatting>
  <conditionalFormatting sqref="P107:P129 P164:P179 P181">
    <cfRule type="containsText" dxfId="23" priority="311" operator="containsText" text="Short">
      <formula>NOT(ISERROR(SEARCH(("Short"),(P107))))</formula>
    </cfRule>
    <cfRule type="containsText" dxfId="22" priority="312" operator="containsText" text="Long">
      <formula>NOT(ISERROR(SEARCH(("Long"),(P107))))</formula>
    </cfRule>
    <cfRule type="containsText" dxfId="21" priority="309" operator="containsText" text="Medium">
      <formula>NOT(ISERROR(SEARCH(("Medium"),(P107))))</formula>
    </cfRule>
    <cfRule type="containsText" dxfId="20" priority="310" operator="containsText" text="Now">
      <formula>NOT(ISERROR(SEARCH(("Now"),(P107))))</formula>
    </cfRule>
  </conditionalFormatting>
  <conditionalFormatting sqref="P129:P201">
    <cfRule type="containsText" dxfId="19" priority="273" operator="containsText" text="Medium">
      <formula>NOT(ISERROR(SEARCH(("Medium"),(P129))))</formula>
    </cfRule>
    <cfRule type="containsText" dxfId="18" priority="274" operator="containsText" text="Now">
      <formula>NOT(ISERROR(SEARCH(("Now"),(P129))))</formula>
    </cfRule>
    <cfRule type="containsText" dxfId="17" priority="275" operator="containsText" text="Short">
      <formula>NOT(ISERROR(SEARCH(("Short"),(P129))))</formula>
    </cfRule>
    <cfRule type="containsText" dxfId="16" priority="276" operator="containsText" text="Long">
      <formula>NOT(ISERROR(SEARCH(("Long"),(P129))))</formula>
    </cfRule>
  </conditionalFormatting>
  <conditionalFormatting sqref="P133:P155 P165:P173 P176:P178 P181">
    <cfRule type="containsText" dxfId="15" priority="58" operator="containsText" text="Now">
      <formula>NOT(ISERROR(SEARCH(("Now"),(P133))))</formula>
    </cfRule>
    <cfRule type="containsText" dxfId="14" priority="59" operator="containsText" text="Short">
      <formula>NOT(ISERROR(SEARCH(("Short"),(P133))))</formula>
    </cfRule>
    <cfRule type="containsText" dxfId="13" priority="60" operator="containsText" text="Long">
      <formula>NOT(ISERROR(SEARCH(("Long"),(P133))))</formula>
    </cfRule>
    <cfRule type="containsText" dxfId="12" priority="57" operator="containsText" text="Medium">
      <formula>NOT(ISERROR(SEARCH(("Medium"),(P133))))</formula>
    </cfRule>
  </conditionalFormatting>
  <conditionalFormatting sqref="P156:P159 P161:P162 P164:P201">
    <cfRule type="containsText" dxfId="11" priority="387" operator="containsText" text="Short">
      <formula>NOT(ISERROR(SEARCH(("Short"),(P156))))</formula>
    </cfRule>
    <cfRule type="containsText" dxfId="10" priority="388" operator="containsText" text="Long">
      <formula>NOT(ISERROR(SEARCH(("Long"),(P156))))</formula>
    </cfRule>
    <cfRule type="containsText" dxfId="9" priority="386" operator="containsText" text="Now">
      <formula>NOT(ISERROR(SEARCH(("Now"),(P156))))</formula>
    </cfRule>
  </conditionalFormatting>
  <conditionalFormatting sqref="P160:P163 P180:P201">
    <cfRule type="containsText" dxfId="8" priority="244" operator="containsText" text="Long">
      <formula>NOT(ISERROR(SEARCH(("Long"),(P160))))</formula>
    </cfRule>
    <cfRule type="containsText" dxfId="7" priority="242" operator="containsText" text="Now">
      <formula>NOT(ISERROR(SEARCH(("Now"),(P160))))</formula>
    </cfRule>
    <cfRule type="containsText" dxfId="6" priority="243" operator="containsText" text="Short">
      <formula>NOT(ISERROR(SEARCH(("Short"),(P160))))</formula>
    </cfRule>
  </conditionalFormatting>
  <conditionalFormatting sqref="P164:P201 P156:P159 P161:P162">
    <cfRule type="containsText" dxfId="5" priority="385" operator="containsText" text="Medium">
      <formula>NOT(ISERROR(SEARCH(("Medium"),(P156))))</formula>
    </cfRule>
  </conditionalFormatting>
  <conditionalFormatting sqref="P180:P201 P160:P163">
    <cfRule type="containsText" dxfId="4" priority="241" operator="containsText" text="Medium">
      <formula>NOT(ISERROR(SEARCH(("Medium"),(P160))))</formula>
    </cfRule>
  </conditionalFormatting>
  <dataValidations count="4">
    <dataValidation type="list" allowBlank="1" sqref="G14 G16 G19 G22:G23 G35 G41 G49:G50 G54:G55 G72:G73 G77 G82 G96 G99 G102 G104 G131 G134 G139 G146 G159 G166 G182" xr:uid="{00000000-0002-0000-0000-000000000000}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B2:B201" xr:uid="{00000000-0002-0000-0000-000001000000}">
      <formula1>"Red,White,Sparkling"</formula1>
    </dataValidation>
    <dataValidation type="list" allowBlank="1" sqref="A2:A201" xr:uid="{00000000-0002-0000-0000-000002000000}">
      <formula1>"M,R,R+M"</formula1>
    </dataValidation>
    <dataValidation type="list" allowBlank="1" sqref="G2:G13 G15 G17:G18 G20:G21 G24:G34 G36:G40 G42:G48 G51:G53 G56:G64 G67:G71 G74:G76 G78:G81 G83:G95 G97:G98 G100:G101 G103 G105:G130 G132:G133 G135:G138 G140:G145 G147:G158 G160:G165 G167:G181 G183:G201" xr:uid="{00000000-0002-0000-0000-000003000000}">
      <formula1>"Cabernet Sauvignon,Cabernet Franc,Bordeaux Blend - Right Bank,Bordeaux Blend - Left Bank,Rhone Blend,Pinot Noir,Zinfandel,Merlot,Syrah,Petit Verdot,Rhone Blend,Chardonnay,Bordeaux Blanc,Sauvignon Blanc,Other,Sangiovese,Chardonnay,Barbera 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5"/>
  <sheetViews>
    <sheetView workbookViewId="0"/>
  </sheetViews>
  <sheetFormatPr baseColWidth="10" defaultColWidth="14.3984375" defaultRowHeight="15.75" customHeight="1" x14ac:dyDescent="0.2"/>
  <cols>
    <col min="1" max="1" width="27.19921875" customWidth="1"/>
    <col min="2" max="2" width="32.19921875" customWidth="1"/>
    <col min="3" max="3" width="14.19921875" customWidth="1"/>
    <col min="4" max="4" width="27.796875" customWidth="1"/>
    <col min="5" max="6" width="7.796875" customWidth="1"/>
  </cols>
  <sheetData>
    <row r="1" spans="1:6" x14ac:dyDescent="0.2">
      <c r="A1" s="30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1" t="s">
        <v>17</v>
      </c>
    </row>
    <row r="2" spans="1:6" x14ac:dyDescent="0.2">
      <c r="A2" s="32" t="s">
        <v>459</v>
      </c>
      <c r="B2" s="32" t="s">
        <v>460</v>
      </c>
      <c r="C2" s="32">
        <v>2019</v>
      </c>
      <c r="D2" s="33">
        <v>280</v>
      </c>
      <c r="E2" s="34" t="b">
        <v>0</v>
      </c>
    </row>
    <row r="3" spans="1:6" x14ac:dyDescent="0.2">
      <c r="A3" s="32" t="s">
        <v>461</v>
      </c>
      <c r="B3" s="32" t="s">
        <v>462</v>
      </c>
      <c r="C3" s="32" t="s">
        <v>463</v>
      </c>
      <c r="D3" s="33">
        <v>350</v>
      </c>
      <c r="E3" s="34" t="b">
        <v>0</v>
      </c>
    </row>
    <row r="4" spans="1:6" x14ac:dyDescent="0.2">
      <c r="A4" s="32" t="s">
        <v>461</v>
      </c>
      <c r="B4" s="32" t="s">
        <v>464</v>
      </c>
      <c r="C4" s="32" t="s">
        <v>463</v>
      </c>
      <c r="D4" s="33">
        <v>250</v>
      </c>
      <c r="E4" s="34" t="b">
        <v>0</v>
      </c>
    </row>
    <row r="5" spans="1:6" x14ac:dyDescent="0.2">
      <c r="A5" s="32" t="s">
        <v>465</v>
      </c>
      <c r="B5" s="32" t="s">
        <v>466</v>
      </c>
      <c r="C5" s="32" t="s">
        <v>407</v>
      </c>
      <c r="D5" s="33">
        <v>90</v>
      </c>
      <c r="E5" s="34" t="b">
        <v>0</v>
      </c>
    </row>
    <row r="6" spans="1:6" x14ac:dyDescent="0.2">
      <c r="A6" s="32" t="s">
        <v>467</v>
      </c>
      <c r="B6" s="32" t="s">
        <v>468</v>
      </c>
      <c r="C6" s="32">
        <v>2014</v>
      </c>
      <c r="D6" s="33">
        <v>380</v>
      </c>
      <c r="E6" s="34" t="b">
        <v>0</v>
      </c>
    </row>
    <row r="7" spans="1:6" x14ac:dyDescent="0.2">
      <c r="A7" s="32" t="s">
        <v>469</v>
      </c>
      <c r="B7" s="32" t="s">
        <v>470</v>
      </c>
      <c r="C7" s="32">
        <v>2008</v>
      </c>
      <c r="D7" s="33">
        <v>230</v>
      </c>
      <c r="E7" s="34" t="b">
        <v>0</v>
      </c>
    </row>
    <row r="8" spans="1:6" x14ac:dyDescent="0.2">
      <c r="A8" s="32" t="s">
        <v>223</v>
      </c>
      <c r="B8" s="32" t="s">
        <v>471</v>
      </c>
      <c r="C8" s="32" t="s">
        <v>472</v>
      </c>
      <c r="D8" s="33" t="s">
        <v>473</v>
      </c>
      <c r="E8" s="34" t="b">
        <v>0</v>
      </c>
    </row>
    <row r="9" spans="1:6" x14ac:dyDescent="0.2">
      <c r="A9" s="32" t="s">
        <v>474</v>
      </c>
      <c r="B9" s="32" t="s">
        <v>475</v>
      </c>
      <c r="C9" s="32" t="s">
        <v>463</v>
      </c>
      <c r="D9" s="32" t="s">
        <v>476</v>
      </c>
      <c r="E9" s="34" t="b">
        <v>0</v>
      </c>
    </row>
    <row r="10" spans="1:6" x14ac:dyDescent="0.2">
      <c r="A10" s="32" t="s">
        <v>474</v>
      </c>
      <c r="B10" s="32" t="s">
        <v>477</v>
      </c>
      <c r="C10" s="32" t="s">
        <v>463</v>
      </c>
      <c r="D10" s="32" t="s">
        <v>478</v>
      </c>
      <c r="E10" s="34" t="b">
        <v>0</v>
      </c>
    </row>
    <row r="11" spans="1:6" x14ac:dyDescent="0.2">
      <c r="A11" s="32" t="s">
        <v>479</v>
      </c>
      <c r="B11" s="32" t="s">
        <v>477</v>
      </c>
      <c r="C11" s="32" t="s">
        <v>463</v>
      </c>
      <c r="D11" s="32" t="s">
        <v>478</v>
      </c>
      <c r="E11" s="34" t="b">
        <v>0</v>
      </c>
    </row>
    <row r="12" spans="1:6" x14ac:dyDescent="0.2">
      <c r="A12" s="32" t="s">
        <v>480</v>
      </c>
      <c r="B12" s="32" t="s">
        <v>481</v>
      </c>
      <c r="C12" s="32" t="s">
        <v>463</v>
      </c>
      <c r="D12" s="32" t="s">
        <v>482</v>
      </c>
      <c r="E12" s="34" t="b">
        <v>0</v>
      </c>
    </row>
    <row r="13" spans="1:6" x14ac:dyDescent="0.2">
      <c r="A13" s="32" t="s">
        <v>480</v>
      </c>
      <c r="B13" s="32" t="s">
        <v>483</v>
      </c>
      <c r="C13" s="32" t="s">
        <v>463</v>
      </c>
      <c r="D13" s="32" t="s">
        <v>484</v>
      </c>
      <c r="E13" s="34" t="b">
        <v>0</v>
      </c>
    </row>
    <row r="14" spans="1:6" x14ac:dyDescent="0.2">
      <c r="A14" s="32" t="s">
        <v>480</v>
      </c>
      <c r="B14" s="32" t="s">
        <v>485</v>
      </c>
      <c r="C14" s="32" t="s">
        <v>463</v>
      </c>
      <c r="D14" s="32" t="s">
        <v>486</v>
      </c>
      <c r="E14" s="34" t="b">
        <v>0</v>
      </c>
    </row>
    <row r="15" spans="1:6" x14ac:dyDescent="0.2">
      <c r="A15" s="32" t="s">
        <v>480</v>
      </c>
      <c r="B15" s="32" t="s">
        <v>487</v>
      </c>
      <c r="C15" s="32" t="s">
        <v>463</v>
      </c>
      <c r="D15" s="32" t="s">
        <v>486</v>
      </c>
      <c r="E15" s="34" t="b">
        <v>0</v>
      </c>
    </row>
    <row r="16" spans="1:6" x14ac:dyDescent="0.2">
      <c r="A16" s="32" t="s">
        <v>488</v>
      </c>
      <c r="B16" s="32" t="s">
        <v>489</v>
      </c>
      <c r="C16" s="32" t="s">
        <v>463</v>
      </c>
      <c r="D16" s="33">
        <v>100</v>
      </c>
      <c r="E16" s="34" t="b">
        <v>0</v>
      </c>
    </row>
    <row r="17" spans="1:6" x14ac:dyDescent="0.2">
      <c r="A17" s="32" t="s">
        <v>488</v>
      </c>
      <c r="B17" s="32" t="s">
        <v>490</v>
      </c>
      <c r="C17" s="32" t="s">
        <v>463</v>
      </c>
      <c r="D17" s="32" t="s">
        <v>491</v>
      </c>
      <c r="E17" s="34" t="b">
        <v>0</v>
      </c>
    </row>
    <row r="18" spans="1:6" x14ac:dyDescent="0.2">
      <c r="A18" s="32" t="s">
        <v>492</v>
      </c>
      <c r="B18" s="32" t="s">
        <v>493</v>
      </c>
      <c r="C18" s="32" t="s">
        <v>463</v>
      </c>
      <c r="D18" s="33">
        <v>80</v>
      </c>
      <c r="E18" s="34" t="b">
        <v>0</v>
      </c>
    </row>
    <row r="19" spans="1:6" x14ac:dyDescent="0.2">
      <c r="A19" s="32" t="s">
        <v>215</v>
      </c>
      <c r="B19" s="32" t="s">
        <v>219</v>
      </c>
      <c r="C19" s="32" t="s">
        <v>463</v>
      </c>
      <c r="D19" s="33">
        <v>40</v>
      </c>
      <c r="E19" s="34" t="b">
        <v>0</v>
      </c>
    </row>
    <row r="20" spans="1:6" x14ac:dyDescent="0.2">
      <c r="A20" s="32" t="s">
        <v>215</v>
      </c>
      <c r="B20" s="32" t="s">
        <v>494</v>
      </c>
      <c r="C20" s="32" t="s">
        <v>463</v>
      </c>
      <c r="D20" s="32" t="s">
        <v>495</v>
      </c>
      <c r="E20" s="32" t="b">
        <v>0</v>
      </c>
    </row>
    <row r="21" spans="1:6" x14ac:dyDescent="0.2">
      <c r="A21" s="32" t="s">
        <v>496</v>
      </c>
      <c r="B21" s="32" t="s">
        <v>92</v>
      </c>
      <c r="C21" s="32" t="s">
        <v>497</v>
      </c>
      <c r="D21" s="32" t="s">
        <v>498</v>
      </c>
      <c r="E21" s="32" t="b">
        <v>0</v>
      </c>
    </row>
    <row r="22" spans="1:6" x14ac:dyDescent="0.2">
      <c r="A22" s="32" t="s">
        <v>499</v>
      </c>
      <c r="B22" s="32" t="s">
        <v>500</v>
      </c>
      <c r="C22" s="32" t="s">
        <v>497</v>
      </c>
      <c r="D22" s="33">
        <v>150</v>
      </c>
      <c r="E22" s="32" t="b">
        <v>0</v>
      </c>
    </row>
    <row r="23" spans="1:6" x14ac:dyDescent="0.2">
      <c r="A23" s="32" t="s">
        <v>499</v>
      </c>
      <c r="B23" s="32" t="s">
        <v>501</v>
      </c>
      <c r="C23" s="32" t="s">
        <v>497</v>
      </c>
      <c r="D23" s="33">
        <v>150</v>
      </c>
      <c r="E23" s="32" t="b">
        <v>0</v>
      </c>
    </row>
    <row r="24" spans="1:6" x14ac:dyDescent="0.2">
      <c r="A24" s="32" t="s">
        <v>502</v>
      </c>
      <c r="B24" s="32"/>
      <c r="C24" s="32"/>
      <c r="D24" s="32"/>
      <c r="E24" s="32" t="b">
        <v>0</v>
      </c>
    </row>
    <row r="25" spans="1:6" x14ac:dyDescent="0.2">
      <c r="A25" s="32" t="s">
        <v>503</v>
      </c>
      <c r="B25" s="32"/>
      <c r="C25" s="32"/>
      <c r="D25" s="32"/>
      <c r="E25" s="32" t="b">
        <v>0</v>
      </c>
    </row>
    <row r="26" spans="1:6" x14ac:dyDescent="0.2">
      <c r="A26" s="32" t="s">
        <v>504</v>
      </c>
      <c r="B26" s="32"/>
      <c r="C26" s="32"/>
      <c r="D26" s="32"/>
      <c r="E26" s="32" t="b">
        <v>0</v>
      </c>
    </row>
    <row r="27" spans="1:6" x14ac:dyDescent="0.2">
      <c r="A27" s="32" t="s">
        <v>505</v>
      </c>
      <c r="B27" s="32"/>
      <c r="C27" s="32"/>
      <c r="D27" s="32"/>
      <c r="E27" s="32" t="b">
        <v>0</v>
      </c>
    </row>
    <row r="28" spans="1:6" x14ac:dyDescent="0.2">
      <c r="A28" s="32" t="s">
        <v>506</v>
      </c>
      <c r="B28" s="32"/>
      <c r="C28" s="32"/>
      <c r="D28" s="32"/>
      <c r="E28" s="32" t="b">
        <v>0</v>
      </c>
    </row>
    <row r="29" spans="1:6" x14ac:dyDescent="0.2">
      <c r="A29" s="32" t="s">
        <v>507</v>
      </c>
      <c r="E29" s="32" t="b">
        <v>0</v>
      </c>
    </row>
    <row r="30" spans="1:6" x14ac:dyDescent="0.2">
      <c r="A30" s="32" t="s">
        <v>508</v>
      </c>
    </row>
    <row r="31" spans="1:6" x14ac:dyDescent="0.2">
      <c r="A31" s="32" t="s">
        <v>163</v>
      </c>
      <c r="B31" s="32" t="s">
        <v>164</v>
      </c>
      <c r="C31" s="32"/>
      <c r="D31" s="33"/>
    </row>
    <row r="32" spans="1:6" x14ac:dyDescent="0.2">
      <c r="A32" s="32" t="s">
        <v>509</v>
      </c>
      <c r="B32" s="32"/>
      <c r="C32" s="32" t="s">
        <v>463</v>
      </c>
      <c r="D32" s="33" t="s">
        <v>510</v>
      </c>
      <c r="E32" s="34" t="b">
        <v>1</v>
      </c>
      <c r="F32" s="35" t="s">
        <v>511</v>
      </c>
    </row>
    <row r="33" spans="1:4" x14ac:dyDescent="0.2">
      <c r="A33" s="36" t="s">
        <v>512</v>
      </c>
    </row>
    <row r="34" spans="1:4" x14ac:dyDescent="0.2">
      <c r="A34" s="32" t="s">
        <v>513</v>
      </c>
      <c r="B34" s="32" t="s">
        <v>514</v>
      </c>
      <c r="C34" s="34" t="s">
        <v>515</v>
      </c>
      <c r="D34" s="33" t="s">
        <v>516</v>
      </c>
    </row>
    <row r="35" spans="1:4" x14ac:dyDescent="0.2">
      <c r="A35" s="34" t="s">
        <v>517</v>
      </c>
      <c r="B35" s="32" t="s">
        <v>518</v>
      </c>
    </row>
  </sheetData>
  <hyperlinks>
    <hyperlink ref="F32" r:id="rId1" xr:uid="{00000000-0004-0000-0100-000000000000}"/>
    <hyperlink ref="A3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61"/>
  <sheetViews>
    <sheetView workbookViewId="0"/>
  </sheetViews>
  <sheetFormatPr baseColWidth="10" defaultColWidth="14.3984375" defaultRowHeight="15.75" customHeight="1" x14ac:dyDescent="0.2"/>
  <sheetData>
    <row r="1" spans="1:23" x14ac:dyDescent="0.2">
      <c r="A1" s="34" t="str">
        <f ca="1">IFERROR(__xludf.DUMMYFUNCTION("QUERY('Updated 122223'!1:201, ""select * where P = 'Now'or P = 'Short'"",1)"),"Owner")</f>
        <v>Owner</v>
      </c>
      <c r="B1" s="34" t="str">
        <f ca="1">IFERROR(__xludf.DUMMYFUNCTION("""COMPUTED_VALUE"""),"Category")</f>
        <v>Category</v>
      </c>
      <c r="C1" s="34" t="str">
        <f ca="1">IFERROR(__xludf.DUMMYFUNCTION("""COMPUTED_VALUE"""),"Qty")</f>
        <v>Qty</v>
      </c>
      <c r="D1" s="34" t="str">
        <f ca="1">IFERROR(__xludf.DUMMYFUNCTION("""COMPUTED_VALUE"""),"Vintage ")</f>
        <v xml:space="preserve">Vintage </v>
      </c>
      <c r="E1" s="34" t="str">
        <f ca="1">IFERROR(__xludf.DUMMYFUNCTION("""COMPUTED_VALUE"""),"Winery ")</f>
        <v xml:space="preserve">Winery </v>
      </c>
      <c r="F1" s="34" t="str">
        <f ca="1">IFERROR(__xludf.DUMMYFUNCTION("""COMPUTED_VALUE"""),"Wine (Name)")</f>
        <v>Wine (Name)</v>
      </c>
      <c r="G1" s="34" t="str">
        <f ca="1">IFERROR(__xludf.DUMMYFUNCTION("""COMPUTED_VALUE"""),"Varietal(s)")</f>
        <v>Varietal(s)</v>
      </c>
      <c r="H1" s="34" t="str">
        <f ca="1">IFERROR(__xludf.DUMMYFUNCTION("""COMPUTED_VALUE"""),"Country ")</f>
        <v xml:space="preserve">Country </v>
      </c>
      <c r="I1" s="34" t="str">
        <f ca="1">IFERROR(__xludf.DUMMYFUNCTION("""COMPUTED_VALUE"""),"State ")</f>
        <v xml:space="preserve">State </v>
      </c>
      <c r="J1" s="34" t="str">
        <f ca="1">IFERROR(__xludf.DUMMYFUNCTION("""COMPUTED_VALUE"""),"Region ")</f>
        <v xml:space="preserve">Region </v>
      </c>
      <c r="K1" s="34" t="str">
        <f ca="1">IFERROR(__xludf.DUMMYFUNCTION("""COMPUTED_VALUE"""),"Appelation")</f>
        <v>Appelation</v>
      </c>
      <c r="L1" s="34" t="str">
        <f ca="1">IFERROR(__xludf.DUMMYFUNCTION("""COMPUTED_VALUE"""),"Sub App")</f>
        <v>Sub App</v>
      </c>
      <c r="M1" s="34" t="str">
        <f ca="1">IFERROR(__xludf.DUMMYFUNCTION("""COMPUTED_VALUE"""),"Vineyard/Cru")</f>
        <v>Vineyard/Cru</v>
      </c>
      <c r="N1" s="34" t="str">
        <f ca="1">IFERROR(__xludf.DUMMYFUNCTION("""COMPUTED_VALUE"""),"Retail Price ")</f>
        <v xml:space="preserve">Retail Price </v>
      </c>
      <c r="O1" s="34" t="str">
        <f ca="1">IFERROR(__xludf.DUMMYFUNCTION("""COMPUTED_VALUE"""),"Volume (mL)")</f>
        <v>Volume (mL)</v>
      </c>
      <c r="P1" s="34" t="str">
        <f ca="1">IFERROR(__xludf.DUMMYFUNCTION("""COMPUTED_VALUE"""),"Drinking Window")</f>
        <v>Drinking Window</v>
      </c>
      <c r="Q1" s="34" t="str">
        <f ca="1">IFERROR(__xludf.DUMMYFUNCTION("""COMPUTED_VALUE"""),"Box #")</f>
        <v>Box #</v>
      </c>
      <c r="R1" s="34" t="str">
        <f ca="1">IFERROR(__xludf.DUMMYFUNCTION("""COMPUTED_VALUE"""),"Notes")</f>
        <v>Notes</v>
      </c>
      <c r="S1" s="34" t="str">
        <f ca="1">IFERROR(__xludf.DUMMYFUNCTION("""COMPUTED_VALUE"""),"Drank")</f>
        <v>Drank</v>
      </c>
      <c r="T1" s="34" t="str">
        <f ca="1">IFERROR(__xludf.DUMMYFUNCTION("""COMPUTED_VALUE"""),"Pulled 1")</f>
        <v>Pulled 1</v>
      </c>
      <c r="U1" s="34" t="str">
        <f ca="1">IFERROR(__xludf.DUMMYFUNCTION("""COMPUTED_VALUE"""),"Double Check")</f>
        <v>Double Check</v>
      </c>
      <c r="V1" s="34" t="str">
        <f ca="1">IFERROR(__xludf.DUMMYFUNCTION("""COMPUTED_VALUE"""),"Pull 1 To Drink")</f>
        <v>Pull 1 To Drink</v>
      </c>
      <c r="W1" s="34" t="str">
        <f ca="1">IFERROR(__xludf.DUMMYFUNCTION("""COMPUTED_VALUE"""),"Ready to Drink")</f>
        <v>Ready to Drink</v>
      </c>
    </row>
    <row r="2" spans="1:23" x14ac:dyDescent="0.2">
      <c r="A2" s="34" t="str">
        <f ca="1">IFERROR(__xludf.DUMMYFUNCTION("""COMPUTED_VALUE"""),"R")</f>
        <v>R</v>
      </c>
      <c r="B2" s="34" t="str">
        <f ca="1">IFERROR(__xludf.DUMMYFUNCTION("""COMPUTED_VALUE"""),"Sparkling")</f>
        <v>Sparkling</v>
      </c>
      <c r="C2" s="34">
        <f ca="1">IFERROR(__xludf.DUMMYFUNCTION("""COMPUTED_VALUE"""),1)</f>
        <v>1</v>
      </c>
      <c r="D2" s="34">
        <f ca="1">IFERROR(__xludf.DUMMYFUNCTION("""COMPUTED_VALUE"""),2008)</f>
        <v>2008</v>
      </c>
      <c r="E2" s="34" t="str">
        <f ca="1">IFERROR(__xludf.DUMMYFUNCTION("""COMPUTED_VALUE"""),"Domain Chandon")</f>
        <v>Domain Chandon</v>
      </c>
      <c r="F2" s="34" t="str">
        <f ca="1">IFERROR(__xludf.DUMMYFUNCTION("""COMPUTED_VALUE"""),"Etoile")</f>
        <v>Etoile</v>
      </c>
      <c r="G2" s="34" t="str">
        <f ca="1">IFERROR(__xludf.DUMMYFUNCTION("""COMPUTED_VALUE"""),"Other")</f>
        <v>Other</v>
      </c>
      <c r="H2" s="34" t="str">
        <f ca="1">IFERROR(__xludf.DUMMYFUNCTION("""COMPUTED_VALUE"""),"USA")</f>
        <v>USA</v>
      </c>
      <c r="I2" s="34" t="str">
        <f ca="1">IFERROR(__xludf.DUMMYFUNCTION("""COMPUTED_VALUE"""),"CA")</f>
        <v>CA</v>
      </c>
      <c r="J2" s="34" t="str">
        <f ca="1">IFERROR(__xludf.DUMMYFUNCTION("""COMPUTED_VALUE"""),"Northern CA")</f>
        <v>Northern CA</v>
      </c>
      <c r="K2" s="34"/>
      <c r="L2" s="34"/>
      <c r="M2" s="34"/>
      <c r="N2" s="37">
        <f ca="1">IFERROR(__xludf.DUMMYFUNCTION("""COMPUTED_VALUE"""),65)</f>
        <v>65</v>
      </c>
      <c r="O2" s="34">
        <f ca="1">IFERROR(__xludf.DUMMYFUNCTION("""COMPUTED_VALUE"""),750)</f>
        <v>750</v>
      </c>
      <c r="P2" s="34" t="str">
        <f ca="1">IFERROR(__xludf.DUMMYFUNCTION("""COMPUTED_VALUE"""),"Now")</f>
        <v>Now</v>
      </c>
      <c r="Q2" s="34" t="str">
        <f ca="1">IFERROR(__xludf.DUMMYFUNCTION("""COMPUTED_VALUE"""),"Krug")</f>
        <v>Krug</v>
      </c>
      <c r="R2" s="34"/>
      <c r="S2" s="34" t="b">
        <f ca="1">IFERROR(__xludf.DUMMYFUNCTION("""COMPUTED_VALUE"""),TRUE)</f>
        <v>1</v>
      </c>
      <c r="T2" s="34" t="b">
        <f ca="1">IFERROR(__xludf.DUMMYFUNCTION("""COMPUTED_VALUE"""),TRUE)</f>
        <v>1</v>
      </c>
      <c r="U2" s="34" t="b">
        <f ca="1">IFERROR(__xludf.DUMMYFUNCTION("""COMPUTED_VALUE"""),FALSE)</f>
        <v>0</v>
      </c>
      <c r="V2" s="34" t="b">
        <f ca="1">IFERROR(__xludf.DUMMYFUNCTION("""COMPUTED_VALUE"""),FALSE)</f>
        <v>0</v>
      </c>
      <c r="W2" s="34" t="b">
        <f ca="1">IFERROR(__xludf.DUMMYFUNCTION("""COMPUTED_VALUE"""),FALSE)</f>
        <v>0</v>
      </c>
    </row>
    <row r="3" spans="1:23" x14ac:dyDescent="0.2">
      <c r="A3" s="34" t="str">
        <f ca="1">IFERROR(__xludf.DUMMYFUNCTION("""COMPUTED_VALUE"""),"R")</f>
        <v>R</v>
      </c>
      <c r="B3" s="34" t="str">
        <f ca="1">IFERROR(__xludf.DUMMYFUNCTION("""COMPUTED_VALUE"""),"Red")</f>
        <v>Red</v>
      </c>
      <c r="C3" s="34">
        <f ca="1">IFERROR(__xludf.DUMMYFUNCTION("""COMPUTED_VALUE"""),1)</f>
        <v>1</v>
      </c>
      <c r="D3" s="34">
        <f ca="1">IFERROR(__xludf.DUMMYFUNCTION("""COMPUTED_VALUE"""),2013)</f>
        <v>2013</v>
      </c>
      <c r="E3" s="34" t="str">
        <f ca="1">IFERROR(__xludf.DUMMYFUNCTION("""COMPUTED_VALUE"""),"Dowsett Family Wines")</f>
        <v>Dowsett Family Wines</v>
      </c>
      <c r="F3" s="34" t="str">
        <f ca="1">IFERROR(__xludf.DUMMYFUNCTION("""COMPUTED_VALUE"""),"Heart of the Hill Vineyard Mouvedre")</f>
        <v>Heart of the Hill Vineyard Mouvedre</v>
      </c>
      <c r="G3" s="34" t="str">
        <f ca="1">IFERROR(__xludf.DUMMYFUNCTION("""COMPUTED_VALUE"""),"Other")</f>
        <v>Other</v>
      </c>
      <c r="H3" s="34" t="str">
        <f ca="1">IFERROR(__xludf.DUMMYFUNCTION("""COMPUTED_VALUE"""),"USA")</f>
        <v>USA</v>
      </c>
      <c r="I3" s="34" t="str">
        <f ca="1">IFERROR(__xludf.DUMMYFUNCTION("""COMPUTED_VALUE"""),"WA")</f>
        <v>WA</v>
      </c>
      <c r="J3" s="34"/>
      <c r="K3" s="34" t="str">
        <f ca="1">IFERROR(__xludf.DUMMYFUNCTION("""COMPUTED_VALUE"""),"Columbia Valley")</f>
        <v>Columbia Valley</v>
      </c>
      <c r="L3" s="34" t="str">
        <f ca="1">IFERROR(__xludf.DUMMYFUNCTION("""COMPUTED_VALUE"""),"Red Mountain")</f>
        <v>Red Mountain</v>
      </c>
      <c r="M3" s="34" t="str">
        <f ca="1">IFERROR(__xludf.DUMMYFUNCTION("""COMPUTED_VALUE"""),"Heart of the Hill Vineyard")</f>
        <v>Heart of the Hill Vineyard</v>
      </c>
      <c r="N3" s="37">
        <f ca="1">IFERROR(__xludf.DUMMYFUNCTION("""COMPUTED_VALUE"""),34)</f>
        <v>34</v>
      </c>
      <c r="O3" s="34">
        <f ca="1">IFERROR(__xludf.DUMMYFUNCTION("""COMPUTED_VALUE"""),750)</f>
        <v>750</v>
      </c>
      <c r="P3" s="34" t="str">
        <f ca="1">IFERROR(__xludf.DUMMYFUNCTION("""COMPUTED_VALUE"""),"Now")</f>
        <v>Now</v>
      </c>
      <c r="Q3" s="34" t="str">
        <f ca="1">IFERROR(__xludf.DUMMYFUNCTION("""COMPUTED_VALUE"""),"MA1")</f>
        <v>MA1</v>
      </c>
      <c r="R3" s="34"/>
      <c r="S3" s="34" t="b">
        <f ca="1">IFERROR(__xludf.DUMMYFUNCTION("""COMPUTED_VALUE"""),TRUE)</f>
        <v>1</v>
      </c>
      <c r="T3" s="34" t="b">
        <f ca="1">IFERROR(__xludf.DUMMYFUNCTION("""COMPUTED_VALUE"""),TRUE)</f>
        <v>1</v>
      </c>
      <c r="U3" s="34" t="b">
        <f ca="1">IFERROR(__xludf.DUMMYFUNCTION("""COMPUTED_VALUE"""),FALSE)</f>
        <v>0</v>
      </c>
      <c r="V3" s="34" t="b">
        <f ca="1">IFERROR(__xludf.DUMMYFUNCTION("""COMPUTED_VALUE"""),FALSE)</f>
        <v>0</v>
      </c>
      <c r="W3" s="34" t="b">
        <f ca="1">IFERROR(__xludf.DUMMYFUNCTION("""COMPUTED_VALUE"""),FALSE)</f>
        <v>0</v>
      </c>
    </row>
    <row r="4" spans="1:23" x14ac:dyDescent="0.2">
      <c r="A4" s="34" t="str">
        <f ca="1">IFERROR(__xludf.DUMMYFUNCTION("""COMPUTED_VALUE"""),"R")</f>
        <v>R</v>
      </c>
      <c r="B4" s="34" t="str">
        <f ca="1">IFERROR(__xludf.DUMMYFUNCTION("""COMPUTED_VALUE"""),"Sparkling")</f>
        <v>Sparkling</v>
      </c>
      <c r="C4" s="34">
        <f ca="1">IFERROR(__xludf.DUMMYFUNCTION("""COMPUTED_VALUE"""),1)</f>
        <v>1</v>
      </c>
      <c r="D4" s="34">
        <f ca="1">IFERROR(__xludf.DUMMYFUNCTION("""COMPUTED_VALUE"""),2013)</f>
        <v>2013</v>
      </c>
      <c r="E4" s="34" t="str">
        <f ca="1">IFERROR(__xludf.DUMMYFUNCTION("""COMPUTED_VALUE"""),"Domaine Carneros")</f>
        <v>Domaine Carneros</v>
      </c>
      <c r="F4" s="34" t="str">
        <f ca="1">IFERROR(__xludf.DUMMYFUNCTION("""COMPUTED_VALUE"""),"La Reve Rosé")</f>
        <v>La Reve Rosé</v>
      </c>
      <c r="G4" s="34" t="str">
        <f ca="1">IFERROR(__xludf.DUMMYFUNCTION("""COMPUTED_VALUE"""),"Other")</f>
        <v>Other</v>
      </c>
      <c r="H4" s="34" t="str">
        <f ca="1">IFERROR(__xludf.DUMMYFUNCTION("""COMPUTED_VALUE"""),"USA")</f>
        <v>USA</v>
      </c>
      <c r="I4" s="34" t="str">
        <f ca="1">IFERROR(__xludf.DUMMYFUNCTION("""COMPUTED_VALUE"""),"CA")</f>
        <v>CA</v>
      </c>
      <c r="J4" s="34" t="str">
        <f ca="1">IFERROR(__xludf.DUMMYFUNCTION("""COMPUTED_VALUE"""),"Northern CA")</f>
        <v>Northern CA</v>
      </c>
      <c r="K4" s="34"/>
      <c r="L4" s="34"/>
      <c r="M4" s="34"/>
      <c r="N4" s="37">
        <f ca="1">IFERROR(__xludf.DUMMYFUNCTION("""COMPUTED_VALUE"""),115)</f>
        <v>115</v>
      </c>
      <c r="O4" s="34">
        <f ca="1">IFERROR(__xludf.DUMMYFUNCTION("""COMPUTED_VALUE"""),750)</f>
        <v>750</v>
      </c>
      <c r="P4" s="34" t="str">
        <f ca="1">IFERROR(__xludf.DUMMYFUNCTION("""COMPUTED_VALUE"""),"Short")</f>
        <v>Short</v>
      </c>
      <c r="Q4" s="34" t="str">
        <f ca="1">IFERROR(__xludf.DUMMYFUNCTION("""COMPUTED_VALUE"""),"Krug")</f>
        <v>Krug</v>
      </c>
      <c r="R4" s="34"/>
      <c r="S4" s="34" t="b">
        <f ca="1">IFERROR(__xludf.DUMMYFUNCTION("""COMPUTED_VALUE"""),TRUE)</f>
        <v>1</v>
      </c>
      <c r="T4" s="34" t="b">
        <f ca="1">IFERROR(__xludf.DUMMYFUNCTION("""COMPUTED_VALUE"""),FALSE)</f>
        <v>0</v>
      </c>
      <c r="U4" s="34" t="b">
        <f ca="1">IFERROR(__xludf.DUMMYFUNCTION("""COMPUTED_VALUE"""),FALSE)</f>
        <v>0</v>
      </c>
      <c r="V4" s="34" t="b">
        <f ca="1">IFERROR(__xludf.DUMMYFUNCTION("""COMPUTED_VALUE"""),TRUE)</f>
        <v>1</v>
      </c>
      <c r="W4" s="34" t="b">
        <f ca="1">IFERROR(__xludf.DUMMYFUNCTION("""COMPUTED_VALUE"""),FALSE)</f>
        <v>0</v>
      </c>
    </row>
    <row r="5" spans="1:23" x14ac:dyDescent="0.2">
      <c r="A5" s="34" t="str">
        <f ca="1">IFERROR(__xludf.DUMMYFUNCTION("""COMPUTED_VALUE"""),"R")</f>
        <v>R</v>
      </c>
      <c r="B5" s="34" t="str">
        <f ca="1">IFERROR(__xludf.DUMMYFUNCTION("""COMPUTED_VALUE"""),"Red")</f>
        <v>Red</v>
      </c>
      <c r="C5" s="34">
        <f ca="1">IFERROR(__xludf.DUMMYFUNCTION("""COMPUTED_VALUE"""),1)</f>
        <v>1</v>
      </c>
      <c r="D5" s="34">
        <f ca="1">IFERROR(__xludf.DUMMYFUNCTION("""COMPUTED_VALUE"""),2013)</f>
        <v>2013</v>
      </c>
      <c r="E5" s="34" t="str">
        <f ca="1">IFERROR(__xludf.DUMMYFUNCTION("""COMPUTED_VALUE"""),"Sterling Vineyards")</f>
        <v>Sterling Vineyards</v>
      </c>
      <c r="F5" s="34" t="str">
        <f ca="1">IFERROR(__xludf.DUMMYFUNCTION("""COMPUTED_VALUE"""),"Planium Select Cab Sauv")</f>
        <v>Planium Select Cab Sauv</v>
      </c>
      <c r="G5" s="34" t="str">
        <f ca="1">IFERROR(__xludf.DUMMYFUNCTION("""COMPUTED_VALUE"""),"Cabernet Sauvignon")</f>
        <v>Cabernet Sauvignon</v>
      </c>
      <c r="H5" s="34" t="str">
        <f ca="1">IFERROR(__xludf.DUMMYFUNCTION("""COMPUTED_VALUE"""),"USA")</f>
        <v>USA</v>
      </c>
      <c r="I5" s="34" t="str">
        <f ca="1">IFERROR(__xludf.DUMMYFUNCTION("""COMPUTED_VALUE"""),"CA")</f>
        <v>CA</v>
      </c>
      <c r="J5" s="34" t="str">
        <f ca="1">IFERROR(__xludf.DUMMYFUNCTION("""COMPUTED_VALUE"""),"Northern CA")</f>
        <v>Northern CA</v>
      </c>
      <c r="K5" s="34" t="str">
        <f ca="1">IFERROR(__xludf.DUMMYFUNCTION("""COMPUTED_VALUE"""),"Napa Valley")</f>
        <v>Napa Valley</v>
      </c>
      <c r="L5" s="34"/>
      <c r="M5" s="34"/>
      <c r="N5" s="37">
        <f ca="1">IFERROR(__xludf.DUMMYFUNCTION("""COMPUTED_VALUE"""),100)</f>
        <v>100</v>
      </c>
      <c r="O5" s="34">
        <f ca="1">IFERROR(__xludf.DUMMYFUNCTION("""COMPUTED_VALUE"""),750)</f>
        <v>750</v>
      </c>
      <c r="P5" s="34" t="str">
        <f ca="1">IFERROR(__xludf.DUMMYFUNCTION("""COMPUTED_VALUE"""),"Short")</f>
        <v>Short</v>
      </c>
      <c r="Q5" s="34" t="str">
        <f ca="1">IFERROR(__xludf.DUMMYFUNCTION("""COMPUTED_VALUE"""),"M3")</f>
        <v>M3</v>
      </c>
      <c r="R5" s="34"/>
      <c r="S5" s="34" t="b">
        <f ca="1">IFERROR(__xludf.DUMMYFUNCTION("""COMPUTED_VALUE"""),FALSE)</f>
        <v>0</v>
      </c>
      <c r="T5" s="34" t="b">
        <f ca="1">IFERROR(__xludf.DUMMYFUNCTION("""COMPUTED_VALUE"""),FALSE)</f>
        <v>0</v>
      </c>
      <c r="U5" s="34" t="b">
        <f ca="1">IFERROR(__xludf.DUMMYFUNCTION("""COMPUTED_VALUE"""),FALSE)</f>
        <v>0</v>
      </c>
      <c r="V5" s="34" t="b">
        <f ca="1">IFERROR(__xludf.DUMMYFUNCTION("""COMPUTED_VALUE"""),FALSE)</f>
        <v>0</v>
      </c>
      <c r="W5" s="34" t="b">
        <f ca="1">IFERROR(__xludf.DUMMYFUNCTION("""COMPUTED_VALUE"""),FALSE)</f>
        <v>0</v>
      </c>
    </row>
    <row r="6" spans="1:23" x14ac:dyDescent="0.2">
      <c r="A6" s="34" t="str">
        <f ca="1">IFERROR(__xludf.DUMMYFUNCTION("""COMPUTED_VALUE"""),"R")</f>
        <v>R</v>
      </c>
      <c r="B6" s="34" t="str">
        <f ca="1">IFERROR(__xludf.DUMMYFUNCTION("""COMPUTED_VALUE"""),"Red")</f>
        <v>Red</v>
      </c>
      <c r="C6" s="34">
        <f ca="1">IFERROR(__xludf.DUMMYFUNCTION("""COMPUTED_VALUE"""),1)</f>
        <v>1</v>
      </c>
      <c r="D6" s="34">
        <f ca="1">IFERROR(__xludf.DUMMYFUNCTION("""COMPUTED_VALUE"""),2013)</f>
        <v>2013</v>
      </c>
      <c r="E6" s="34" t="str">
        <f ca="1">IFERROR(__xludf.DUMMYFUNCTION("""COMPUTED_VALUE"""),"Hall Wines")</f>
        <v>Hall Wines</v>
      </c>
      <c r="F6" s="34" t="str">
        <f ca="1">IFERROR(__xludf.DUMMYFUNCTION("""COMPUTED_VALUE"""),"1873")</f>
        <v>1873</v>
      </c>
      <c r="G6" s="34" t="str">
        <f ca="1">IFERROR(__xludf.DUMMYFUNCTION("""COMPUTED_VALUE"""),"Cabernet Sauvignon")</f>
        <v>Cabernet Sauvignon</v>
      </c>
      <c r="H6" s="34" t="str">
        <f ca="1">IFERROR(__xludf.DUMMYFUNCTION("""COMPUTED_VALUE"""),"USA")</f>
        <v>USA</v>
      </c>
      <c r="I6" s="34" t="str">
        <f ca="1">IFERROR(__xludf.DUMMYFUNCTION("""COMPUTED_VALUE"""),"CA")</f>
        <v>CA</v>
      </c>
      <c r="J6" s="34" t="str">
        <f ca="1">IFERROR(__xludf.DUMMYFUNCTION("""COMPUTED_VALUE"""),"Northern CA")</f>
        <v>Northern CA</v>
      </c>
      <c r="K6" s="34" t="str">
        <f ca="1">IFERROR(__xludf.DUMMYFUNCTION("""COMPUTED_VALUE"""),"Napa Valley")</f>
        <v>Napa Valley</v>
      </c>
      <c r="L6" s="34"/>
      <c r="M6" s="34"/>
      <c r="N6" s="37">
        <f ca="1">IFERROR(__xludf.DUMMYFUNCTION("""COMPUTED_VALUE"""),85)</f>
        <v>85</v>
      </c>
      <c r="O6" s="34">
        <f ca="1">IFERROR(__xludf.DUMMYFUNCTION("""COMPUTED_VALUE"""),750)</f>
        <v>750</v>
      </c>
      <c r="P6" s="34" t="str">
        <f ca="1">IFERROR(__xludf.DUMMYFUNCTION("""COMPUTED_VALUE"""),"Short")</f>
        <v>Short</v>
      </c>
      <c r="Q6" s="34" t="str">
        <f ca="1">IFERROR(__xludf.DUMMYFUNCTION("""COMPUTED_VALUE"""),"S2")</f>
        <v>S2</v>
      </c>
      <c r="R6" s="34"/>
      <c r="S6" s="34" t="b">
        <f ca="1">IFERROR(__xludf.DUMMYFUNCTION("""COMPUTED_VALUE"""),TRUE)</f>
        <v>1</v>
      </c>
      <c r="T6" s="34" t="b">
        <f ca="1">IFERROR(__xludf.DUMMYFUNCTION("""COMPUTED_VALUE"""),FALSE)</f>
        <v>0</v>
      </c>
      <c r="U6" s="34" t="b">
        <f ca="1">IFERROR(__xludf.DUMMYFUNCTION("""COMPUTED_VALUE"""),FALSE)</f>
        <v>0</v>
      </c>
      <c r="V6" s="34" t="b">
        <f ca="1">IFERROR(__xludf.DUMMYFUNCTION("""COMPUTED_VALUE"""),FALSE)</f>
        <v>0</v>
      </c>
      <c r="W6" s="34" t="b">
        <f ca="1">IFERROR(__xludf.DUMMYFUNCTION("""COMPUTED_VALUE"""),TRUE)</f>
        <v>1</v>
      </c>
    </row>
    <row r="7" spans="1:23" x14ac:dyDescent="0.2">
      <c r="A7" s="34" t="str">
        <f ca="1">IFERROR(__xludf.DUMMYFUNCTION("""COMPUTED_VALUE"""),"R")</f>
        <v>R</v>
      </c>
      <c r="B7" s="34" t="str">
        <f ca="1">IFERROR(__xludf.DUMMYFUNCTION("""COMPUTED_VALUE"""),"Red")</f>
        <v>Red</v>
      </c>
      <c r="C7" s="34">
        <f ca="1">IFERROR(__xludf.DUMMYFUNCTION("""COMPUTED_VALUE"""),1)</f>
        <v>1</v>
      </c>
      <c r="D7" s="34">
        <f ca="1">IFERROR(__xludf.DUMMYFUNCTION("""COMPUTED_VALUE"""),2013)</f>
        <v>2013</v>
      </c>
      <c r="E7" s="34" t="str">
        <f ca="1">IFERROR(__xludf.DUMMYFUNCTION("""COMPUTED_VALUE"""),"Sterling Vineyards")</f>
        <v>Sterling Vineyards</v>
      </c>
      <c r="F7" s="34" t="str">
        <f ca="1">IFERROR(__xludf.DUMMYFUNCTION("""COMPUTED_VALUE"""),"Rutherford")</f>
        <v>Rutherford</v>
      </c>
      <c r="G7" s="34" t="str">
        <f ca="1">IFERROR(__xludf.DUMMYFUNCTION("""COMPUTED_VALUE"""),"Cabernet Sauvignon")</f>
        <v>Cabernet Sauvignon</v>
      </c>
      <c r="H7" s="34" t="str">
        <f ca="1">IFERROR(__xludf.DUMMYFUNCTION("""COMPUTED_VALUE"""),"USA")</f>
        <v>USA</v>
      </c>
      <c r="I7" s="34" t="str">
        <f ca="1">IFERROR(__xludf.DUMMYFUNCTION("""COMPUTED_VALUE"""),"CA")</f>
        <v>CA</v>
      </c>
      <c r="J7" s="34" t="str">
        <f ca="1">IFERROR(__xludf.DUMMYFUNCTION("""COMPUTED_VALUE"""),"Northern CA")</f>
        <v>Northern CA</v>
      </c>
      <c r="K7" s="34" t="str">
        <f ca="1">IFERROR(__xludf.DUMMYFUNCTION("""COMPUTED_VALUE"""),"Napa Valley")</f>
        <v>Napa Valley</v>
      </c>
      <c r="L7" s="34" t="str">
        <f ca="1">IFERROR(__xludf.DUMMYFUNCTION("""COMPUTED_VALUE"""),"Rutherford")</f>
        <v>Rutherford</v>
      </c>
      <c r="M7" s="34"/>
      <c r="N7" s="37">
        <f ca="1">IFERROR(__xludf.DUMMYFUNCTION("""COMPUTED_VALUE"""),55)</f>
        <v>55</v>
      </c>
      <c r="O7" s="34">
        <f ca="1">IFERROR(__xludf.DUMMYFUNCTION("""COMPUTED_VALUE"""),750)</f>
        <v>750</v>
      </c>
      <c r="P7" s="34" t="str">
        <f ca="1">IFERROR(__xludf.DUMMYFUNCTION("""COMPUTED_VALUE"""),"Short")</f>
        <v>Short</v>
      </c>
      <c r="Q7" s="34" t="str">
        <f ca="1">IFERROR(__xludf.DUMMYFUNCTION("""COMPUTED_VALUE"""),"M6")</f>
        <v>M6</v>
      </c>
      <c r="R7" s="34"/>
      <c r="S7" s="34" t="b">
        <f ca="1">IFERROR(__xludf.DUMMYFUNCTION("""COMPUTED_VALUE"""),FALSE)</f>
        <v>0</v>
      </c>
      <c r="T7" s="34" t="b">
        <f ca="1">IFERROR(__xludf.DUMMYFUNCTION("""COMPUTED_VALUE"""),FALSE)</f>
        <v>0</v>
      </c>
      <c r="U7" s="34" t="b">
        <f ca="1">IFERROR(__xludf.DUMMYFUNCTION("""COMPUTED_VALUE"""),FALSE)</f>
        <v>0</v>
      </c>
      <c r="V7" s="34" t="b">
        <f ca="1">IFERROR(__xludf.DUMMYFUNCTION("""COMPUTED_VALUE"""),FALSE)</f>
        <v>0</v>
      </c>
      <c r="W7" s="34" t="b">
        <f ca="1">IFERROR(__xludf.DUMMYFUNCTION("""COMPUTED_VALUE"""),TRUE)</f>
        <v>1</v>
      </c>
    </row>
    <row r="8" spans="1:23" x14ac:dyDescent="0.2">
      <c r="A8" s="34" t="str">
        <f ca="1">IFERROR(__xludf.DUMMYFUNCTION("""COMPUTED_VALUE"""),"R")</f>
        <v>R</v>
      </c>
      <c r="B8" s="34" t="str">
        <f ca="1">IFERROR(__xludf.DUMMYFUNCTION("""COMPUTED_VALUE"""),"Red")</f>
        <v>Red</v>
      </c>
      <c r="C8" s="34">
        <f ca="1">IFERROR(__xludf.DUMMYFUNCTION("""COMPUTED_VALUE"""),1)</f>
        <v>1</v>
      </c>
      <c r="D8" s="34">
        <f ca="1">IFERROR(__xludf.DUMMYFUNCTION("""COMPUTED_VALUE"""),2013)</f>
        <v>2013</v>
      </c>
      <c r="E8" s="34" t="str">
        <f ca="1">IFERROR(__xludf.DUMMYFUNCTION("""COMPUTED_VALUE"""),"Pax Wines")</f>
        <v>Pax Wines</v>
      </c>
      <c r="F8" s="34" t="str">
        <f ca="1">IFERROR(__xludf.DUMMYFUNCTION("""COMPUTED_VALUE"""),"Griffins Lair Vineyard - Sonoma Coast")</f>
        <v>Griffins Lair Vineyard - Sonoma Coast</v>
      </c>
      <c r="G8" s="34" t="str">
        <f ca="1">IFERROR(__xludf.DUMMYFUNCTION("""COMPUTED_VALUE"""),"Syrah")</f>
        <v>Syrah</v>
      </c>
      <c r="H8" s="34" t="str">
        <f ca="1">IFERROR(__xludf.DUMMYFUNCTION("""COMPUTED_VALUE"""),"USA")</f>
        <v>USA</v>
      </c>
      <c r="I8" s="34" t="str">
        <f ca="1">IFERROR(__xludf.DUMMYFUNCTION("""COMPUTED_VALUE"""),"CA")</f>
        <v>CA</v>
      </c>
      <c r="J8" s="34" t="str">
        <f ca="1">IFERROR(__xludf.DUMMYFUNCTION("""COMPUTED_VALUE"""),"Northern CA")</f>
        <v>Northern CA</v>
      </c>
      <c r="K8" s="34" t="str">
        <f ca="1">IFERROR(__xludf.DUMMYFUNCTION("""COMPUTED_VALUE"""),"Sonoma Coast")</f>
        <v>Sonoma Coast</v>
      </c>
      <c r="L8" s="34"/>
      <c r="M8" s="34" t="str">
        <f ca="1">IFERROR(__xludf.DUMMYFUNCTION("""COMPUTED_VALUE"""),"Griffins Lair Vineyard")</f>
        <v>Griffins Lair Vineyard</v>
      </c>
      <c r="N8" s="37">
        <f ca="1">IFERROR(__xludf.DUMMYFUNCTION("""COMPUTED_VALUE"""),50)</f>
        <v>50</v>
      </c>
      <c r="O8" s="34">
        <f ca="1">IFERROR(__xludf.DUMMYFUNCTION("""COMPUTED_VALUE"""),750)</f>
        <v>750</v>
      </c>
      <c r="P8" s="34" t="str">
        <f ca="1">IFERROR(__xludf.DUMMYFUNCTION("""COMPUTED_VALUE"""),"Short")</f>
        <v>Short</v>
      </c>
      <c r="Q8" s="34" t="str">
        <f ca="1">IFERROR(__xludf.DUMMYFUNCTION("""COMPUTED_VALUE"""),"M/S2")</f>
        <v>M/S2</v>
      </c>
      <c r="R8" s="34"/>
      <c r="S8" s="34" t="b">
        <f ca="1">IFERROR(__xludf.DUMMYFUNCTION("""COMPUTED_VALUE"""),TRUE)</f>
        <v>1</v>
      </c>
      <c r="T8" s="34" t="b">
        <f ca="1">IFERROR(__xludf.DUMMYFUNCTION("""COMPUTED_VALUE"""),TRUE)</f>
        <v>1</v>
      </c>
      <c r="U8" s="34" t="b">
        <f ca="1">IFERROR(__xludf.DUMMYFUNCTION("""COMPUTED_VALUE"""),FALSE)</f>
        <v>0</v>
      </c>
      <c r="V8" s="34" t="b">
        <f ca="1">IFERROR(__xludf.DUMMYFUNCTION("""COMPUTED_VALUE"""),TRUE)</f>
        <v>1</v>
      </c>
      <c r="W8" s="34" t="b">
        <f ca="1">IFERROR(__xludf.DUMMYFUNCTION("""COMPUTED_VALUE"""),TRUE)</f>
        <v>1</v>
      </c>
    </row>
    <row r="9" spans="1:23" x14ac:dyDescent="0.2">
      <c r="A9" s="34" t="str">
        <f ca="1">IFERROR(__xludf.DUMMYFUNCTION("""COMPUTED_VALUE"""),"R")</f>
        <v>R</v>
      </c>
      <c r="B9" s="34" t="str">
        <f ca="1">IFERROR(__xludf.DUMMYFUNCTION("""COMPUTED_VALUE"""),"Red")</f>
        <v>Red</v>
      </c>
      <c r="C9" s="34">
        <f ca="1">IFERROR(__xludf.DUMMYFUNCTION("""COMPUTED_VALUE"""),1)</f>
        <v>1</v>
      </c>
      <c r="D9" s="34">
        <f ca="1">IFERROR(__xludf.DUMMYFUNCTION("""COMPUTED_VALUE"""),2005)</f>
        <v>2005</v>
      </c>
      <c r="E9" s="34" t="str">
        <f ca="1">IFERROR(__xludf.DUMMYFUNCTION("""COMPUTED_VALUE"""),"Domaine Grand Veneur")</f>
        <v>Domaine Grand Veneur</v>
      </c>
      <c r="F9" s="34" t="str">
        <f ca="1">IFERROR(__xludf.DUMMYFUNCTION("""COMPUTED_VALUE"""),"Chateauneuf Du Pape Blend")</f>
        <v>Chateauneuf Du Pape Blend</v>
      </c>
      <c r="G9" s="34" t="str">
        <f ca="1">IFERROR(__xludf.DUMMYFUNCTION("""COMPUTED_VALUE"""),"Rhone Blend")</f>
        <v>Rhone Blend</v>
      </c>
      <c r="H9" s="34" t="str">
        <f ca="1">IFERROR(__xludf.DUMMYFUNCTION("""COMPUTED_VALUE"""),"France")</f>
        <v>France</v>
      </c>
      <c r="I9" s="34"/>
      <c r="J9" s="34" t="str">
        <f ca="1">IFERROR(__xludf.DUMMYFUNCTION("""COMPUTED_VALUE"""),"Southern Rhone")</f>
        <v>Southern Rhone</v>
      </c>
      <c r="K9" s="34" t="str">
        <f ca="1">IFERROR(__xludf.DUMMYFUNCTION("""COMPUTED_VALUE"""),"Chateauneuf Du Pape")</f>
        <v>Chateauneuf Du Pape</v>
      </c>
      <c r="L9" s="34"/>
      <c r="M9" s="34"/>
      <c r="N9" s="37">
        <f ca="1">IFERROR(__xludf.DUMMYFUNCTION("""COMPUTED_VALUE"""),65)</f>
        <v>65</v>
      </c>
      <c r="O9" s="34">
        <f ca="1">IFERROR(__xludf.DUMMYFUNCTION("""COMPUTED_VALUE"""),1500)</f>
        <v>1500</v>
      </c>
      <c r="P9" s="34" t="str">
        <f ca="1">IFERROR(__xludf.DUMMYFUNCTION("""COMPUTED_VALUE"""),"Now")</f>
        <v>Now</v>
      </c>
      <c r="Q9" s="34" t="str">
        <f ca="1">IFERROR(__xludf.DUMMYFUNCTION("""COMPUTED_VALUE"""),"MA1")</f>
        <v>MA1</v>
      </c>
      <c r="R9" s="34" t="str">
        <f ca="1">IFERROR(__xludf.DUMMYFUNCTION("""COMPUTED_VALUE"""),"excellent. buy from this producer again April 2022")</f>
        <v>excellent. buy from this producer again April 2022</v>
      </c>
      <c r="S9" s="34" t="b">
        <f ca="1">IFERROR(__xludf.DUMMYFUNCTION("""COMPUTED_VALUE"""),TRUE)</f>
        <v>1</v>
      </c>
      <c r="T9" s="34" t="b">
        <f ca="1">IFERROR(__xludf.DUMMYFUNCTION("""COMPUTED_VALUE"""),TRUE)</f>
        <v>1</v>
      </c>
      <c r="U9" s="34" t="b">
        <f ca="1">IFERROR(__xludf.DUMMYFUNCTION("""COMPUTED_VALUE"""),FALSE)</f>
        <v>0</v>
      </c>
      <c r="V9" s="34" t="b">
        <f ca="1">IFERROR(__xludf.DUMMYFUNCTION("""COMPUTED_VALUE"""),FALSE)</f>
        <v>0</v>
      </c>
      <c r="W9" s="34" t="b">
        <f ca="1">IFERROR(__xludf.DUMMYFUNCTION("""COMPUTED_VALUE"""),FALSE)</f>
        <v>0</v>
      </c>
    </row>
    <row r="10" spans="1:23" x14ac:dyDescent="0.2">
      <c r="A10" s="34" t="str">
        <f ca="1">IFERROR(__xludf.DUMMYFUNCTION("""COMPUTED_VALUE"""),"R")</f>
        <v>R</v>
      </c>
      <c r="B10" s="34" t="str">
        <f ca="1">IFERROR(__xludf.DUMMYFUNCTION("""COMPUTED_VALUE"""),"Sparkling")</f>
        <v>Sparkling</v>
      </c>
      <c r="C10" s="34">
        <f ca="1">IFERROR(__xludf.DUMMYFUNCTION("""COMPUTED_VALUE"""),1)</f>
        <v>1</v>
      </c>
      <c r="D10" s="34">
        <f ca="1">IFERROR(__xludf.DUMMYFUNCTION("""COMPUTED_VALUE"""),2008)</f>
        <v>2008</v>
      </c>
      <c r="E10" s="34" t="str">
        <f ca="1">IFERROR(__xludf.DUMMYFUNCTION("""COMPUTED_VALUE"""),"Gloria Ferrer")</f>
        <v>Gloria Ferrer</v>
      </c>
      <c r="F10" s="34" t="str">
        <f ca="1">IFERROR(__xludf.DUMMYFUNCTION("""COMPUTED_VALUE"""),"Carneros Cuvee")</f>
        <v>Carneros Cuvee</v>
      </c>
      <c r="G10" s="34" t="str">
        <f ca="1">IFERROR(__xludf.DUMMYFUNCTION("""COMPUTED_VALUE"""),"Other")</f>
        <v>Other</v>
      </c>
      <c r="H10" s="34" t="str">
        <f ca="1">IFERROR(__xludf.DUMMYFUNCTION("""COMPUTED_VALUE"""),"USA")</f>
        <v>USA</v>
      </c>
      <c r="I10" s="34" t="str">
        <f ca="1">IFERROR(__xludf.DUMMYFUNCTION("""COMPUTED_VALUE"""),"CA")</f>
        <v>CA</v>
      </c>
      <c r="J10" s="34" t="str">
        <f ca="1">IFERROR(__xludf.DUMMYFUNCTION("""COMPUTED_VALUE"""),"Northern CA")</f>
        <v>Northern CA</v>
      </c>
      <c r="K10" s="34"/>
      <c r="L10" s="34"/>
      <c r="M10" s="34"/>
      <c r="N10" s="37">
        <f ca="1">IFERROR(__xludf.DUMMYFUNCTION("""COMPUTED_VALUE"""),80)</f>
        <v>80</v>
      </c>
      <c r="O10" s="34">
        <f ca="1">IFERROR(__xludf.DUMMYFUNCTION("""COMPUTED_VALUE"""),750)</f>
        <v>750</v>
      </c>
      <c r="P10" s="34" t="str">
        <f ca="1">IFERROR(__xludf.DUMMYFUNCTION("""COMPUTED_VALUE"""),"Short")</f>
        <v>Short</v>
      </c>
      <c r="Q10" s="34" t="str">
        <f ca="1">IFERROR(__xludf.DUMMYFUNCTION("""COMPUTED_VALUE"""),"Krug ")</f>
        <v xml:space="preserve">Krug </v>
      </c>
      <c r="R10" s="34"/>
      <c r="S10" s="34" t="b">
        <f ca="1">IFERROR(__xludf.DUMMYFUNCTION("""COMPUTED_VALUE"""),TRUE)</f>
        <v>1</v>
      </c>
      <c r="T10" s="34" t="b">
        <f ca="1">IFERROR(__xludf.DUMMYFUNCTION("""COMPUTED_VALUE"""),TRUE)</f>
        <v>1</v>
      </c>
      <c r="U10" s="34" t="b">
        <f ca="1">IFERROR(__xludf.DUMMYFUNCTION("""COMPUTED_VALUE"""),FALSE)</f>
        <v>0</v>
      </c>
      <c r="V10" s="34" t="b">
        <f ca="1">IFERROR(__xludf.DUMMYFUNCTION("""COMPUTED_VALUE"""),FALSE)</f>
        <v>0</v>
      </c>
      <c r="W10" s="34" t="b">
        <f ca="1">IFERROR(__xludf.DUMMYFUNCTION("""COMPUTED_VALUE"""),FALSE)</f>
        <v>0</v>
      </c>
    </row>
    <row r="11" spans="1:23" x14ac:dyDescent="0.2">
      <c r="A11" s="34" t="str">
        <f ca="1">IFERROR(__xludf.DUMMYFUNCTION("""COMPUTED_VALUE"""),"R")</f>
        <v>R</v>
      </c>
      <c r="B11" s="34" t="str">
        <f ca="1">IFERROR(__xludf.DUMMYFUNCTION("""COMPUTED_VALUE"""),"Red")</f>
        <v>Red</v>
      </c>
      <c r="C11" s="34">
        <f ca="1">IFERROR(__xludf.DUMMYFUNCTION("""COMPUTED_VALUE"""),2)</f>
        <v>2</v>
      </c>
      <c r="D11" s="34">
        <f ca="1">IFERROR(__xludf.DUMMYFUNCTION("""COMPUTED_VALUE"""),2014)</f>
        <v>2014</v>
      </c>
      <c r="E11" s="34" t="str">
        <f ca="1">IFERROR(__xludf.DUMMYFUNCTION("""COMPUTED_VALUE"""),"Andrew Will Winery")</f>
        <v>Andrew Will Winery</v>
      </c>
      <c r="F11" s="34" t="str">
        <f ca="1">IFERROR(__xludf.DUMMYFUNCTION("""COMPUTED_VALUE"""),"Sorella")</f>
        <v>Sorella</v>
      </c>
      <c r="G11" s="34" t="str">
        <f ca="1">IFERROR(__xludf.DUMMYFUNCTION("""COMPUTED_VALUE"""),"Bordeaux Blend - Left Bank")</f>
        <v>Bordeaux Blend - Left Bank</v>
      </c>
      <c r="H11" s="34" t="str">
        <f ca="1">IFERROR(__xludf.DUMMYFUNCTION("""COMPUTED_VALUE"""),"USA")</f>
        <v>USA</v>
      </c>
      <c r="I11" s="34" t="str">
        <f ca="1">IFERROR(__xludf.DUMMYFUNCTION("""COMPUTED_VALUE"""),"WA")</f>
        <v>WA</v>
      </c>
      <c r="J11" s="34" t="str">
        <f ca="1">IFERROR(__xludf.DUMMYFUNCTION("""COMPUTED_VALUE"""),"Columbia Valley")</f>
        <v>Columbia Valley</v>
      </c>
      <c r="K11" s="34" t="str">
        <f ca="1">IFERROR(__xludf.DUMMYFUNCTION("""COMPUTED_VALUE"""),"Horse Heaven Hills")</f>
        <v>Horse Heaven Hills</v>
      </c>
      <c r="L11" s="34" t="str">
        <f ca="1">IFERROR(__xludf.DUMMYFUNCTION("""COMPUTED_VALUE"""),"Horse Heaven Hills")</f>
        <v>Horse Heaven Hills</v>
      </c>
      <c r="M11" s="34" t="str">
        <f ca="1">IFERROR(__xludf.DUMMYFUNCTION("""COMPUTED_VALUE"""),"Champoux Vineyard ")</f>
        <v xml:space="preserve">Champoux Vineyard </v>
      </c>
      <c r="N11" s="37">
        <f ca="1">IFERROR(__xludf.DUMMYFUNCTION("""COMPUTED_VALUE"""),110)</f>
        <v>110</v>
      </c>
      <c r="O11" s="34">
        <f ca="1">IFERROR(__xludf.DUMMYFUNCTION("""COMPUTED_VALUE"""),750)</f>
        <v>750</v>
      </c>
      <c r="P11" s="34" t="str">
        <f ca="1">IFERROR(__xludf.DUMMYFUNCTION("""COMPUTED_VALUE"""),"Short")</f>
        <v>Short</v>
      </c>
      <c r="Q11" s="34" t="str">
        <f ca="1">IFERROR(__xludf.DUMMYFUNCTION("""COMPUTED_VALUE"""),"Andrew Will OWC")</f>
        <v>Andrew Will OWC</v>
      </c>
      <c r="R11" s="34"/>
      <c r="S11" s="34" t="b">
        <f ca="1">IFERROR(__xludf.DUMMYFUNCTION("""COMPUTED_VALUE"""),TRUE)</f>
        <v>1</v>
      </c>
      <c r="T11" s="34" t="b">
        <f ca="1">IFERROR(__xludf.DUMMYFUNCTION("""COMPUTED_VALUE"""),TRUE)</f>
        <v>1</v>
      </c>
      <c r="U11" s="34" t="b">
        <f ca="1">IFERROR(__xludf.DUMMYFUNCTION("""COMPUTED_VALUE"""),FALSE)</f>
        <v>0</v>
      </c>
      <c r="V11" s="34" t="b">
        <f ca="1">IFERROR(__xludf.DUMMYFUNCTION("""COMPUTED_VALUE"""),FALSE)</f>
        <v>0</v>
      </c>
      <c r="W11" s="34" t="b">
        <f ca="1">IFERROR(__xludf.DUMMYFUNCTION("""COMPUTED_VALUE"""),FALSE)</f>
        <v>0</v>
      </c>
    </row>
    <row r="12" spans="1:23" x14ac:dyDescent="0.2">
      <c r="A12" s="34" t="str">
        <f ca="1">IFERROR(__xludf.DUMMYFUNCTION("""COMPUTED_VALUE"""),"R")</f>
        <v>R</v>
      </c>
      <c r="B12" s="34" t="str">
        <f ca="1">IFERROR(__xludf.DUMMYFUNCTION("""COMPUTED_VALUE"""),"Red")</f>
        <v>Red</v>
      </c>
      <c r="C12" s="34">
        <f ca="1">IFERROR(__xludf.DUMMYFUNCTION("""COMPUTED_VALUE"""),1)</f>
        <v>1</v>
      </c>
      <c r="D12" s="34">
        <f ca="1">IFERROR(__xludf.DUMMYFUNCTION("""COMPUTED_VALUE"""),2014)</f>
        <v>2014</v>
      </c>
      <c r="E12" s="34" t="str">
        <f ca="1">IFERROR(__xludf.DUMMYFUNCTION("""COMPUTED_VALUE"""),"Trinite Estate")</f>
        <v>Trinite Estate</v>
      </c>
      <c r="F12" s="34" t="str">
        <f ca="1">IFERROR(__xludf.DUMMYFUNCTION("""COMPUTED_VALUE"""),"Amaino")</f>
        <v>Amaino</v>
      </c>
      <c r="G12" s="34" t="str">
        <f ca="1">IFERROR(__xludf.DUMMYFUNCTION("""COMPUTED_VALUE"""),"Bordeaux Blend - Left Bank")</f>
        <v>Bordeaux Blend - Left Bank</v>
      </c>
      <c r="H12" s="34" t="str">
        <f ca="1">IFERROR(__xludf.DUMMYFUNCTION("""COMPUTED_VALUE"""),"USA")</f>
        <v>USA</v>
      </c>
      <c r="I12" s="34" t="str">
        <f ca="1">IFERROR(__xludf.DUMMYFUNCTION("""COMPUTED_VALUE"""),"CA")</f>
        <v>CA</v>
      </c>
      <c r="J12" s="34" t="str">
        <f ca="1">IFERROR(__xludf.DUMMYFUNCTION("""COMPUTED_VALUE"""),"Northern CA")</f>
        <v>Northern CA</v>
      </c>
      <c r="K12" s="34" t="str">
        <f ca="1">IFERROR(__xludf.DUMMYFUNCTION("""COMPUTED_VALUE"""),"Sonoma County")</f>
        <v>Sonoma County</v>
      </c>
      <c r="L12" s="34"/>
      <c r="M12" s="34"/>
      <c r="N12" s="37">
        <f ca="1">IFERROR(__xludf.DUMMYFUNCTION("""COMPUTED_VALUE"""),50)</f>
        <v>50</v>
      </c>
      <c r="O12" s="34">
        <f ca="1">IFERROR(__xludf.DUMMYFUNCTION("""COMPUTED_VALUE"""),750)</f>
        <v>750</v>
      </c>
      <c r="P12" s="34" t="str">
        <f ca="1">IFERROR(__xludf.DUMMYFUNCTION("""COMPUTED_VALUE"""),"Short")</f>
        <v>Short</v>
      </c>
      <c r="Q12" s="34" t="str">
        <f ca="1">IFERROR(__xludf.DUMMYFUNCTION("""COMPUTED_VALUE"""),"S2")</f>
        <v>S2</v>
      </c>
      <c r="R12" s="34"/>
      <c r="S12" s="34" t="b">
        <f ca="1">IFERROR(__xludf.DUMMYFUNCTION("""COMPUTED_VALUE"""),FALSE)</f>
        <v>0</v>
      </c>
      <c r="T12" s="34" t="b">
        <f ca="1">IFERROR(__xludf.DUMMYFUNCTION("""COMPUTED_VALUE"""),FALSE)</f>
        <v>0</v>
      </c>
      <c r="U12" s="34" t="b">
        <f ca="1">IFERROR(__xludf.DUMMYFUNCTION("""COMPUTED_VALUE"""),TRUE)</f>
        <v>1</v>
      </c>
      <c r="V12" s="34" t="b">
        <f ca="1">IFERROR(__xludf.DUMMYFUNCTION("""COMPUTED_VALUE"""),FALSE)</f>
        <v>0</v>
      </c>
      <c r="W12" s="34" t="b">
        <f ca="1">IFERROR(__xludf.DUMMYFUNCTION("""COMPUTED_VALUE"""),TRUE)</f>
        <v>1</v>
      </c>
    </row>
    <row r="13" spans="1:23" x14ac:dyDescent="0.2">
      <c r="A13" s="34" t="str">
        <f ca="1">IFERROR(__xludf.DUMMYFUNCTION("""COMPUTED_VALUE"""),"R")</f>
        <v>R</v>
      </c>
      <c r="B13" s="34" t="str">
        <f ca="1">IFERROR(__xludf.DUMMYFUNCTION("""COMPUTED_VALUE"""),"Red")</f>
        <v>Red</v>
      </c>
      <c r="C13" s="34">
        <f ca="1">IFERROR(__xludf.DUMMYFUNCTION("""COMPUTED_VALUE"""),1)</f>
        <v>1</v>
      </c>
      <c r="D13" s="34">
        <f ca="1">IFERROR(__xludf.DUMMYFUNCTION("""COMPUTED_VALUE"""),2014)</f>
        <v>2014</v>
      </c>
      <c r="E13" s="34" t="str">
        <f ca="1">IFERROR(__xludf.DUMMYFUNCTION("""COMPUTED_VALUE"""),"Trinite Estate")</f>
        <v>Trinite Estate</v>
      </c>
      <c r="F13" s="34" t="str">
        <f ca="1">IFERROR(__xludf.DUMMYFUNCTION("""COMPUTED_VALUE"""),"Amaino")</f>
        <v>Amaino</v>
      </c>
      <c r="G13" s="34" t="str">
        <f ca="1">IFERROR(__xludf.DUMMYFUNCTION("""COMPUTED_VALUE"""),"Bordeaux Blend - Left Bank")</f>
        <v>Bordeaux Blend - Left Bank</v>
      </c>
      <c r="H13" s="34" t="str">
        <f ca="1">IFERROR(__xludf.DUMMYFUNCTION("""COMPUTED_VALUE"""),"USA")</f>
        <v>USA</v>
      </c>
      <c r="I13" s="34" t="str">
        <f ca="1">IFERROR(__xludf.DUMMYFUNCTION("""COMPUTED_VALUE"""),"CA")</f>
        <v>CA</v>
      </c>
      <c r="J13" s="34" t="str">
        <f ca="1">IFERROR(__xludf.DUMMYFUNCTION("""COMPUTED_VALUE"""),"Northern CA")</f>
        <v>Northern CA</v>
      </c>
      <c r="K13" s="34" t="str">
        <f ca="1">IFERROR(__xludf.DUMMYFUNCTION("""COMPUTED_VALUE"""),"Sonoma County")</f>
        <v>Sonoma County</v>
      </c>
      <c r="L13" s="34"/>
      <c r="M13" s="34"/>
      <c r="N13" s="37">
        <f ca="1">IFERROR(__xludf.DUMMYFUNCTION("""COMPUTED_VALUE"""),50)</f>
        <v>50</v>
      </c>
      <c r="O13" s="34">
        <f ca="1">IFERROR(__xludf.DUMMYFUNCTION("""COMPUTED_VALUE"""),750)</f>
        <v>750</v>
      </c>
      <c r="P13" s="34" t="str">
        <f ca="1">IFERROR(__xludf.DUMMYFUNCTION("""COMPUTED_VALUE"""),"Short")</f>
        <v>Short</v>
      </c>
      <c r="Q13" s="34" t="str">
        <f ca="1">IFERROR(__xludf.DUMMYFUNCTION("""COMPUTED_VALUE"""),"M/S1")</f>
        <v>M/S1</v>
      </c>
      <c r="R13" s="34"/>
      <c r="S13" s="34" t="b">
        <f ca="1">IFERROR(__xludf.DUMMYFUNCTION("""COMPUTED_VALUE"""),TRUE)</f>
        <v>1</v>
      </c>
      <c r="T13" s="34" t="b">
        <f ca="1">IFERROR(__xludf.DUMMYFUNCTION("""COMPUTED_VALUE"""),TRUE)</f>
        <v>1</v>
      </c>
      <c r="U13" s="34" t="b">
        <f ca="1">IFERROR(__xludf.DUMMYFUNCTION("""COMPUTED_VALUE"""),FALSE)</f>
        <v>0</v>
      </c>
      <c r="V13" s="34" t="b">
        <f ca="1">IFERROR(__xludf.DUMMYFUNCTION("""COMPUTED_VALUE"""),FALSE)</f>
        <v>0</v>
      </c>
      <c r="W13" s="34" t="b">
        <f ca="1">IFERROR(__xludf.DUMMYFUNCTION("""COMPUTED_VALUE"""),TRUE)</f>
        <v>1</v>
      </c>
    </row>
    <row r="14" spans="1:23" x14ac:dyDescent="0.2">
      <c r="A14" s="34" t="str">
        <f ca="1">IFERROR(__xludf.DUMMYFUNCTION("""COMPUTED_VALUE"""),"R")</f>
        <v>R</v>
      </c>
      <c r="B14" s="34" t="str">
        <f ca="1">IFERROR(__xludf.DUMMYFUNCTION("""COMPUTED_VALUE"""),"Red")</f>
        <v>Red</v>
      </c>
      <c r="C14" s="34">
        <f ca="1">IFERROR(__xludf.DUMMYFUNCTION("""COMPUTED_VALUE"""),1)</f>
        <v>1</v>
      </c>
      <c r="D14" s="34">
        <f ca="1">IFERROR(__xludf.DUMMYFUNCTION("""COMPUTED_VALUE"""),2014)</f>
        <v>2014</v>
      </c>
      <c r="E14" s="34" t="str">
        <f ca="1">IFERROR(__xludf.DUMMYFUNCTION("""COMPUTED_VALUE"""),"Trinite Estate")</f>
        <v>Trinite Estate</v>
      </c>
      <c r="F14" s="34" t="str">
        <f ca="1">IFERROR(__xludf.DUMMYFUNCTION("""COMPUTED_VALUE"""),"Amaino")</f>
        <v>Amaino</v>
      </c>
      <c r="G14" s="34" t="str">
        <f ca="1">IFERROR(__xludf.DUMMYFUNCTION("""COMPUTED_VALUE"""),"Bordeaux Blend - Left Bank")</f>
        <v>Bordeaux Blend - Left Bank</v>
      </c>
      <c r="H14" s="34" t="str">
        <f ca="1">IFERROR(__xludf.DUMMYFUNCTION("""COMPUTED_VALUE"""),"USA")</f>
        <v>USA</v>
      </c>
      <c r="I14" s="34" t="str">
        <f ca="1">IFERROR(__xludf.DUMMYFUNCTION("""COMPUTED_VALUE"""),"CA")</f>
        <v>CA</v>
      </c>
      <c r="J14" s="34" t="str">
        <f ca="1">IFERROR(__xludf.DUMMYFUNCTION("""COMPUTED_VALUE"""),"Northern CA")</f>
        <v>Northern CA</v>
      </c>
      <c r="K14" s="34" t="str">
        <f ca="1">IFERROR(__xludf.DUMMYFUNCTION("""COMPUTED_VALUE"""),"Sonoma")</f>
        <v>Sonoma</v>
      </c>
      <c r="L14" s="34"/>
      <c r="M14" s="34"/>
      <c r="N14" s="37">
        <f ca="1">IFERROR(__xludf.DUMMYFUNCTION("""COMPUTED_VALUE"""),40)</f>
        <v>40</v>
      </c>
      <c r="O14" s="34">
        <f ca="1">IFERROR(__xludf.DUMMYFUNCTION("""COMPUTED_VALUE"""),750)</f>
        <v>750</v>
      </c>
      <c r="P14" s="34" t="str">
        <f ca="1">IFERROR(__xludf.DUMMYFUNCTION("""COMPUTED_VALUE"""),"Now")</f>
        <v>Now</v>
      </c>
      <c r="Q14" s="34" t="str">
        <f ca="1">IFERROR(__xludf.DUMMYFUNCTION("""COMPUTED_VALUE"""),"Domaine Wine Storage ")</f>
        <v xml:space="preserve">Domaine Wine Storage </v>
      </c>
      <c r="R14" s="34"/>
      <c r="S14" s="34" t="b">
        <f ca="1">IFERROR(__xludf.DUMMYFUNCTION("""COMPUTED_VALUE"""),FALSE)</f>
        <v>0</v>
      </c>
      <c r="T14" s="34" t="b">
        <f ca="1">IFERROR(__xludf.DUMMYFUNCTION("""COMPUTED_VALUE"""),FALSE)</f>
        <v>0</v>
      </c>
      <c r="U14" s="34" t="b">
        <f ca="1">IFERROR(__xludf.DUMMYFUNCTION("""COMPUTED_VALUE"""),FALSE)</f>
        <v>0</v>
      </c>
      <c r="V14" s="34" t="b">
        <f ca="1">IFERROR(__xludf.DUMMYFUNCTION("""COMPUTED_VALUE"""),FALSE)</f>
        <v>0</v>
      </c>
      <c r="W14" s="34" t="b">
        <f ca="1">IFERROR(__xludf.DUMMYFUNCTION("""COMPUTED_VALUE"""),TRUE)</f>
        <v>1</v>
      </c>
    </row>
    <row r="15" spans="1:23" x14ac:dyDescent="0.2">
      <c r="A15" s="34" t="str">
        <f ca="1">IFERROR(__xludf.DUMMYFUNCTION("""COMPUTED_VALUE"""),"R")</f>
        <v>R</v>
      </c>
      <c r="B15" s="34" t="str">
        <f ca="1">IFERROR(__xludf.DUMMYFUNCTION("""COMPUTED_VALUE"""),"Red")</f>
        <v>Red</v>
      </c>
      <c r="C15" s="34">
        <f ca="1">IFERROR(__xludf.DUMMYFUNCTION("""COMPUTED_VALUE"""),1)</f>
        <v>1</v>
      </c>
      <c r="D15" s="34">
        <f ca="1">IFERROR(__xludf.DUMMYFUNCTION("""COMPUTED_VALUE"""),2014)</f>
        <v>2014</v>
      </c>
      <c r="E15" s="34" t="str">
        <f ca="1">IFERROR(__xludf.DUMMYFUNCTION("""COMPUTED_VALUE"""),"Grgich Hills")</f>
        <v>Grgich Hills</v>
      </c>
      <c r="F15" s="34" t="str">
        <f ca="1">IFERROR(__xludf.DUMMYFUNCTION("""COMPUTED_VALUE"""),"Old Vine Cab Sauv")</f>
        <v>Old Vine Cab Sauv</v>
      </c>
      <c r="G15" s="34" t="str">
        <f ca="1">IFERROR(__xludf.DUMMYFUNCTION("""COMPUTED_VALUE"""),"Cabernet Sauvignon")</f>
        <v>Cabernet Sauvignon</v>
      </c>
      <c r="H15" s="34" t="str">
        <f ca="1">IFERROR(__xludf.DUMMYFUNCTION("""COMPUTED_VALUE"""),"USA")</f>
        <v>USA</v>
      </c>
      <c r="I15" s="34" t="str">
        <f ca="1">IFERROR(__xludf.DUMMYFUNCTION("""COMPUTED_VALUE"""),"CA")</f>
        <v>CA</v>
      </c>
      <c r="J15" s="34" t="str">
        <f ca="1">IFERROR(__xludf.DUMMYFUNCTION("""COMPUTED_VALUE"""),"Northern CA")</f>
        <v>Northern CA</v>
      </c>
      <c r="K15" s="34" t="str">
        <f ca="1">IFERROR(__xludf.DUMMYFUNCTION("""COMPUTED_VALUE"""),"Napa Valley")</f>
        <v>Napa Valley</v>
      </c>
      <c r="L15" s="34"/>
      <c r="M15" s="34"/>
      <c r="N15" s="37">
        <f ca="1">IFERROR(__xludf.DUMMYFUNCTION("""COMPUTED_VALUE"""),150)</f>
        <v>150</v>
      </c>
      <c r="O15" s="34">
        <f ca="1">IFERROR(__xludf.DUMMYFUNCTION("""COMPUTED_VALUE"""),750)</f>
        <v>750</v>
      </c>
      <c r="P15" s="34" t="str">
        <f ca="1">IFERROR(__xludf.DUMMYFUNCTION("""COMPUTED_VALUE"""),"Short")</f>
        <v>Short</v>
      </c>
      <c r="Q15" s="34" t="str">
        <f ca="1">IFERROR(__xludf.DUMMYFUNCTION("""COMPUTED_VALUE"""),"S2")</f>
        <v>S2</v>
      </c>
      <c r="R15" s="34"/>
      <c r="S15" s="34" t="b">
        <f ca="1">IFERROR(__xludf.DUMMYFUNCTION("""COMPUTED_VALUE"""),TRUE)</f>
        <v>1</v>
      </c>
      <c r="T15" s="34" t="b">
        <f ca="1">IFERROR(__xludf.DUMMYFUNCTION("""COMPUTED_VALUE"""),FALSE)</f>
        <v>0</v>
      </c>
      <c r="U15" s="34" t="b">
        <f ca="1">IFERROR(__xludf.DUMMYFUNCTION("""COMPUTED_VALUE"""),FALSE)</f>
        <v>0</v>
      </c>
      <c r="V15" s="34" t="b">
        <f ca="1">IFERROR(__xludf.DUMMYFUNCTION("""COMPUTED_VALUE"""),TRUE)</f>
        <v>1</v>
      </c>
      <c r="W15" s="34" t="b">
        <f ca="1">IFERROR(__xludf.DUMMYFUNCTION("""COMPUTED_VALUE"""),FALSE)</f>
        <v>0</v>
      </c>
    </row>
    <row r="16" spans="1:23" x14ac:dyDescent="0.2">
      <c r="A16" s="34" t="str">
        <f ca="1">IFERROR(__xludf.DUMMYFUNCTION("""COMPUTED_VALUE"""),"R")</f>
        <v>R</v>
      </c>
      <c r="B16" s="34" t="str">
        <f ca="1">IFERROR(__xludf.DUMMYFUNCTION("""COMPUTED_VALUE"""),"Red")</f>
        <v>Red</v>
      </c>
      <c r="C16" s="34">
        <f ca="1">IFERROR(__xludf.DUMMYFUNCTION("""COMPUTED_VALUE"""),1)</f>
        <v>1</v>
      </c>
      <c r="D16" s="34">
        <f ca="1">IFERROR(__xludf.DUMMYFUNCTION("""COMPUTED_VALUE"""),2013)</f>
        <v>2013</v>
      </c>
      <c r="E16" s="34" t="str">
        <f ca="1">IFERROR(__xludf.DUMMYFUNCTION("""COMPUTED_VALUE"""),"Trinite Estate")</f>
        <v>Trinite Estate</v>
      </c>
      <c r="F16" s="34" t="str">
        <f ca="1">IFERROR(__xludf.DUMMYFUNCTION("""COMPUTED_VALUE"""),"Acaibo")</f>
        <v>Acaibo</v>
      </c>
      <c r="G16" s="34" t="str">
        <f ca="1">IFERROR(__xludf.DUMMYFUNCTION("""COMPUTED_VALUE"""),"Bordeaux Blend - Left Bank")</f>
        <v>Bordeaux Blend - Left Bank</v>
      </c>
      <c r="H16" s="34" t="str">
        <f ca="1">IFERROR(__xludf.DUMMYFUNCTION("""COMPUTED_VALUE"""),"USA")</f>
        <v>USA</v>
      </c>
      <c r="I16" s="34" t="str">
        <f ca="1">IFERROR(__xludf.DUMMYFUNCTION("""COMPUTED_VALUE"""),"CA")</f>
        <v>CA</v>
      </c>
      <c r="J16" s="34" t="str">
        <f ca="1">IFERROR(__xludf.DUMMYFUNCTION("""COMPUTED_VALUE"""),"Northern CA")</f>
        <v>Northern CA</v>
      </c>
      <c r="K16" s="34" t="str">
        <f ca="1">IFERROR(__xludf.DUMMYFUNCTION("""COMPUTED_VALUE"""),"Napa Valley")</f>
        <v>Napa Valley</v>
      </c>
      <c r="L16" s="34"/>
      <c r="M16" s="34"/>
      <c r="N16" s="37">
        <f ca="1">IFERROR(__xludf.DUMMYFUNCTION("""COMPUTED_VALUE"""),75)</f>
        <v>75</v>
      </c>
      <c r="O16" s="34">
        <f ca="1">IFERROR(__xludf.DUMMYFUNCTION("""COMPUTED_VALUE"""),750)</f>
        <v>750</v>
      </c>
      <c r="P16" s="34" t="str">
        <f ca="1">IFERROR(__xludf.DUMMYFUNCTION("""COMPUTED_VALUE"""),"Short")</f>
        <v>Short</v>
      </c>
      <c r="Q16" s="34" t="str">
        <f ca="1">IFERROR(__xludf.DUMMYFUNCTION("""COMPUTED_VALUE"""),"S2")</f>
        <v>S2</v>
      </c>
      <c r="R16" s="34"/>
      <c r="S16" s="34" t="b">
        <f ca="1">IFERROR(__xludf.DUMMYFUNCTION("""COMPUTED_VALUE"""),TRUE)</f>
        <v>1</v>
      </c>
      <c r="T16" s="34" t="b">
        <f ca="1">IFERROR(__xludf.DUMMYFUNCTION("""COMPUTED_VALUE"""),TRUE)</f>
        <v>1</v>
      </c>
      <c r="U16" s="34" t="b">
        <f ca="1">IFERROR(__xludf.DUMMYFUNCTION("""COMPUTED_VALUE"""),FALSE)</f>
        <v>0</v>
      </c>
      <c r="V16" s="34" t="b">
        <f ca="1">IFERROR(__xludf.DUMMYFUNCTION("""COMPUTED_VALUE"""),FALSE)</f>
        <v>0</v>
      </c>
      <c r="W16" s="34" t="b">
        <f ca="1">IFERROR(__xludf.DUMMYFUNCTION("""COMPUTED_VALUE"""),FALSE)</f>
        <v>0</v>
      </c>
    </row>
    <row r="17" spans="1:23" x14ac:dyDescent="0.2">
      <c r="A17" s="34" t="str">
        <f ca="1">IFERROR(__xludf.DUMMYFUNCTION("""COMPUTED_VALUE"""),"R")</f>
        <v>R</v>
      </c>
      <c r="B17" s="34" t="str">
        <f ca="1">IFERROR(__xludf.DUMMYFUNCTION("""COMPUTED_VALUE"""),"Red")</f>
        <v>Red</v>
      </c>
      <c r="C17" s="34">
        <f ca="1">IFERROR(__xludf.DUMMYFUNCTION("""COMPUTED_VALUE"""),1)</f>
        <v>1</v>
      </c>
      <c r="D17" s="34">
        <f ca="1">IFERROR(__xludf.DUMMYFUNCTION("""COMPUTED_VALUE"""),2015)</f>
        <v>2015</v>
      </c>
      <c r="E17" s="34" t="str">
        <f ca="1">IFERROR(__xludf.DUMMYFUNCTION("""COMPUTED_VALUE"""),"Joseph Phelps Winery")</f>
        <v>Joseph Phelps Winery</v>
      </c>
      <c r="F17" s="34" t="str">
        <f ca="1">IFERROR(__xludf.DUMMYFUNCTION("""COMPUTED_VALUE"""),"Napa Valley Cabernet")</f>
        <v>Napa Valley Cabernet</v>
      </c>
      <c r="G17" s="34" t="str">
        <f ca="1">IFERROR(__xludf.DUMMYFUNCTION("""COMPUTED_VALUE"""),"Cabernet Sauvignon")</f>
        <v>Cabernet Sauvignon</v>
      </c>
      <c r="H17" s="34" t="str">
        <f ca="1">IFERROR(__xludf.DUMMYFUNCTION("""COMPUTED_VALUE"""),"USA")</f>
        <v>USA</v>
      </c>
      <c r="I17" s="34" t="str">
        <f ca="1">IFERROR(__xludf.DUMMYFUNCTION("""COMPUTED_VALUE"""),"CA")</f>
        <v>CA</v>
      </c>
      <c r="J17" s="34" t="str">
        <f ca="1">IFERROR(__xludf.DUMMYFUNCTION("""COMPUTED_VALUE"""),"Northern CA")</f>
        <v>Northern CA</v>
      </c>
      <c r="K17" s="34" t="str">
        <f ca="1">IFERROR(__xludf.DUMMYFUNCTION("""COMPUTED_VALUE"""),"Napa Valley")</f>
        <v>Napa Valley</v>
      </c>
      <c r="L17" s="34"/>
      <c r="M17" s="34"/>
      <c r="N17" s="37">
        <f ca="1">IFERROR(__xludf.DUMMYFUNCTION("""COMPUTED_VALUE"""),80)</f>
        <v>80</v>
      </c>
      <c r="O17" s="34">
        <f ca="1">IFERROR(__xludf.DUMMYFUNCTION("""COMPUTED_VALUE"""),750)</f>
        <v>750</v>
      </c>
      <c r="P17" s="34" t="str">
        <f ca="1">IFERROR(__xludf.DUMMYFUNCTION("""COMPUTED_VALUE"""),"Short")</f>
        <v>Short</v>
      </c>
      <c r="Q17" s="34" t="str">
        <f ca="1">IFERROR(__xludf.DUMMYFUNCTION("""COMPUTED_VALUE"""),"S2")</f>
        <v>S2</v>
      </c>
      <c r="R17" s="34"/>
      <c r="S17" s="34" t="b">
        <f ca="1">IFERROR(__xludf.DUMMYFUNCTION("""COMPUTED_VALUE"""),TRUE)</f>
        <v>1</v>
      </c>
      <c r="T17" s="34" t="b">
        <f ca="1">IFERROR(__xludf.DUMMYFUNCTION("""COMPUTED_VALUE"""),TRUE)</f>
        <v>1</v>
      </c>
      <c r="U17" s="34" t="b">
        <f ca="1">IFERROR(__xludf.DUMMYFUNCTION("""COMPUTED_VALUE"""),FALSE)</f>
        <v>0</v>
      </c>
      <c r="V17" s="34" t="b">
        <f ca="1">IFERROR(__xludf.DUMMYFUNCTION("""COMPUTED_VALUE"""),FALSE)</f>
        <v>0</v>
      </c>
      <c r="W17" s="34" t="b">
        <f ca="1">IFERROR(__xludf.DUMMYFUNCTION("""COMPUTED_VALUE"""),TRUE)</f>
        <v>1</v>
      </c>
    </row>
    <row r="18" spans="1:23" x14ac:dyDescent="0.2">
      <c r="A18" s="34" t="str">
        <f ca="1">IFERROR(__xludf.DUMMYFUNCTION("""COMPUTED_VALUE"""),"R")</f>
        <v>R</v>
      </c>
      <c r="B18" s="34" t="str">
        <f ca="1">IFERROR(__xludf.DUMMYFUNCTION("""COMPUTED_VALUE"""),"Red")</f>
        <v>Red</v>
      </c>
      <c r="C18" s="34">
        <f ca="1">IFERROR(__xludf.DUMMYFUNCTION("""COMPUTED_VALUE"""),1)</f>
        <v>1</v>
      </c>
      <c r="D18" s="34">
        <f ca="1">IFERROR(__xludf.DUMMYFUNCTION("""COMPUTED_VALUE"""),2015)</f>
        <v>2015</v>
      </c>
      <c r="E18" s="34" t="str">
        <f ca="1">IFERROR(__xludf.DUMMYFUNCTION("""COMPUTED_VALUE"""),"Goldeneye Winery")</f>
        <v>Goldeneye Winery</v>
      </c>
      <c r="F18" s="34" t="str">
        <f ca="1">IFERROR(__xludf.DUMMYFUNCTION("""COMPUTED_VALUE"""),"Confluence Vineyard")</f>
        <v>Confluence Vineyard</v>
      </c>
      <c r="G18" s="34" t="str">
        <f ca="1">IFERROR(__xludf.DUMMYFUNCTION("""COMPUTED_VALUE"""),"Pinot Noir")</f>
        <v>Pinot Noir</v>
      </c>
      <c r="H18" s="34" t="str">
        <f ca="1">IFERROR(__xludf.DUMMYFUNCTION("""COMPUTED_VALUE"""),"USA")</f>
        <v>USA</v>
      </c>
      <c r="I18" s="34" t="str">
        <f ca="1">IFERROR(__xludf.DUMMYFUNCTION("""COMPUTED_VALUE"""),"CA")</f>
        <v>CA</v>
      </c>
      <c r="J18" s="34" t="str">
        <f ca="1">IFERROR(__xludf.DUMMYFUNCTION("""COMPUTED_VALUE"""),"Northern CA")</f>
        <v>Northern CA</v>
      </c>
      <c r="K18" s="34" t="str">
        <f ca="1">IFERROR(__xludf.DUMMYFUNCTION("""COMPUTED_VALUE"""),"Sonoma Coast")</f>
        <v>Sonoma Coast</v>
      </c>
      <c r="L18" s="34"/>
      <c r="M18" s="34" t="str">
        <f ca="1">IFERROR(__xludf.DUMMYFUNCTION("""COMPUTED_VALUE"""),"Confluence Vineyad")</f>
        <v>Confluence Vineyad</v>
      </c>
      <c r="N18" s="37">
        <f ca="1">IFERROR(__xludf.DUMMYFUNCTION("""COMPUTED_VALUE"""),86)</f>
        <v>86</v>
      </c>
      <c r="O18" s="34">
        <f ca="1">IFERROR(__xludf.DUMMYFUNCTION("""COMPUTED_VALUE"""),750)</f>
        <v>750</v>
      </c>
      <c r="P18" s="34" t="str">
        <f ca="1">IFERROR(__xludf.DUMMYFUNCTION("""COMPUTED_VALUE"""),"Short")</f>
        <v>Short</v>
      </c>
      <c r="Q18" s="34" t="str">
        <f ca="1">IFERROR(__xludf.DUMMYFUNCTION("""COMPUTED_VALUE"""),"S1")</f>
        <v>S1</v>
      </c>
      <c r="R18" s="34"/>
      <c r="S18" s="34" t="b">
        <f ca="1">IFERROR(__xludf.DUMMYFUNCTION("""COMPUTED_VALUE"""),TRUE)</f>
        <v>1</v>
      </c>
      <c r="T18" s="34" t="b">
        <f ca="1">IFERROR(__xludf.DUMMYFUNCTION("""COMPUTED_VALUE"""),FALSE)</f>
        <v>0</v>
      </c>
      <c r="U18" s="34" t="b">
        <f ca="1">IFERROR(__xludf.DUMMYFUNCTION("""COMPUTED_VALUE"""),TRUE)</f>
        <v>1</v>
      </c>
      <c r="V18" s="34" t="b">
        <f ca="1">IFERROR(__xludf.DUMMYFUNCTION("""COMPUTED_VALUE"""),TRUE)</f>
        <v>1</v>
      </c>
      <c r="W18" s="34" t="b">
        <f ca="1">IFERROR(__xludf.DUMMYFUNCTION("""COMPUTED_VALUE"""),TRUE)</f>
        <v>1</v>
      </c>
    </row>
    <row r="19" spans="1:23" x14ac:dyDescent="0.2">
      <c r="A19" s="34" t="str">
        <f ca="1">IFERROR(__xludf.DUMMYFUNCTION("""COMPUTED_VALUE"""),"R")</f>
        <v>R</v>
      </c>
      <c r="B19" s="34" t="str">
        <f ca="1">IFERROR(__xludf.DUMMYFUNCTION("""COMPUTED_VALUE"""),"Red")</f>
        <v>Red</v>
      </c>
      <c r="C19" s="34">
        <f ca="1">IFERROR(__xludf.DUMMYFUNCTION("""COMPUTED_VALUE"""),1)</f>
        <v>1</v>
      </c>
      <c r="D19" s="34">
        <f ca="1">IFERROR(__xludf.DUMMYFUNCTION("""COMPUTED_VALUE"""),2014)</f>
        <v>2014</v>
      </c>
      <c r="E19" s="34" t="str">
        <f ca="1">IFERROR(__xludf.DUMMYFUNCTION("""COMPUTED_VALUE"""),"Hall Wines")</f>
        <v>Hall Wines</v>
      </c>
      <c r="F19" s="34" t="str">
        <f ca="1">IFERROR(__xludf.DUMMYFUNCTION("""COMPUTED_VALUE"""),"Ellie's")</f>
        <v>Ellie's</v>
      </c>
      <c r="G19" s="34" t="str">
        <f ca="1">IFERROR(__xludf.DUMMYFUNCTION("""COMPUTED_VALUE"""),"Cabernet Sauvignon")</f>
        <v>Cabernet Sauvignon</v>
      </c>
      <c r="H19" s="34" t="str">
        <f ca="1">IFERROR(__xludf.DUMMYFUNCTION("""COMPUTED_VALUE"""),"USA")</f>
        <v>USA</v>
      </c>
      <c r="I19" s="34" t="str">
        <f ca="1">IFERROR(__xludf.DUMMYFUNCTION("""COMPUTED_VALUE"""),"CA")</f>
        <v>CA</v>
      </c>
      <c r="J19" s="34" t="str">
        <f ca="1">IFERROR(__xludf.DUMMYFUNCTION("""COMPUTED_VALUE"""),"Northern CA")</f>
        <v>Northern CA</v>
      </c>
      <c r="K19" s="34" t="str">
        <f ca="1">IFERROR(__xludf.DUMMYFUNCTION("""COMPUTED_VALUE"""),"Napa Valley")</f>
        <v>Napa Valley</v>
      </c>
      <c r="L19" s="34" t="str">
        <f ca="1">IFERROR(__xludf.DUMMYFUNCTION("""COMPUTED_VALUE"""),"-")</f>
        <v>-</v>
      </c>
      <c r="M19" s="34"/>
      <c r="N19" s="37">
        <f ca="1">IFERROR(__xludf.DUMMYFUNCTION("""COMPUTED_VALUE"""),80)</f>
        <v>80</v>
      </c>
      <c r="O19" s="34">
        <f ca="1">IFERROR(__xludf.DUMMYFUNCTION("""COMPUTED_VALUE"""),750)</f>
        <v>750</v>
      </c>
      <c r="P19" s="34" t="str">
        <f ca="1">IFERROR(__xludf.DUMMYFUNCTION("""COMPUTED_VALUE"""),"Short")</f>
        <v>Short</v>
      </c>
      <c r="Q19" s="34" t="str">
        <f ca="1">IFERROR(__xludf.DUMMYFUNCTION("""COMPUTED_VALUE"""),"S2")</f>
        <v>S2</v>
      </c>
      <c r="R19" s="34"/>
      <c r="S19" s="34" t="b">
        <f ca="1">IFERROR(__xludf.DUMMYFUNCTION("""COMPUTED_VALUE"""),TRUE)</f>
        <v>1</v>
      </c>
      <c r="T19" s="34" t="b">
        <f ca="1">IFERROR(__xludf.DUMMYFUNCTION("""COMPUTED_VALUE"""),TRUE)</f>
        <v>1</v>
      </c>
      <c r="U19" s="34" t="b">
        <f ca="1">IFERROR(__xludf.DUMMYFUNCTION("""COMPUTED_VALUE"""),FALSE)</f>
        <v>0</v>
      </c>
      <c r="V19" s="34" t="b">
        <f ca="1">IFERROR(__xludf.DUMMYFUNCTION("""COMPUTED_VALUE"""),FALSE)</f>
        <v>0</v>
      </c>
      <c r="W19" s="34" t="b">
        <f ca="1">IFERROR(__xludf.DUMMYFUNCTION("""COMPUTED_VALUE"""),FALSE)</f>
        <v>0</v>
      </c>
    </row>
    <row r="20" spans="1:23" x14ac:dyDescent="0.2">
      <c r="A20" s="34" t="str">
        <f ca="1">IFERROR(__xludf.DUMMYFUNCTION("""COMPUTED_VALUE"""),"R")</f>
        <v>R</v>
      </c>
      <c r="B20" s="34" t="str">
        <f ca="1">IFERROR(__xludf.DUMMYFUNCTION("""COMPUTED_VALUE"""),"Red")</f>
        <v>Red</v>
      </c>
      <c r="C20" s="34">
        <f ca="1">IFERROR(__xludf.DUMMYFUNCTION("""COMPUTED_VALUE"""),1)</f>
        <v>1</v>
      </c>
      <c r="D20" s="34">
        <f ca="1">IFERROR(__xludf.DUMMYFUNCTION("""COMPUTED_VALUE"""),2014)</f>
        <v>2014</v>
      </c>
      <c r="E20" s="34" t="str">
        <f ca="1">IFERROR(__xludf.DUMMYFUNCTION("""COMPUTED_VALUE"""),"Silverado")</f>
        <v>Silverado</v>
      </c>
      <c r="F20" s="34" t="str">
        <f ca="1">IFERROR(__xludf.DUMMYFUNCTION("""COMPUTED_VALUE"""),"Geo")</f>
        <v>Geo</v>
      </c>
      <c r="G20" s="34" t="str">
        <f ca="1">IFERROR(__xludf.DUMMYFUNCTION("""COMPUTED_VALUE"""),"Cabernet Sauvignon")</f>
        <v>Cabernet Sauvignon</v>
      </c>
      <c r="H20" s="34" t="str">
        <f ca="1">IFERROR(__xludf.DUMMYFUNCTION("""COMPUTED_VALUE"""),"USA")</f>
        <v>USA</v>
      </c>
      <c r="I20" s="34" t="str">
        <f ca="1">IFERROR(__xludf.DUMMYFUNCTION("""COMPUTED_VALUE"""),"CA")</f>
        <v>CA</v>
      </c>
      <c r="J20" s="34" t="str">
        <f ca="1">IFERROR(__xludf.DUMMYFUNCTION("""COMPUTED_VALUE"""),"Northern CA")</f>
        <v>Northern CA</v>
      </c>
      <c r="K20" s="34" t="str">
        <f ca="1">IFERROR(__xludf.DUMMYFUNCTION("""COMPUTED_VALUE"""),"Napa Valley")</f>
        <v>Napa Valley</v>
      </c>
      <c r="L20" s="34" t="str">
        <f ca="1">IFERROR(__xludf.DUMMYFUNCTION("""COMPUTED_VALUE"""),"Coombsville")</f>
        <v>Coombsville</v>
      </c>
      <c r="M20" s="34"/>
      <c r="N20" s="37">
        <f ca="1">IFERROR(__xludf.DUMMYFUNCTION("""COMPUTED_VALUE"""),100)</f>
        <v>100</v>
      </c>
      <c r="O20" s="34">
        <f ca="1">IFERROR(__xludf.DUMMYFUNCTION("""COMPUTED_VALUE"""),750)</f>
        <v>750</v>
      </c>
      <c r="P20" s="34" t="str">
        <f ca="1">IFERROR(__xludf.DUMMYFUNCTION("""COMPUTED_VALUE"""),"Short")</f>
        <v>Short</v>
      </c>
      <c r="Q20" s="34" t="str">
        <f ca="1">IFERROR(__xludf.DUMMYFUNCTION("""COMPUTED_VALUE"""),"S2")</f>
        <v>S2</v>
      </c>
      <c r="R20" s="34"/>
      <c r="S20" s="34" t="b">
        <f ca="1">IFERROR(__xludf.DUMMYFUNCTION("""COMPUTED_VALUE"""),TRUE)</f>
        <v>1</v>
      </c>
      <c r="T20" s="34" t="b">
        <f ca="1">IFERROR(__xludf.DUMMYFUNCTION("""COMPUTED_VALUE"""),TRUE)</f>
        <v>1</v>
      </c>
      <c r="U20" s="34" t="b">
        <f ca="1">IFERROR(__xludf.DUMMYFUNCTION("""COMPUTED_VALUE"""),FALSE)</f>
        <v>0</v>
      </c>
      <c r="V20" s="34" t="b">
        <f ca="1">IFERROR(__xludf.DUMMYFUNCTION("""COMPUTED_VALUE"""),FALSE)</f>
        <v>0</v>
      </c>
      <c r="W20" s="34" t="b">
        <f ca="1">IFERROR(__xludf.DUMMYFUNCTION("""COMPUTED_VALUE"""),FALSE)</f>
        <v>0</v>
      </c>
    </row>
    <row r="21" spans="1:23" x14ac:dyDescent="0.2">
      <c r="A21" s="34" t="str">
        <f ca="1">IFERROR(__xludf.DUMMYFUNCTION("""COMPUTED_VALUE"""),"R")</f>
        <v>R</v>
      </c>
      <c r="B21" s="34" t="str">
        <f ca="1">IFERROR(__xludf.DUMMYFUNCTION("""COMPUTED_VALUE"""),"Red")</f>
        <v>Red</v>
      </c>
      <c r="C21" s="34">
        <f ca="1">IFERROR(__xludf.DUMMYFUNCTION("""COMPUTED_VALUE"""),1)</f>
        <v>1</v>
      </c>
      <c r="D21" s="34">
        <f ca="1">IFERROR(__xludf.DUMMYFUNCTION("""COMPUTED_VALUE"""),2015)</f>
        <v>2015</v>
      </c>
      <c r="E21" s="34" t="str">
        <f ca="1">IFERROR(__xludf.DUMMYFUNCTION("""COMPUTED_VALUE"""),"Sterling Vineyards")</f>
        <v>Sterling Vineyards</v>
      </c>
      <c r="F21" s="34" t="str">
        <f ca="1">IFERROR(__xludf.DUMMYFUNCTION("""COMPUTED_VALUE"""),"RRV Pinot Noir")</f>
        <v>RRV Pinot Noir</v>
      </c>
      <c r="G21" s="34" t="str">
        <f ca="1">IFERROR(__xludf.DUMMYFUNCTION("""COMPUTED_VALUE"""),"Pinot Noir")</f>
        <v>Pinot Noir</v>
      </c>
      <c r="H21" s="34" t="str">
        <f ca="1">IFERROR(__xludf.DUMMYFUNCTION("""COMPUTED_VALUE"""),"USA")</f>
        <v>USA</v>
      </c>
      <c r="I21" s="34" t="str">
        <f ca="1">IFERROR(__xludf.DUMMYFUNCTION("""COMPUTED_VALUE"""),"CA")</f>
        <v>CA</v>
      </c>
      <c r="J21" s="34" t="str">
        <f ca="1">IFERROR(__xludf.DUMMYFUNCTION("""COMPUTED_VALUE"""),"Northern CA")</f>
        <v>Northern CA</v>
      </c>
      <c r="K21" s="34" t="str">
        <f ca="1">IFERROR(__xludf.DUMMYFUNCTION("""COMPUTED_VALUE"""),"Sonoma County")</f>
        <v>Sonoma County</v>
      </c>
      <c r="L21" s="34" t="str">
        <f ca="1">IFERROR(__xludf.DUMMYFUNCTION("""COMPUTED_VALUE"""),"Russivan River Valley")</f>
        <v>Russivan River Valley</v>
      </c>
      <c r="M21" s="34"/>
      <c r="N21" s="37">
        <f ca="1">IFERROR(__xludf.DUMMYFUNCTION("""COMPUTED_VALUE"""),60)</f>
        <v>60</v>
      </c>
      <c r="O21" s="34">
        <f ca="1">IFERROR(__xludf.DUMMYFUNCTION("""COMPUTED_VALUE"""),750)</f>
        <v>750</v>
      </c>
      <c r="P21" s="34" t="str">
        <f ca="1">IFERROR(__xludf.DUMMYFUNCTION("""COMPUTED_VALUE"""),"Short")</f>
        <v>Short</v>
      </c>
      <c r="Q21" s="34" t="str">
        <f ca="1">IFERROR(__xludf.DUMMYFUNCTION("""COMPUTED_VALUE"""),"S1")</f>
        <v>S1</v>
      </c>
      <c r="R21" s="34"/>
      <c r="S21" s="34" t="b">
        <f ca="1">IFERROR(__xludf.DUMMYFUNCTION("""COMPUTED_VALUE"""),TRUE)</f>
        <v>1</v>
      </c>
      <c r="T21" s="34" t="b">
        <f ca="1">IFERROR(__xludf.DUMMYFUNCTION("""COMPUTED_VALUE"""),TRUE)</f>
        <v>1</v>
      </c>
      <c r="U21" s="34" t="b">
        <f ca="1">IFERROR(__xludf.DUMMYFUNCTION("""COMPUTED_VALUE"""),FALSE)</f>
        <v>0</v>
      </c>
      <c r="V21" s="34" t="b">
        <f ca="1">IFERROR(__xludf.DUMMYFUNCTION("""COMPUTED_VALUE"""),FALSE)</f>
        <v>0</v>
      </c>
      <c r="W21" s="34" t="b">
        <f ca="1">IFERROR(__xludf.DUMMYFUNCTION("""COMPUTED_VALUE"""),FALSE)</f>
        <v>0</v>
      </c>
    </row>
    <row r="22" spans="1:23" x14ac:dyDescent="0.2">
      <c r="A22" s="34" t="str">
        <f ca="1">IFERROR(__xludf.DUMMYFUNCTION("""COMPUTED_VALUE"""),"R")</f>
        <v>R</v>
      </c>
      <c r="B22" s="34" t="str">
        <f ca="1">IFERROR(__xludf.DUMMYFUNCTION("""COMPUTED_VALUE"""),"Red")</f>
        <v>Red</v>
      </c>
      <c r="C22" s="34">
        <f ca="1">IFERROR(__xludf.DUMMYFUNCTION("""COMPUTED_VALUE"""),2)</f>
        <v>2</v>
      </c>
      <c r="D22" s="34">
        <f ca="1">IFERROR(__xludf.DUMMYFUNCTION("""COMPUTED_VALUE"""),2016)</f>
        <v>2016</v>
      </c>
      <c r="E22" s="34" t="str">
        <f ca="1">IFERROR(__xludf.DUMMYFUNCTION("""COMPUTED_VALUE"""),"Big Basin Vineyards")</f>
        <v>Big Basin Vineyards</v>
      </c>
      <c r="F22" s="34" t="str">
        <f ca="1">IFERROR(__xludf.DUMMYFUNCTION("""COMPUTED_VALUE"""),"Homestead")</f>
        <v>Homestead</v>
      </c>
      <c r="G22" s="34" t="str">
        <f ca="1">IFERROR(__xludf.DUMMYFUNCTION("""COMPUTED_VALUE"""),"Rhone Blend")</f>
        <v>Rhone Blend</v>
      </c>
      <c r="H22" s="34" t="str">
        <f ca="1">IFERROR(__xludf.DUMMYFUNCTION("""COMPUTED_VALUE"""),"USA")</f>
        <v>USA</v>
      </c>
      <c r="I22" s="34" t="str">
        <f ca="1">IFERROR(__xludf.DUMMYFUNCTION("""COMPUTED_VALUE"""),"CA")</f>
        <v>CA</v>
      </c>
      <c r="J22" s="34" t="str">
        <f ca="1">IFERROR(__xludf.DUMMYFUNCTION("""COMPUTED_VALUE"""),"Northern CA")</f>
        <v>Northern CA</v>
      </c>
      <c r="K22" s="34" t="str">
        <f ca="1">IFERROR(__xludf.DUMMYFUNCTION("""COMPUTED_VALUE"""),"Central Coast")</f>
        <v>Central Coast</v>
      </c>
      <c r="L22" s="34"/>
      <c r="M22" s="34"/>
      <c r="N22" s="37">
        <f ca="1">IFERROR(__xludf.DUMMYFUNCTION("""COMPUTED_VALUE"""),25)</f>
        <v>25</v>
      </c>
      <c r="O22" s="34">
        <f ca="1">IFERROR(__xludf.DUMMYFUNCTION("""COMPUTED_VALUE"""),750)</f>
        <v>750</v>
      </c>
      <c r="P22" s="34" t="str">
        <f ca="1">IFERROR(__xludf.DUMMYFUNCTION("""COMPUTED_VALUE"""),"Short")</f>
        <v>Short</v>
      </c>
      <c r="Q22" s="34" t="str">
        <f ca="1">IFERROR(__xludf.DUMMYFUNCTION("""COMPUTED_VALUE"""),"Domaine Leflaive OWC ")</f>
        <v xml:space="preserve">Domaine Leflaive OWC </v>
      </c>
      <c r="R22" s="34"/>
      <c r="S22" s="34" t="b">
        <f ca="1">IFERROR(__xludf.DUMMYFUNCTION("""COMPUTED_VALUE"""),TRUE)</f>
        <v>1</v>
      </c>
      <c r="T22" s="34" t="b">
        <f ca="1">IFERROR(__xludf.DUMMYFUNCTION("""COMPUTED_VALUE"""),FALSE)</f>
        <v>0</v>
      </c>
      <c r="U22" s="34" t="b">
        <f ca="1">IFERROR(__xludf.DUMMYFUNCTION("""COMPUTED_VALUE"""),FALSE)</f>
        <v>0</v>
      </c>
      <c r="V22" s="34" t="b">
        <f ca="1">IFERROR(__xludf.DUMMYFUNCTION("""COMPUTED_VALUE"""),TRUE)</f>
        <v>1</v>
      </c>
      <c r="W22" s="34" t="b">
        <f ca="1">IFERROR(__xludf.DUMMYFUNCTION("""COMPUTED_VALUE"""),TRUE)</f>
        <v>1</v>
      </c>
    </row>
    <row r="23" spans="1:23" x14ac:dyDescent="0.2">
      <c r="A23" s="34" t="str">
        <f ca="1">IFERROR(__xludf.DUMMYFUNCTION("""COMPUTED_VALUE"""),"R")</f>
        <v>R</v>
      </c>
      <c r="B23" s="34" t="str">
        <f ca="1">IFERROR(__xludf.DUMMYFUNCTION("""COMPUTED_VALUE"""),"Red")</f>
        <v>Red</v>
      </c>
      <c r="C23" s="34">
        <f ca="1">IFERROR(__xludf.DUMMYFUNCTION("""COMPUTED_VALUE"""),1)</f>
        <v>1</v>
      </c>
      <c r="D23" s="34">
        <f ca="1">IFERROR(__xludf.DUMMYFUNCTION("""COMPUTED_VALUE"""),2015)</f>
        <v>2015</v>
      </c>
      <c r="E23" s="34" t="str">
        <f ca="1">IFERROR(__xludf.DUMMYFUNCTION("""COMPUTED_VALUE"""),"Silverado Vineyards")</f>
        <v>Silverado Vineyards</v>
      </c>
      <c r="F23" s="34" t="str">
        <f ca="1">IFERROR(__xludf.DUMMYFUNCTION("""COMPUTED_VALUE"""),"Estate Grown Cab Sauv")</f>
        <v>Estate Grown Cab Sauv</v>
      </c>
      <c r="G23" s="34" t="str">
        <f ca="1">IFERROR(__xludf.DUMMYFUNCTION("""COMPUTED_VALUE"""),"Cabernet Sauvignon")</f>
        <v>Cabernet Sauvignon</v>
      </c>
      <c r="H23" s="34" t="str">
        <f ca="1">IFERROR(__xludf.DUMMYFUNCTION("""COMPUTED_VALUE"""),"USA")</f>
        <v>USA</v>
      </c>
      <c r="I23" s="34" t="str">
        <f ca="1">IFERROR(__xludf.DUMMYFUNCTION("""COMPUTED_VALUE"""),"CA")</f>
        <v>CA</v>
      </c>
      <c r="J23" s="34" t="str">
        <f ca="1">IFERROR(__xludf.DUMMYFUNCTION("""COMPUTED_VALUE"""),"Northern CA")</f>
        <v>Northern CA</v>
      </c>
      <c r="K23" s="34" t="str">
        <f ca="1">IFERROR(__xludf.DUMMYFUNCTION("""COMPUTED_VALUE"""),"Napa Valley")</f>
        <v>Napa Valley</v>
      </c>
      <c r="L23" s="34" t="str">
        <f ca="1">IFERROR(__xludf.DUMMYFUNCTION("""COMPUTED_VALUE"""),"-")</f>
        <v>-</v>
      </c>
      <c r="M23" s="34"/>
      <c r="N23" s="37">
        <f ca="1">IFERROR(__xludf.DUMMYFUNCTION("""COMPUTED_VALUE"""),55)</f>
        <v>55</v>
      </c>
      <c r="O23" s="34">
        <f ca="1">IFERROR(__xludf.DUMMYFUNCTION("""COMPUTED_VALUE"""),750)</f>
        <v>750</v>
      </c>
      <c r="P23" s="34" t="str">
        <f ca="1">IFERROR(__xludf.DUMMYFUNCTION("""COMPUTED_VALUE"""),"Short")</f>
        <v>Short</v>
      </c>
      <c r="Q23" s="34" t="str">
        <f ca="1">IFERROR(__xludf.DUMMYFUNCTION("""COMPUTED_VALUE"""),"M/S2")</f>
        <v>M/S2</v>
      </c>
      <c r="R23" s="34"/>
      <c r="S23" s="34" t="b">
        <f ca="1">IFERROR(__xludf.DUMMYFUNCTION("""COMPUTED_VALUE"""),TRUE)</f>
        <v>1</v>
      </c>
      <c r="T23" s="34" t="b">
        <f ca="1">IFERROR(__xludf.DUMMYFUNCTION("""COMPUTED_VALUE"""),TRUE)</f>
        <v>1</v>
      </c>
      <c r="U23" s="34" t="b">
        <f ca="1">IFERROR(__xludf.DUMMYFUNCTION("""COMPUTED_VALUE"""),FALSE)</f>
        <v>0</v>
      </c>
      <c r="V23" s="34" t="b">
        <f ca="1">IFERROR(__xludf.DUMMYFUNCTION("""COMPUTED_VALUE"""),FALSE)</f>
        <v>0</v>
      </c>
      <c r="W23" s="34" t="b">
        <f ca="1">IFERROR(__xludf.DUMMYFUNCTION("""COMPUTED_VALUE"""),TRUE)</f>
        <v>1</v>
      </c>
    </row>
    <row r="24" spans="1:23" x14ac:dyDescent="0.2">
      <c r="A24" s="34" t="str">
        <f ca="1">IFERROR(__xludf.DUMMYFUNCTION("""COMPUTED_VALUE"""),"R")</f>
        <v>R</v>
      </c>
      <c r="B24" s="34" t="str">
        <f ca="1">IFERROR(__xludf.DUMMYFUNCTION("""COMPUTED_VALUE"""),"Red")</f>
        <v>Red</v>
      </c>
      <c r="C24" s="34">
        <f ca="1">IFERROR(__xludf.DUMMYFUNCTION("""COMPUTED_VALUE"""),1)</f>
        <v>1</v>
      </c>
      <c r="D24" s="34">
        <f ca="1">IFERROR(__xludf.DUMMYFUNCTION("""COMPUTED_VALUE"""),2016)</f>
        <v>2016</v>
      </c>
      <c r="E24" s="34" t="str">
        <f ca="1">IFERROR(__xludf.DUMMYFUNCTION("""COMPUTED_VALUE"""),"Domaine Carneros")</f>
        <v>Domaine Carneros</v>
      </c>
      <c r="F24" s="34" t="str">
        <f ca="1">IFERROR(__xludf.DUMMYFUNCTION("""COMPUTED_VALUE"""),"Famous Gate")</f>
        <v>Famous Gate</v>
      </c>
      <c r="G24" s="34" t="str">
        <f ca="1">IFERROR(__xludf.DUMMYFUNCTION("""COMPUTED_VALUE"""),"Pinot Noir")</f>
        <v>Pinot Noir</v>
      </c>
      <c r="H24" s="34" t="str">
        <f ca="1">IFERROR(__xludf.DUMMYFUNCTION("""COMPUTED_VALUE"""),"USA")</f>
        <v>USA</v>
      </c>
      <c r="I24" s="34" t="str">
        <f ca="1">IFERROR(__xludf.DUMMYFUNCTION("""COMPUTED_VALUE"""),"CA")</f>
        <v>CA</v>
      </c>
      <c r="J24" s="34" t="str">
        <f ca="1">IFERROR(__xludf.DUMMYFUNCTION("""COMPUTED_VALUE"""),"Northern CA")</f>
        <v>Northern CA</v>
      </c>
      <c r="K24" s="34"/>
      <c r="L24" s="34"/>
      <c r="M24" s="34"/>
      <c r="N24" s="37">
        <f ca="1">IFERROR(__xludf.DUMMYFUNCTION("""COMPUTED_VALUE"""),85)</f>
        <v>85</v>
      </c>
      <c r="O24" s="34">
        <f ca="1">IFERROR(__xludf.DUMMYFUNCTION("""COMPUTED_VALUE"""),750)</f>
        <v>750</v>
      </c>
      <c r="P24" s="34" t="str">
        <f ca="1">IFERROR(__xludf.DUMMYFUNCTION("""COMPUTED_VALUE"""),"Short")</f>
        <v>Short</v>
      </c>
      <c r="Q24" s="34" t="str">
        <f ca="1">IFERROR(__xludf.DUMMYFUNCTION("""COMPUTED_VALUE"""),"S1")</f>
        <v>S1</v>
      </c>
      <c r="R24" s="34"/>
      <c r="S24" s="34" t="b">
        <f ca="1">IFERROR(__xludf.DUMMYFUNCTION("""COMPUTED_VALUE"""),TRUE)</f>
        <v>1</v>
      </c>
      <c r="T24" s="34" t="b">
        <f ca="1">IFERROR(__xludf.DUMMYFUNCTION("""COMPUTED_VALUE"""),FALSE)</f>
        <v>0</v>
      </c>
      <c r="U24" s="34" t="b">
        <f ca="1">IFERROR(__xludf.DUMMYFUNCTION("""COMPUTED_VALUE"""),FALSE)</f>
        <v>0</v>
      </c>
      <c r="V24" s="34" t="b">
        <f ca="1">IFERROR(__xludf.DUMMYFUNCTION("""COMPUTED_VALUE"""),FALSE)</f>
        <v>0</v>
      </c>
      <c r="W24" s="34" t="b">
        <f ca="1">IFERROR(__xludf.DUMMYFUNCTION("""COMPUTED_VALUE"""),FALSE)</f>
        <v>0</v>
      </c>
    </row>
    <row r="25" spans="1:23" x14ac:dyDescent="0.2">
      <c r="A25" s="34" t="str">
        <f ca="1">IFERROR(__xludf.DUMMYFUNCTION("""COMPUTED_VALUE"""),"R")</f>
        <v>R</v>
      </c>
      <c r="B25" s="34" t="str">
        <f ca="1">IFERROR(__xludf.DUMMYFUNCTION("""COMPUTED_VALUE"""),"Red")</f>
        <v>Red</v>
      </c>
      <c r="C25" s="34">
        <f ca="1">IFERROR(__xludf.DUMMYFUNCTION("""COMPUTED_VALUE"""),1)</f>
        <v>1</v>
      </c>
      <c r="D25" s="34">
        <f ca="1">IFERROR(__xludf.DUMMYFUNCTION("""COMPUTED_VALUE"""),2016)</f>
        <v>2016</v>
      </c>
      <c r="E25" s="34" t="str">
        <f ca="1">IFERROR(__xludf.DUMMYFUNCTION("""COMPUTED_VALUE"""),"Dowsett Family Wines")</f>
        <v>Dowsett Family Wines</v>
      </c>
      <c r="F25" s="34" t="str">
        <f ca="1">IFERROR(__xludf.DUMMYFUNCTION("""COMPUTED_VALUE"""),"Becklin Vineyards Pinot Noir")</f>
        <v>Becklin Vineyards Pinot Noir</v>
      </c>
      <c r="G25" s="34" t="str">
        <f ca="1">IFERROR(__xludf.DUMMYFUNCTION("""COMPUTED_VALUE"""),"Pinot Noir")</f>
        <v>Pinot Noir</v>
      </c>
      <c r="H25" s="34" t="str">
        <f ca="1">IFERROR(__xludf.DUMMYFUNCTION("""COMPUTED_VALUE"""),"USA")</f>
        <v>USA</v>
      </c>
      <c r="I25" s="34" t="str">
        <f ca="1">IFERROR(__xludf.DUMMYFUNCTION("""COMPUTED_VALUE"""),"OR")</f>
        <v>OR</v>
      </c>
      <c r="J25" s="34"/>
      <c r="K25" s="34" t="str">
        <f ca="1">IFERROR(__xludf.DUMMYFUNCTION("""COMPUTED_VALUE"""),"Willammette Valley")</f>
        <v>Willammette Valley</v>
      </c>
      <c r="L25" s="34"/>
      <c r="M25" s="34" t="str">
        <f ca="1">IFERROR(__xludf.DUMMYFUNCTION("""COMPUTED_VALUE"""),"Becklin Vineyards")</f>
        <v>Becklin Vineyards</v>
      </c>
      <c r="N25" s="37">
        <f ca="1">IFERROR(__xludf.DUMMYFUNCTION("""COMPUTED_VALUE"""),33)</f>
        <v>33</v>
      </c>
      <c r="O25" s="34">
        <f ca="1">IFERROR(__xludf.DUMMYFUNCTION("""COMPUTED_VALUE"""),750)</f>
        <v>750</v>
      </c>
      <c r="P25" s="34" t="str">
        <f ca="1">IFERROR(__xludf.DUMMYFUNCTION("""COMPUTED_VALUE"""),"Short")</f>
        <v>Short</v>
      </c>
      <c r="Q25" s="34" t="str">
        <f ca="1">IFERROR(__xludf.DUMMYFUNCTION("""COMPUTED_VALUE"""),"S1")</f>
        <v>S1</v>
      </c>
      <c r="R25" s="34"/>
      <c r="S25" s="34" t="b">
        <f ca="1">IFERROR(__xludf.DUMMYFUNCTION("""COMPUTED_VALUE"""),TRUE)</f>
        <v>1</v>
      </c>
      <c r="T25" s="34" t="b">
        <f ca="1">IFERROR(__xludf.DUMMYFUNCTION("""COMPUTED_VALUE"""),FALSE)</f>
        <v>0</v>
      </c>
      <c r="U25" s="34" t="b">
        <f ca="1">IFERROR(__xludf.DUMMYFUNCTION("""COMPUTED_VALUE"""),FALSE)</f>
        <v>0</v>
      </c>
      <c r="V25" s="34" t="b">
        <f ca="1">IFERROR(__xludf.DUMMYFUNCTION("""COMPUTED_VALUE"""),FALSE)</f>
        <v>0</v>
      </c>
      <c r="W25" s="34" t="b">
        <f ca="1">IFERROR(__xludf.DUMMYFUNCTION("""COMPUTED_VALUE"""),TRUE)</f>
        <v>1</v>
      </c>
    </row>
    <row r="26" spans="1:23" x14ac:dyDescent="0.2">
      <c r="A26" s="34" t="str">
        <f ca="1">IFERROR(__xludf.DUMMYFUNCTION("""COMPUTED_VALUE"""),"R")</f>
        <v>R</v>
      </c>
      <c r="B26" s="34" t="str">
        <f ca="1">IFERROR(__xludf.DUMMYFUNCTION("""COMPUTED_VALUE"""),"Sparkling")</f>
        <v>Sparkling</v>
      </c>
      <c r="C26" s="34">
        <f ca="1">IFERROR(__xludf.DUMMYFUNCTION("""COMPUTED_VALUE"""),1)</f>
        <v>1</v>
      </c>
      <c r="D26" s="34">
        <f ca="1">IFERROR(__xludf.DUMMYFUNCTION("""COMPUTED_VALUE"""),2016)</f>
        <v>2016</v>
      </c>
      <c r="E26" s="34" t="str">
        <f ca="1">IFERROR(__xludf.DUMMYFUNCTION("""COMPUTED_VALUE"""),"Goldeneye Winery")</f>
        <v>Goldeneye Winery</v>
      </c>
      <c r="F26" s="34" t="str">
        <f ca="1">IFERROR(__xludf.DUMMYFUNCTION("""COMPUTED_VALUE"""),"Brut Rosé")</f>
        <v>Brut Rosé</v>
      </c>
      <c r="G26" s="34" t="str">
        <f ca="1">IFERROR(__xludf.DUMMYFUNCTION("""COMPUTED_VALUE"""),"Other")</f>
        <v>Other</v>
      </c>
      <c r="H26" s="34" t="str">
        <f ca="1">IFERROR(__xludf.DUMMYFUNCTION("""COMPUTED_VALUE"""),"USA")</f>
        <v>USA</v>
      </c>
      <c r="I26" s="34" t="str">
        <f ca="1">IFERROR(__xludf.DUMMYFUNCTION("""COMPUTED_VALUE"""),"CA")</f>
        <v>CA</v>
      </c>
      <c r="J26" s="34" t="str">
        <f ca="1">IFERROR(__xludf.DUMMYFUNCTION("""COMPUTED_VALUE"""),"Northern CA")</f>
        <v>Northern CA</v>
      </c>
      <c r="K26" s="34"/>
      <c r="L26" s="34"/>
      <c r="M26" s="34"/>
      <c r="N26" s="37">
        <f ca="1">IFERROR(__xludf.DUMMYFUNCTION("""COMPUTED_VALUE"""),65)</f>
        <v>65</v>
      </c>
      <c r="O26" s="34">
        <f ca="1">IFERROR(__xludf.DUMMYFUNCTION("""COMPUTED_VALUE"""),750)</f>
        <v>750</v>
      </c>
      <c r="P26" s="34" t="str">
        <f ca="1">IFERROR(__xludf.DUMMYFUNCTION("""COMPUTED_VALUE"""),"Now")</f>
        <v>Now</v>
      </c>
      <c r="Q26" s="34" t="str">
        <f ca="1">IFERROR(__xludf.DUMMYFUNCTION("""COMPUTED_VALUE"""),"Krug")</f>
        <v>Krug</v>
      </c>
      <c r="R26" s="34"/>
      <c r="S26" s="34" t="b">
        <f ca="1">IFERROR(__xludf.DUMMYFUNCTION("""COMPUTED_VALUE"""),TRUE)</f>
        <v>1</v>
      </c>
      <c r="T26" s="34" t="b">
        <f ca="1">IFERROR(__xludf.DUMMYFUNCTION("""COMPUTED_VALUE"""),TRUE)</f>
        <v>1</v>
      </c>
      <c r="U26" s="34" t="b">
        <f ca="1">IFERROR(__xludf.DUMMYFUNCTION("""COMPUTED_VALUE"""),FALSE)</f>
        <v>0</v>
      </c>
      <c r="V26" s="34" t="b">
        <f ca="1">IFERROR(__xludf.DUMMYFUNCTION("""COMPUTED_VALUE"""),FALSE)</f>
        <v>0</v>
      </c>
      <c r="W26" s="34" t="b">
        <f ca="1">IFERROR(__xludf.DUMMYFUNCTION("""COMPUTED_VALUE"""),FALSE)</f>
        <v>0</v>
      </c>
    </row>
    <row r="27" spans="1:23" x14ac:dyDescent="0.2">
      <c r="A27" s="34" t="str">
        <f ca="1">IFERROR(__xludf.DUMMYFUNCTION("""COMPUTED_VALUE"""),"R")</f>
        <v>R</v>
      </c>
      <c r="B27" s="34" t="str">
        <f ca="1">IFERROR(__xludf.DUMMYFUNCTION("""COMPUTED_VALUE"""),"Red")</f>
        <v>Red</v>
      </c>
      <c r="C27" s="34">
        <f ca="1">IFERROR(__xludf.DUMMYFUNCTION("""COMPUTED_VALUE"""),1)</f>
        <v>1</v>
      </c>
      <c r="D27" s="34">
        <f ca="1">IFERROR(__xludf.DUMMYFUNCTION("""COMPUTED_VALUE"""),2016)</f>
        <v>2016</v>
      </c>
      <c r="E27" s="34" t="str">
        <f ca="1">IFERROR(__xludf.DUMMYFUNCTION("""COMPUTED_VALUE"""),"Domaine Carneros")</f>
        <v>Domaine Carneros</v>
      </c>
      <c r="F27" s="34" t="str">
        <f ca="1">IFERROR(__xludf.DUMMYFUNCTION("""COMPUTED_VALUE"""),"Dijon 777 Clone")</f>
        <v>Dijon 777 Clone</v>
      </c>
      <c r="G27" s="34" t="str">
        <f ca="1">IFERROR(__xludf.DUMMYFUNCTION("""COMPUTED_VALUE"""),"Pinot Noir")</f>
        <v>Pinot Noir</v>
      </c>
      <c r="H27" s="34" t="str">
        <f ca="1">IFERROR(__xludf.DUMMYFUNCTION("""COMPUTED_VALUE"""),"USA")</f>
        <v>USA</v>
      </c>
      <c r="I27" s="34" t="str">
        <f ca="1">IFERROR(__xludf.DUMMYFUNCTION("""COMPUTED_VALUE"""),"CA")</f>
        <v>CA</v>
      </c>
      <c r="J27" s="34" t="str">
        <f ca="1">IFERROR(__xludf.DUMMYFUNCTION("""COMPUTED_VALUE"""),"Northern CA")</f>
        <v>Northern CA</v>
      </c>
      <c r="K27" s="34" t="str">
        <f ca="1">IFERROR(__xludf.DUMMYFUNCTION("""COMPUTED_VALUE"""),"Napa Valley")</f>
        <v>Napa Valley</v>
      </c>
      <c r="L27" s="34" t="str">
        <f ca="1">IFERROR(__xludf.DUMMYFUNCTION("""COMPUTED_VALUE"""),"Carneros")</f>
        <v>Carneros</v>
      </c>
      <c r="M27" s="34"/>
      <c r="N27" s="37">
        <f ca="1">IFERROR(__xludf.DUMMYFUNCTION("""COMPUTED_VALUE"""),60)</f>
        <v>60</v>
      </c>
      <c r="O27" s="34">
        <f ca="1">IFERROR(__xludf.DUMMYFUNCTION("""COMPUTED_VALUE"""),750)</f>
        <v>750</v>
      </c>
      <c r="P27" s="34" t="str">
        <f ca="1">IFERROR(__xludf.DUMMYFUNCTION("""COMPUTED_VALUE"""),"Short")</f>
        <v>Short</v>
      </c>
      <c r="Q27" s="34" t="str">
        <f ca="1">IFERROR(__xludf.DUMMYFUNCTION("""COMPUTED_VALUE"""),"S1")</f>
        <v>S1</v>
      </c>
      <c r="R27" s="34"/>
      <c r="S27" s="34" t="b">
        <f ca="1">IFERROR(__xludf.DUMMYFUNCTION("""COMPUTED_VALUE"""),TRUE)</f>
        <v>1</v>
      </c>
      <c r="T27" s="34" t="b">
        <f ca="1">IFERROR(__xludf.DUMMYFUNCTION("""COMPUTED_VALUE"""),FALSE)</f>
        <v>0</v>
      </c>
      <c r="U27" s="34" t="b">
        <f ca="1">IFERROR(__xludf.DUMMYFUNCTION("""COMPUTED_VALUE"""),FALSE)</f>
        <v>0</v>
      </c>
      <c r="V27" s="34" t="b">
        <f ca="1">IFERROR(__xludf.DUMMYFUNCTION("""COMPUTED_VALUE"""),TRUE)</f>
        <v>1</v>
      </c>
      <c r="W27" s="34" t="b">
        <f ca="1">IFERROR(__xludf.DUMMYFUNCTION("""COMPUTED_VALUE"""),TRUE)</f>
        <v>1</v>
      </c>
    </row>
    <row r="28" spans="1:23" x14ac:dyDescent="0.2">
      <c r="A28" s="34" t="str">
        <f ca="1">IFERROR(__xludf.DUMMYFUNCTION("""COMPUTED_VALUE"""),"R")</f>
        <v>R</v>
      </c>
      <c r="B28" s="34" t="str">
        <f ca="1">IFERROR(__xludf.DUMMYFUNCTION("""COMPUTED_VALUE"""),"Red")</f>
        <v>Red</v>
      </c>
      <c r="C28" s="34">
        <f ca="1">IFERROR(__xludf.DUMMYFUNCTION("""COMPUTED_VALUE"""),1)</f>
        <v>1</v>
      </c>
      <c r="D28" s="34">
        <f ca="1">IFERROR(__xludf.DUMMYFUNCTION("""COMPUTED_VALUE"""),2013)</f>
        <v>2013</v>
      </c>
      <c r="E28" s="34" t="str">
        <f ca="1">IFERROR(__xludf.DUMMYFUNCTION("""COMPUTED_VALUE"""),"Sterling Vineyards")</f>
        <v>Sterling Vineyards</v>
      </c>
      <c r="F28" s="34" t="str">
        <f ca="1">IFERROR(__xludf.DUMMYFUNCTION("""COMPUTED_VALUE"""),"Planium Cab Sauv")</f>
        <v>Planium Cab Sauv</v>
      </c>
      <c r="G28" s="34" t="str">
        <f ca="1">IFERROR(__xludf.DUMMYFUNCTION("""COMPUTED_VALUE"""),"Cabernet Sauvignon")</f>
        <v>Cabernet Sauvignon</v>
      </c>
      <c r="H28" s="34" t="str">
        <f ca="1">IFERROR(__xludf.DUMMYFUNCTION("""COMPUTED_VALUE"""),"USA")</f>
        <v>USA</v>
      </c>
      <c r="I28" s="34" t="str">
        <f ca="1">IFERROR(__xludf.DUMMYFUNCTION("""COMPUTED_VALUE"""),"CA")</f>
        <v>CA</v>
      </c>
      <c r="J28" s="34" t="str">
        <f ca="1">IFERROR(__xludf.DUMMYFUNCTION("""COMPUTED_VALUE"""),"Northern CA")</f>
        <v>Northern CA</v>
      </c>
      <c r="K28" s="34" t="str">
        <f ca="1">IFERROR(__xludf.DUMMYFUNCTION("""COMPUTED_VALUE"""),"Napa Valley")</f>
        <v>Napa Valley</v>
      </c>
      <c r="L28" s="34"/>
      <c r="M28" s="34"/>
      <c r="N28" s="37">
        <f ca="1">IFERROR(__xludf.DUMMYFUNCTION("""COMPUTED_VALUE"""),85)</f>
        <v>85</v>
      </c>
      <c r="O28" s="34">
        <f ca="1">IFERROR(__xludf.DUMMYFUNCTION("""COMPUTED_VALUE"""),750)</f>
        <v>750</v>
      </c>
      <c r="P28" s="34" t="str">
        <f ca="1">IFERROR(__xludf.DUMMYFUNCTION("""COMPUTED_VALUE"""),"Short")</f>
        <v>Short</v>
      </c>
      <c r="Q28" s="34" t="str">
        <f ca="1">IFERROR(__xludf.DUMMYFUNCTION("""COMPUTED_VALUE"""),"M6")</f>
        <v>M6</v>
      </c>
      <c r="R28" s="34"/>
      <c r="S28" s="34" t="b">
        <f ca="1">IFERROR(__xludf.DUMMYFUNCTION("""COMPUTED_VALUE"""),TRUE)</f>
        <v>1</v>
      </c>
      <c r="T28" s="34" t="b">
        <f ca="1">IFERROR(__xludf.DUMMYFUNCTION("""COMPUTED_VALUE"""),FALSE)</f>
        <v>0</v>
      </c>
      <c r="U28" s="34" t="b">
        <f ca="1">IFERROR(__xludf.DUMMYFUNCTION("""COMPUTED_VALUE"""),FALSE)</f>
        <v>0</v>
      </c>
      <c r="V28" s="34" t="b">
        <f ca="1">IFERROR(__xludf.DUMMYFUNCTION("""COMPUTED_VALUE"""),TRUE)</f>
        <v>1</v>
      </c>
      <c r="W28" s="34" t="b">
        <f ca="1">IFERROR(__xludf.DUMMYFUNCTION("""COMPUTED_VALUE"""),FALSE)</f>
        <v>0</v>
      </c>
    </row>
    <row r="29" spans="1:23" x14ac:dyDescent="0.2">
      <c r="A29" s="34" t="str">
        <f ca="1">IFERROR(__xludf.DUMMYFUNCTION("""COMPUTED_VALUE"""),"R")</f>
        <v>R</v>
      </c>
      <c r="B29" s="34" t="str">
        <f ca="1">IFERROR(__xludf.DUMMYFUNCTION("""COMPUTED_VALUE"""),"Red")</f>
        <v>Red</v>
      </c>
      <c r="C29" s="34">
        <f ca="1">IFERROR(__xludf.DUMMYFUNCTION("""COMPUTED_VALUE"""),1)</f>
        <v>1</v>
      </c>
      <c r="D29" s="34">
        <f ca="1">IFERROR(__xludf.DUMMYFUNCTION("""COMPUTED_VALUE"""),2016)</f>
        <v>2016</v>
      </c>
      <c r="E29" s="34" t="str">
        <f ca="1">IFERROR(__xludf.DUMMYFUNCTION("""COMPUTED_VALUE"""),"GC Lurton")</f>
        <v>GC Lurton</v>
      </c>
      <c r="F29" s="34" t="str">
        <f ca="1">IFERROR(__xludf.DUMMYFUNCTION("""COMPUTED_VALUE"""),"Sonoma Cabernet")</f>
        <v>Sonoma Cabernet</v>
      </c>
      <c r="G29" s="34" t="str">
        <f ca="1">IFERROR(__xludf.DUMMYFUNCTION("""COMPUTED_VALUE"""),"Cabernet Sauvignon")</f>
        <v>Cabernet Sauvignon</v>
      </c>
      <c r="H29" s="34" t="str">
        <f ca="1">IFERROR(__xludf.DUMMYFUNCTION("""COMPUTED_VALUE"""),"USA")</f>
        <v>USA</v>
      </c>
      <c r="I29" s="34" t="str">
        <f ca="1">IFERROR(__xludf.DUMMYFUNCTION("""COMPUTED_VALUE"""),"CA")</f>
        <v>CA</v>
      </c>
      <c r="J29" s="34" t="str">
        <f ca="1">IFERROR(__xludf.DUMMYFUNCTION("""COMPUTED_VALUE"""),"Northern CA")</f>
        <v>Northern CA</v>
      </c>
      <c r="K29" s="34" t="str">
        <f ca="1">IFERROR(__xludf.DUMMYFUNCTION("""COMPUTED_VALUE"""),"Sonoma County")</f>
        <v>Sonoma County</v>
      </c>
      <c r="L29" s="34"/>
      <c r="M29" s="34"/>
      <c r="N29" s="37">
        <f ca="1">IFERROR(__xludf.DUMMYFUNCTION("""COMPUTED_VALUE"""),50)</f>
        <v>50</v>
      </c>
      <c r="O29" s="34">
        <f ca="1">IFERROR(__xludf.DUMMYFUNCTION("""COMPUTED_VALUE"""),750)</f>
        <v>750</v>
      </c>
      <c r="P29" s="34" t="str">
        <f ca="1">IFERROR(__xludf.DUMMYFUNCTION("""COMPUTED_VALUE"""),"Short")</f>
        <v>Short</v>
      </c>
      <c r="Q29" s="34" t="str">
        <f ca="1">IFERROR(__xludf.DUMMYFUNCTION("""COMPUTED_VALUE"""),"S2")</f>
        <v>S2</v>
      </c>
      <c r="R29" s="34"/>
      <c r="S29" s="34" t="b">
        <f ca="1">IFERROR(__xludf.DUMMYFUNCTION("""COMPUTED_VALUE"""),TRUE)</f>
        <v>1</v>
      </c>
      <c r="T29" s="34" t="b">
        <f ca="1">IFERROR(__xludf.DUMMYFUNCTION("""COMPUTED_VALUE"""),FALSE)</f>
        <v>0</v>
      </c>
      <c r="U29" s="34" t="b">
        <f ca="1">IFERROR(__xludf.DUMMYFUNCTION("""COMPUTED_VALUE"""),FALSE)</f>
        <v>0</v>
      </c>
      <c r="V29" s="34" t="b">
        <f ca="1">IFERROR(__xludf.DUMMYFUNCTION("""COMPUTED_VALUE"""),TRUE)</f>
        <v>1</v>
      </c>
      <c r="W29" s="34" t="b">
        <f ca="1">IFERROR(__xludf.DUMMYFUNCTION("""COMPUTED_VALUE"""),FALSE)</f>
        <v>0</v>
      </c>
    </row>
    <row r="30" spans="1:23" x14ac:dyDescent="0.2">
      <c r="A30" s="34" t="str">
        <f ca="1">IFERROR(__xludf.DUMMYFUNCTION("""COMPUTED_VALUE"""),"R")</f>
        <v>R</v>
      </c>
      <c r="B30" s="34" t="str">
        <f ca="1">IFERROR(__xludf.DUMMYFUNCTION("""COMPUTED_VALUE"""),"Red")</f>
        <v>Red</v>
      </c>
      <c r="C30" s="34">
        <f ca="1">IFERROR(__xludf.DUMMYFUNCTION("""COMPUTED_VALUE"""),1)</f>
        <v>1</v>
      </c>
      <c r="D30" s="34">
        <f ca="1">IFERROR(__xludf.DUMMYFUNCTION("""COMPUTED_VALUE"""),2007)</f>
        <v>2007</v>
      </c>
      <c r="E30" s="34" t="str">
        <f ca="1">IFERROR(__xludf.DUMMYFUNCTION("""COMPUTED_VALUE"""),"Marcarini")</f>
        <v>Marcarini</v>
      </c>
      <c r="F30" s="34" t="str">
        <f ca="1">IFERROR(__xludf.DUMMYFUNCTION("""COMPUTED_VALUE"""),"Brunate")</f>
        <v>Brunate</v>
      </c>
      <c r="G30" s="34" t="str">
        <f ca="1">IFERROR(__xludf.DUMMYFUNCTION("""COMPUTED_VALUE"""),"Other")</f>
        <v>Other</v>
      </c>
      <c r="H30" s="34" t="str">
        <f ca="1">IFERROR(__xludf.DUMMYFUNCTION("""COMPUTED_VALUE"""),"Italy")</f>
        <v>Italy</v>
      </c>
      <c r="I30" s="34"/>
      <c r="J30" s="34" t="str">
        <f ca="1">IFERROR(__xludf.DUMMYFUNCTION("""COMPUTED_VALUE"""),"Piedmont")</f>
        <v>Piedmont</v>
      </c>
      <c r="K30" s="34"/>
      <c r="L30" s="34"/>
      <c r="M30" s="34" t="str">
        <f ca="1">IFERROR(__xludf.DUMMYFUNCTION("""COMPUTED_VALUE"""),"Brunate")</f>
        <v>Brunate</v>
      </c>
      <c r="N30" s="37">
        <f ca="1">IFERROR(__xludf.DUMMYFUNCTION("""COMPUTED_VALUE"""),58)</f>
        <v>58</v>
      </c>
      <c r="O30" s="34">
        <f ca="1">IFERROR(__xludf.DUMMYFUNCTION("""COMPUTED_VALUE"""),50)</f>
        <v>50</v>
      </c>
      <c r="P30" s="34" t="str">
        <f ca="1">IFERROR(__xludf.DUMMYFUNCTION("""COMPUTED_VALUE"""),"Now")</f>
        <v>Now</v>
      </c>
      <c r="Q30" s="34" t="str">
        <f ca="1">IFERROR(__xludf.DUMMYFUNCTION("""COMPUTED_VALUE"""),"Domaine Wine Storage ")</f>
        <v xml:space="preserve">Domaine Wine Storage </v>
      </c>
      <c r="R30" s="34" t="str">
        <f ca="1">IFERROR(__xludf.DUMMYFUNCTION("""COMPUTED_VALUE"""),"excellent. buy producer and vineyard again")</f>
        <v>excellent. buy producer and vineyard again</v>
      </c>
      <c r="S30" s="34" t="b">
        <f ca="1">IFERROR(__xludf.DUMMYFUNCTION("""COMPUTED_VALUE"""),TRUE)</f>
        <v>1</v>
      </c>
      <c r="T30" s="34" t="b">
        <f ca="1">IFERROR(__xludf.DUMMYFUNCTION("""COMPUTED_VALUE"""),TRUE)</f>
        <v>1</v>
      </c>
      <c r="U30" s="34" t="b">
        <f ca="1">IFERROR(__xludf.DUMMYFUNCTION("""COMPUTED_VALUE"""),FALSE)</f>
        <v>0</v>
      </c>
      <c r="V30" s="34" t="b">
        <f ca="1">IFERROR(__xludf.DUMMYFUNCTION("""COMPUTED_VALUE"""),FALSE)</f>
        <v>0</v>
      </c>
      <c r="W30" s="34" t="b">
        <f ca="1">IFERROR(__xludf.DUMMYFUNCTION("""COMPUTED_VALUE"""),FALSE)</f>
        <v>0</v>
      </c>
    </row>
    <row r="31" spans="1:23" x14ac:dyDescent="0.2">
      <c r="A31" s="34" t="str">
        <f ca="1">IFERROR(__xludf.DUMMYFUNCTION("""COMPUTED_VALUE"""),"R+M")</f>
        <v>R+M</v>
      </c>
      <c r="B31" s="34" t="str">
        <f ca="1">IFERROR(__xludf.DUMMYFUNCTION("""COMPUTED_VALUE"""),"Red")</f>
        <v>Red</v>
      </c>
      <c r="C31" s="34">
        <f ca="1">IFERROR(__xludf.DUMMYFUNCTION("""COMPUTED_VALUE"""),1)</f>
        <v>1</v>
      </c>
      <c r="D31" s="34">
        <f ca="1">IFERROR(__xludf.DUMMYFUNCTION("""COMPUTED_VALUE"""),2016)</f>
        <v>2016</v>
      </c>
      <c r="E31" s="34" t="str">
        <f ca="1">IFERROR(__xludf.DUMMYFUNCTION("""COMPUTED_VALUE"""),"White Rock Vineyards")</f>
        <v>White Rock Vineyards</v>
      </c>
      <c r="F31" s="34" t="str">
        <f ca="1">IFERROR(__xludf.DUMMYFUNCTION("""COMPUTED_VALUE"""),"Laureate ")</f>
        <v xml:space="preserve">Laureate </v>
      </c>
      <c r="G31" s="34" t="str">
        <f ca="1">IFERROR(__xludf.DUMMYFUNCTION("""COMPUTED_VALUE"""),"Cabernet Sauvignon")</f>
        <v>Cabernet Sauvignon</v>
      </c>
      <c r="H31" s="34" t="str">
        <f ca="1">IFERROR(__xludf.DUMMYFUNCTION("""COMPUTED_VALUE"""),"USA")</f>
        <v>USA</v>
      </c>
      <c r="I31" s="34" t="str">
        <f ca="1">IFERROR(__xludf.DUMMYFUNCTION("""COMPUTED_VALUE"""),"CA")</f>
        <v>CA</v>
      </c>
      <c r="J31" s="34" t="str">
        <f ca="1">IFERROR(__xludf.DUMMYFUNCTION("""COMPUTED_VALUE"""),"Northern CA")</f>
        <v>Northern CA</v>
      </c>
      <c r="K31" s="34" t="str">
        <f ca="1">IFERROR(__xludf.DUMMYFUNCTION("""COMPUTED_VALUE"""),"Napa Valley")</f>
        <v>Napa Valley</v>
      </c>
      <c r="L31" s="34"/>
      <c r="M31" s="34"/>
      <c r="N31" s="37">
        <f ca="1">IFERROR(__xludf.DUMMYFUNCTION("""COMPUTED_VALUE"""),100)</f>
        <v>100</v>
      </c>
      <c r="O31" s="34">
        <f ca="1">IFERROR(__xludf.DUMMYFUNCTION("""COMPUTED_VALUE"""),750)</f>
        <v>750</v>
      </c>
      <c r="P31" s="34" t="str">
        <f ca="1">IFERROR(__xludf.DUMMYFUNCTION("""COMPUTED_VALUE"""),"Short")</f>
        <v>Short</v>
      </c>
      <c r="Q31" s="34" t="str">
        <f ca="1">IFERROR(__xludf.DUMMYFUNCTION("""COMPUTED_VALUE"""),"M9")</f>
        <v>M9</v>
      </c>
      <c r="R31" s="34"/>
      <c r="S31" s="34" t="b">
        <f ca="1">IFERROR(__xludf.DUMMYFUNCTION("""COMPUTED_VALUE"""),FALSE)</f>
        <v>0</v>
      </c>
      <c r="T31" s="34" t="b">
        <f ca="1">IFERROR(__xludf.DUMMYFUNCTION("""COMPUTED_VALUE"""),FALSE)</f>
        <v>0</v>
      </c>
      <c r="U31" s="34" t="b">
        <f ca="1">IFERROR(__xludf.DUMMYFUNCTION("""COMPUTED_VALUE"""),FALSE)</f>
        <v>0</v>
      </c>
      <c r="V31" s="34" t="b">
        <f ca="1">IFERROR(__xludf.DUMMYFUNCTION("""COMPUTED_VALUE"""),FALSE)</f>
        <v>0</v>
      </c>
      <c r="W31" s="34" t="b">
        <f ca="1">IFERROR(__xludf.DUMMYFUNCTION("""COMPUTED_VALUE"""),FALSE)</f>
        <v>0</v>
      </c>
    </row>
    <row r="32" spans="1:23" x14ac:dyDescent="0.2">
      <c r="A32" s="34" t="str">
        <f ca="1">IFERROR(__xludf.DUMMYFUNCTION("""COMPUTED_VALUE"""),"R")</f>
        <v>R</v>
      </c>
      <c r="B32" s="34" t="str">
        <f ca="1">IFERROR(__xludf.DUMMYFUNCTION("""COMPUTED_VALUE"""),"Red")</f>
        <v>Red</v>
      </c>
      <c r="C32" s="34">
        <f ca="1">IFERROR(__xludf.DUMMYFUNCTION("""COMPUTED_VALUE"""),1)</f>
        <v>1</v>
      </c>
      <c r="D32" s="34">
        <f ca="1">IFERROR(__xludf.DUMMYFUNCTION("""COMPUTED_VALUE"""),2012)</f>
        <v>2012</v>
      </c>
      <c r="E32" s="34" t="str">
        <f ca="1">IFERROR(__xludf.DUMMYFUNCTION("""COMPUTED_VALUE"""),"Pax Wines")</f>
        <v>Pax Wines</v>
      </c>
      <c r="F32" s="34" t="str">
        <f ca="1">IFERROR(__xludf.DUMMYFUNCTION("""COMPUTED_VALUE"""),"James Berry Vineyard - Paso Robles")</f>
        <v>James Berry Vineyard - Paso Robles</v>
      </c>
      <c r="G32" s="34" t="str">
        <f ca="1">IFERROR(__xludf.DUMMYFUNCTION("""COMPUTED_VALUE"""),"Syrah")</f>
        <v>Syrah</v>
      </c>
      <c r="H32" s="34" t="str">
        <f ca="1">IFERROR(__xludf.DUMMYFUNCTION("""COMPUTED_VALUE"""),"USA")</f>
        <v>USA</v>
      </c>
      <c r="I32" s="34" t="str">
        <f ca="1">IFERROR(__xludf.DUMMYFUNCTION("""COMPUTED_VALUE"""),"CA")</f>
        <v>CA</v>
      </c>
      <c r="J32" s="34" t="str">
        <f ca="1">IFERROR(__xludf.DUMMYFUNCTION("""COMPUTED_VALUE"""),"Central Coast")</f>
        <v>Central Coast</v>
      </c>
      <c r="K32" s="34" t="str">
        <f ca="1">IFERROR(__xludf.DUMMYFUNCTION("""COMPUTED_VALUE"""),"Paso Robles")</f>
        <v>Paso Robles</v>
      </c>
      <c r="L32" s="34"/>
      <c r="M32" s="34" t="str">
        <f ca="1">IFERROR(__xludf.DUMMYFUNCTION("""COMPUTED_VALUE"""),"James Berry Vineyard")</f>
        <v>James Berry Vineyard</v>
      </c>
      <c r="N32" s="37">
        <f ca="1">IFERROR(__xludf.DUMMYFUNCTION("""COMPUTED_VALUE"""),40)</f>
        <v>40</v>
      </c>
      <c r="O32" s="34">
        <f ca="1">IFERROR(__xludf.DUMMYFUNCTION("""COMPUTED_VALUE"""),750)</f>
        <v>750</v>
      </c>
      <c r="P32" s="34" t="str">
        <f ca="1">IFERROR(__xludf.DUMMYFUNCTION("""COMPUTED_VALUE"""),"Now")</f>
        <v>Now</v>
      </c>
      <c r="Q32" s="34" t="str">
        <f ca="1">IFERROR(__xludf.DUMMYFUNCTION("""COMPUTED_VALUE"""),"Domaine Leflaive OWC ")</f>
        <v xml:space="preserve">Domaine Leflaive OWC </v>
      </c>
      <c r="R32" s="34"/>
      <c r="S32" s="34" t="b">
        <f ca="1">IFERROR(__xludf.DUMMYFUNCTION("""COMPUTED_VALUE"""),TRUE)</f>
        <v>1</v>
      </c>
      <c r="T32" s="34" t="b">
        <f ca="1">IFERROR(__xludf.DUMMYFUNCTION("""COMPUTED_VALUE"""),TRUE)</f>
        <v>1</v>
      </c>
      <c r="U32" s="34" t="b">
        <f ca="1">IFERROR(__xludf.DUMMYFUNCTION("""COMPUTED_VALUE"""),FALSE)</f>
        <v>0</v>
      </c>
      <c r="V32" s="34" t="b">
        <f ca="1">IFERROR(__xludf.DUMMYFUNCTION("""COMPUTED_VALUE"""),FALSE)</f>
        <v>0</v>
      </c>
      <c r="W32" s="34" t="b">
        <f ca="1">IFERROR(__xludf.DUMMYFUNCTION("""COMPUTED_VALUE"""),FALSE)</f>
        <v>0</v>
      </c>
    </row>
    <row r="33" spans="1:23" x14ac:dyDescent="0.2">
      <c r="A33" s="34" t="str">
        <f ca="1">IFERROR(__xludf.DUMMYFUNCTION("""COMPUTED_VALUE"""),"R")</f>
        <v>R</v>
      </c>
      <c r="B33" s="34" t="str">
        <f ca="1">IFERROR(__xludf.DUMMYFUNCTION("""COMPUTED_VALUE"""),"Red")</f>
        <v>Red</v>
      </c>
      <c r="C33" s="34">
        <f ca="1">IFERROR(__xludf.DUMMYFUNCTION("""COMPUTED_VALUE"""),1)</f>
        <v>1</v>
      </c>
      <c r="D33" s="34">
        <f ca="1">IFERROR(__xludf.DUMMYFUNCTION("""COMPUTED_VALUE"""),2017)</f>
        <v>2017</v>
      </c>
      <c r="E33" s="34" t="str">
        <f ca="1">IFERROR(__xludf.DUMMYFUNCTION("""COMPUTED_VALUE"""),"Big Basin Vineyards")</f>
        <v>Big Basin Vineyards</v>
      </c>
      <c r="F33" s="34" t="str">
        <f ca="1">IFERROR(__xludf.DUMMYFUNCTION("""COMPUTED_VALUE"""),"Homestead")</f>
        <v>Homestead</v>
      </c>
      <c r="G33" s="34" t="str">
        <f ca="1">IFERROR(__xludf.DUMMYFUNCTION("""COMPUTED_VALUE"""),"Other")</f>
        <v>Other</v>
      </c>
      <c r="H33" s="34" t="str">
        <f ca="1">IFERROR(__xludf.DUMMYFUNCTION("""COMPUTED_VALUE"""),"USA")</f>
        <v>USA</v>
      </c>
      <c r="I33" s="34" t="str">
        <f ca="1">IFERROR(__xludf.DUMMYFUNCTION("""COMPUTED_VALUE"""),"CA")</f>
        <v>CA</v>
      </c>
      <c r="J33" s="34" t="str">
        <f ca="1">IFERROR(__xludf.DUMMYFUNCTION("""COMPUTED_VALUE"""),"Northern CA")</f>
        <v>Northern CA</v>
      </c>
      <c r="K33" s="34" t="str">
        <f ca="1">IFERROR(__xludf.DUMMYFUNCTION("""COMPUTED_VALUE"""),"Central Coast")</f>
        <v>Central Coast</v>
      </c>
      <c r="L33" s="34"/>
      <c r="M33" s="34"/>
      <c r="N33" s="37">
        <f ca="1">IFERROR(__xludf.DUMMYFUNCTION("""COMPUTED_VALUE"""),35)</f>
        <v>35</v>
      </c>
      <c r="O33" s="34">
        <f ca="1">IFERROR(__xludf.DUMMYFUNCTION("""COMPUTED_VALUE"""),750)</f>
        <v>750</v>
      </c>
      <c r="P33" s="34" t="str">
        <f ca="1">IFERROR(__xludf.DUMMYFUNCTION("""COMPUTED_VALUE"""),"Short")</f>
        <v>Short</v>
      </c>
      <c r="Q33" s="34" t="str">
        <f ca="1">IFERROR(__xludf.DUMMYFUNCTION("""COMPUTED_VALUE"""),"M/S1")</f>
        <v>M/S1</v>
      </c>
      <c r="R33" s="34"/>
      <c r="S33" s="34" t="b">
        <f ca="1">IFERROR(__xludf.DUMMYFUNCTION("""COMPUTED_VALUE"""),TRUE)</f>
        <v>1</v>
      </c>
      <c r="T33" s="34" t="b">
        <f ca="1">IFERROR(__xludf.DUMMYFUNCTION("""COMPUTED_VALUE"""),TRUE)</f>
        <v>1</v>
      </c>
      <c r="U33" s="34" t="b">
        <f ca="1">IFERROR(__xludf.DUMMYFUNCTION("""COMPUTED_VALUE"""),FALSE)</f>
        <v>0</v>
      </c>
      <c r="V33" s="34" t="b">
        <f ca="1">IFERROR(__xludf.DUMMYFUNCTION("""COMPUTED_VALUE"""),TRUE)</f>
        <v>1</v>
      </c>
      <c r="W33" s="34" t="b">
        <f ca="1">IFERROR(__xludf.DUMMYFUNCTION("""COMPUTED_VALUE"""),FALSE)</f>
        <v>0</v>
      </c>
    </row>
    <row r="34" spans="1:23" x14ac:dyDescent="0.2">
      <c r="A34" s="34" t="str">
        <f ca="1">IFERROR(__xludf.DUMMYFUNCTION("""COMPUTED_VALUE"""),"R")</f>
        <v>R</v>
      </c>
      <c r="B34" s="34" t="str">
        <f ca="1">IFERROR(__xludf.DUMMYFUNCTION("""COMPUTED_VALUE"""),"Red")</f>
        <v>Red</v>
      </c>
      <c r="C34" s="34">
        <f ca="1">IFERROR(__xludf.DUMMYFUNCTION("""COMPUTED_VALUE"""),1)</f>
        <v>1</v>
      </c>
      <c r="D34" s="34">
        <f ca="1">IFERROR(__xludf.DUMMYFUNCTION("""COMPUTED_VALUE"""),2016)</f>
        <v>2016</v>
      </c>
      <c r="E34" s="34" t="str">
        <f ca="1">IFERROR(__xludf.DUMMYFUNCTION("""COMPUTED_VALUE"""),"Domaine Carneros")</f>
        <v>Domaine Carneros</v>
      </c>
      <c r="F34" s="34" t="str">
        <f ca="1">IFERROR(__xludf.DUMMYFUNCTION("""COMPUTED_VALUE"""),"La Ciel Serein")</f>
        <v>La Ciel Serein</v>
      </c>
      <c r="G34" s="34" t="str">
        <f ca="1">IFERROR(__xludf.DUMMYFUNCTION("""COMPUTED_VALUE"""),"Pinot Noir")</f>
        <v>Pinot Noir</v>
      </c>
      <c r="H34" s="34" t="str">
        <f ca="1">IFERROR(__xludf.DUMMYFUNCTION("""COMPUTED_VALUE"""),"USA")</f>
        <v>USA</v>
      </c>
      <c r="I34" s="34" t="str">
        <f ca="1">IFERROR(__xludf.DUMMYFUNCTION("""COMPUTED_VALUE"""),"CA")</f>
        <v>CA</v>
      </c>
      <c r="J34" s="34" t="str">
        <f ca="1">IFERROR(__xludf.DUMMYFUNCTION("""COMPUTED_VALUE"""),"Northern CA")</f>
        <v>Northern CA</v>
      </c>
      <c r="K34" s="34" t="str">
        <f ca="1">IFERROR(__xludf.DUMMYFUNCTION("""COMPUTED_VALUE"""),"Napa Valley")</f>
        <v>Napa Valley</v>
      </c>
      <c r="L34" s="34" t="str">
        <f ca="1">IFERROR(__xludf.DUMMYFUNCTION("""COMPUTED_VALUE"""),"Carneros")</f>
        <v>Carneros</v>
      </c>
      <c r="M34" s="34"/>
      <c r="N34" s="37">
        <f ca="1">IFERROR(__xludf.DUMMYFUNCTION("""COMPUTED_VALUE"""),59)</f>
        <v>59</v>
      </c>
      <c r="O34" s="34">
        <f ca="1">IFERROR(__xludf.DUMMYFUNCTION("""COMPUTED_VALUE"""),750)</f>
        <v>750</v>
      </c>
      <c r="P34" s="34" t="str">
        <f ca="1">IFERROR(__xludf.DUMMYFUNCTION("""COMPUTED_VALUE"""),"Short")</f>
        <v>Short</v>
      </c>
      <c r="Q34" s="34" t="str">
        <f ca="1">IFERROR(__xludf.DUMMYFUNCTION("""COMPUTED_VALUE"""),"S1")</f>
        <v>S1</v>
      </c>
      <c r="R34" s="34"/>
      <c r="S34" s="34" t="b">
        <f ca="1">IFERROR(__xludf.DUMMYFUNCTION("""COMPUTED_VALUE"""),TRUE)</f>
        <v>1</v>
      </c>
      <c r="T34" s="34" t="b">
        <f ca="1">IFERROR(__xludf.DUMMYFUNCTION("""COMPUTED_VALUE"""),TRUE)</f>
        <v>1</v>
      </c>
      <c r="U34" s="34" t="b">
        <f ca="1">IFERROR(__xludf.DUMMYFUNCTION("""COMPUTED_VALUE"""),FALSE)</f>
        <v>0</v>
      </c>
      <c r="V34" s="34" t="b">
        <f ca="1">IFERROR(__xludf.DUMMYFUNCTION("""COMPUTED_VALUE"""),TRUE)</f>
        <v>1</v>
      </c>
      <c r="W34" s="34" t="b">
        <f ca="1">IFERROR(__xludf.DUMMYFUNCTION("""COMPUTED_VALUE"""),FALSE)</f>
        <v>0</v>
      </c>
    </row>
    <row r="35" spans="1:23" x14ac:dyDescent="0.2">
      <c r="A35" s="34" t="str">
        <f ca="1">IFERROR(__xludf.DUMMYFUNCTION("""COMPUTED_VALUE"""),"R")</f>
        <v>R</v>
      </c>
      <c r="B35" s="34" t="str">
        <f ca="1">IFERROR(__xludf.DUMMYFUNCTION("""COMPUTED_VALUE"""),"Red")</f>
        <v>Red</v>
      </c>
      <c r="C35" s="34">
        <f ca="1">IFERROR(__xludf.DUMMYFUNCTION("""COMPUTED_VALUE"""),1)</f>
        <v>1</v>
      </c>
      <c r="D35" s="34">
        <f ca="1">IFERROR(__xludf.DUMMYFUNCTION("""COMPUTED_VALUE"""),2016)</f>
        <v>2016</v>
      </c>
      <c r="E35" s="34" t="str">
        <f ca="1">IFERROR(__xludf.DUMMYFUNCTION("""COMPUTED_VALUE"""),"Walt Wines")</f>
        <v>Walt Wines</v>
      </c>
      <c r="F35" s="34" t="str">
        <f ca="1">IFERROR(__xludf.DUMMYFUNCTION("""COMPUTED_VALUE"""),"Sierra Mar")</f>
        <v>Sierra Mar</v>
      </c>
      <c r="G35" s="34" t="str">
        <f ca="1">IFERROR(__xludf.DUMMYFUNCTION("""COMPUTED_VALUE"""),"Pinot Noir")</f>
        <v>Pinot Noir</v>
      </c>
      <c r="H35" s="34" t="str">
        <f ca="1">IFERROR(__xludf.DUMMYFUNCTION("""COMPUTED_VALUE"""),"USA")</f>
        <v>USA</v>
      </c>
      <c r="I35" s="34" t="str">
        <f ca="1">IFERROR(__xludf.DUMMYFUNCTION("""COMPUTED_VALUE"""),"CA")</f>
        <v>CA</v>
      </c>
      <c r="J35" s="34" t="str">
        <f ca="1">IFERROR(__xludf.DUMMYFUNCTION("""COMPUTED_VALUE"""),"Northern CA")</f>
        <v>Northern CA</v>
      </c>
      <c r="K35" s="34" t="str">
        <f ca="1">IFERROR(__xludf.DUMMYFUNCTION("""COMPUTED_VALUE"""),"Central Coast")</f>
        <v>Central Coast</v>
      </c>
      <c r="L35" s="34" t="str">
        <f ca="1">IFERROR(__xludf.DUMMYFUNCTION("""COMPUTED_VALUE"""),"Santa Lucia Highlands")</f>
        <v>Santa Lucia Highlands</v>
      </c>
      <c r="M35" s="34" t="str">
        <f ca="1">IFERROR(__xludf.DUMMYFUNCTION("""COMPUTED_VALUE"""),"Sierra Mar Vineyard")</f>
        <v>Sierra Mar Vineyard</v>
      </c>
      <c r="N35" s="37">
        <f ca="1">IFERROR(__xludf.DUMMYFUNCTION("""COMPUTED_VALUE"""),75)</f>
        <v>75</v>
      </c>
      <c r="O35" s="34">
        <f ca="1">IFERROR(__xludf.DUMMYFUNCTION("""COMPUTED_VALUE"""),750)</f>
        <v>750</v>
      </c>
      <c r="P35" s="34" t="str">
        <f ca="1">IFERROR(__xludf.DUMMYFUNCTION("""COMPUTED_VALUE"""),"Short")</f>
        <v>Short</v>
      </c>
      <c r="Q35" s="34" t="str">
        <f ca="1">IFERROR(__xludf.DUMMYFUNCTION("""COMPUTED_VALUE"""),"S1")</f>
        <v>S1</v>
      </c>
      <c r="R35" s="34"/>
      <c r="S35" s="34" t="b">
        <f ca="1">IFERROR(__xludf.DUMMYFUNCTION("""COMPUTED_VALUE"""),TRUE)</f>
        <v>1</v>
      </c>
      <c r="T35" s="34" t="b">
        <f ca="1">IFERROR(__xludf.DUMMYFUNCTION("""COMPUTED_VALUE"""),TRUE)</f>
        <v>1</v>
      </c>
      <c r="U35" s="34" t="b">
        <f ca="1">IFERROR(__xludf.DUMMYFUNCTION("""COMPUTED_VALUE"""),FALSE)</f>
        <v>0</v>
      </c>
      <c r="V35" s="34" t="b">
        <f ca="1">IFERROR(__xludf.DUMMYFUNCTION("""COMPUTED_VALUE"""),FALSE)</f>
        <v>0</v>
      </c>
      <c r="W35" s="34" t="b">
        <f ca="1">IFERROR(__xludf.DUMMYFUNCTION("""COMPUTED_VALUE"""),FALSE)</f>
        <v>0</v>
      </c>
    </row>
    <row r="36" spans="1:23" x14ac:dyDescent="0.2">
      <c r="A36" s="34" t="str">
        <f ca="1">IFERROR(__xludf.DUMMYFUNCTION("""COMPUTED_VALUE"""),"R")</f>
        <v>R</v>
      </c>
      <c r="B36" s="34" t="str">
        <f ca="1">IFERROR(__xludf.DUMMYFUNCTION("""COMPUTED_VALUE"""),"White")</f>
        <v>White</v>
      </c>
      <c r="C36" s="34">
        <f ca="1">IFERROR(__xludf.DUMMYFUNCTION("""COMPUTED_VALUE"""),1)</f>
        <v>1</v>
      </c>
      <c r="D36" s="34">
        <f ca="1">IFERROR(__xludf.DUMMYFUNCTION("""COMPUTED_VALUE"""),2018)</f>
        <v>2018</v>
      </c>
      <c r="E36" s="34" t="str">
        <f ca="1">IFERROR(__xludf.DUMMYFUNCTION("""COMPUTED_VALUE"""),"Saison Winery")</f>
        <v>Saison Winery</v>
      </c>
      <c r="F36" s="34" t="str">
        <f ca="1">IFERROR(__xludf.DUMMYFUNCTION("""COMPUTED_VALUE"""),"Wirz Vineyard Riesling")</f>
        <v>Wirz Vineyard Riesling</v>
      </c>
      <c r="G36" s="34" t="str">
        <f ca="1">IFERROR(__xludf.DUMMYFUNCTION("""COMPUTED_VALUE"""),"Other")</f>
        <v>Other</v>
      </c>
      <c r="H36" s="34" t="str">
        <f ca="1">IFERROR(__xludf.DUMMYFUNCTION("""COMPUTED_VALUE"""),"USA")</f>
        <v>USA</v>
      </c>
      <c r="I36" s="34" t="str">
        <f ca="1">IFERROR(__xludf.DUMMYFUNCTION("""COMPUTED_VALUE"""),"CA")</f>
        <v>CA</v>
      </c>
      <c r="J36" s="34" t="str">
        <f ca="1">IFERROR(__xludf.DUMMYFUNCTION("""COMPUTED_VALUE"""),"Northern CA")</f>
        <v>Northern CA</v>
      </c>
      <c r="K36" s="34" t="str">
        <f ca="1">IFERROR(__xludf.DUMMYFUNCTION("""COMPUTED_VALUE"""),"Cienga Valley")</f>
        <v>Cienga Valley</v>
      </c>
      <c r="L36" s="34"/>
      <c r="M36" s="34" t="str">
        <f ca="1">IFERROR(__xludf.DUMMYFUNCTION("""COMPUTED_VALUE"""),"Wirz Vineyard")</f>
        <v>Wirz Vineyard</v>
      </c>
      <c r="N36" s="37"/>
      <c r="O36" s="34">
        <f ca="1">IFERROR(__xludf.DUMMYFUNCTION("""COMPUTED_VALUE"""),750)</f>
        <v>750</v>
      </c>
      <c r="P36" s="34" t="str">
        <f ca="1">IFERROR(__xludf.DUMMYFUNCTION("""COMPUTED_VALUE"""),"Short")</f>
        <v>Short</v>
      </c>
      <c r="Q36" s="34" t="str">
        <f ca="1">IFERROR(__xludf.DUMMYFUNCTION("""COMPUTED_VALUE"""),"M/S1")</f>
        <v>M/S1</v>
      </c>
      <c r="R36" s="34"/>
      <c r="S36" s="34" t="b">
        <f ca="1">IFERROR(__xludf.DUMMYFUNCTION("""COMPUTED_VALUE"""),TRUE)</f>
        <v>1</v>
      </c>
      <c r="T36" s="34" t="b">
        <f ca="1">IFERROR(__xludf.DUMMYFUNCTION("""COMPUTED_VALUE"""),FALSE)</f>
        <v>0</v>
      </c>
      <c r="U36" s="34" t="b">
        <f ca="1">IFERROR(__xludf.DUMMYFUNCTION("""COMPUTED_VALUE"""),FALSE)</f>
        <v>0</v>
      </c>
      <c r="V36" s="34" t="b">
        <f ca="1">IFERROR(__xludf.DUMMYFUNCTION("""COMPUTED_VALUE"""),TRUE)</f>
        <v>1</v>
      </c>
      <c r="W36" s="34" t="b">
        <f ca="1">IFERROR(__xludf.DUMMYFUNCTION("""COMPUTED_VALUE"""),FALSE)</f>
        <v>0</v>
      </c>
    </row>
    <row r="37" spans="1:23" x14ac:dyDescent="0.2">
      <c r="A37" s="34" t="str">
        <f ca="1">IFERROR(__xludf.DUMMYFUNCTION("""COMPUTED_VALUE"""),"R")</f>
        <v>R</v>
      </c>
      <c r="B37" s="34" t="str">
        <f ca="1">IFERROR(__xludf.DUMMYFUNCTION("""COMPUTED_VALUE"""),"Red")</f>
        <v>Red</v>
      </c>
      <c r="C37" s="34">
        <f ca="1">IFERROR(__xludf.DUMMYFUNCTION("""COMPUTED_VALUE"""),1)</f>
        <v>1</v>
      </c>
      <c r="D37" s="34">
        <f ca="1">IFERROR(__xludf.DUMMYFUNCTION("""COMPUTED_VALUE"""),2018)</f>
        <v>2018</v>
      </c>
      <c r="E37" s="34" t="str">
        <f ca="1">IFERROR(__xludf.DUMMYFUNCTION("""COMPUTED_VALUE"""),"Joseph Phelps Winery")</f>
        <v>Joseph Phelps Winery</v>
      </c>
      <c r="F37" s="34" t="str">
        <f ca="1">IFERROR(__xludf.DUMMYFUNCTION("""COMPUTED_VALUE"""),"Freestone Vineyard")</f>
        <v>Freestone Vineyard</v>
      </c>
      <c r="G37" s="34" t="str">
        <f ca="1">IFERROR(__xludf.DUMMYFUNCTION("""COMPUTED_VALUE"""),"Pinot Noir")</f>
        <v>Pinot Noir</v>
      </c>
      <c r="H37" s="34" t="str">
        <f ca="1">IFERROR(__xludf.DUMMYFUNCTION("""COMPUTED_VALUE"""),"USA")</f>
        <v>USA</v>
      </c>
      <c r="I37" s="34" t="str">
        <f ca="1">IFERROR(__xludf.DUMMYFUNCTION("""COMPUTED_VALUE"""),"CA")</f>
        <v>CA</v>
      </c>
      <c r="J37" s="34" t="str">
        <f ca="1">IFERROR(__xludf.DUMMYFUNCTION("""COMPUTED_VALUE"""),"Sonoma Coast")</f>
        <v>Sonoma Coast</v>
      </c>
      <c r="K37" s="34"/>
      <c r="L37" s="34"/>
      <c r="M37" s="34" t="str">
        <f ca="1">IFERROR(__xludf.DUMMYFUNCTION("""COMPUTED_VALUE"""),"Freestone Vineyard")</f>
        <v>Freestone Vineyard</v>
      </c>
      <c r="N37" s="37">
        <f ca="1">IFERROR(__xludf.DUMMYFUNCTION("""COMPUTED_VALUE"""),45)</f>
        <v>45</v>
      </c>
      <c r="O37" s="34">
        <f ca="1">IFERROR(__xludf.DUMMYFUNCTION("""COMPUTED_VALUE"""),750)</f>
        <v>750</v>
      </c>
      <c r="P37" s="34" t="str">
        <f ca="1">IFERROR(__xludf.DUMMYFUNCTION("""COMPUTED_VALUE"""),"Now")</f>
        <v>Now</v>
      </c>
      <c r="Q37" s="34" t="str">
        <f ca="1">IFERROR(__xludf.DUMMYFUNCTION("""COMPUTED_VALUE"""),"M7")</f>
        <v>M7</v>
      </c>
      <c r="R37" s="34"/>
      <c r="S37" s="34" t="b">
        <f ca="1">IFERROR(__xludf.DUMMYFUNCTION("""COMPUTED_VALUE"""),TRUE)</f>
        <v>1</v>
      </c>
      <c r="T37" s="34" t="b">
        <f ca="1">IFERROR(__xludf.DUMMYFUNCTION("""COMPUTED_VALUE"""),FALSE)</f>
        <v>0</v>
      </c>
      <c r="U37" s="34" t="b">
        <f ca="1">IFERROR(__xludf.DUMMYFUNCTION("""COMPUTED_VALUE"""),TRUE)</f>
        <v>1</v>
      </c>
      <c r="V37" s="34" t="b">
        <f ca="1">IFERROR(__xludf.DUMMYFUNCTION("""COMPUTED_VALUE"""),TRUE)</f>
        <v>1</v>
      </c>
      <c r="W37" s="34" t="b">
        <f ca="1">IFERROR(__xludf.DUMMYFUNCTION("""COMPUTED_VALUE"""),FALSE)</f>
        <v>0</v>
      </c>
    </row>
    <row r="38" spans="1:23" x14ac:dyDescent="0.2">
      <c r="A38" s="34" t="str">
        <f ca="1">IFERROR(__xludf.DUMMYFUNCTION("""COMPUTED_VALUE"""),"R")</f>
        <v>R</v>
      </c>
      <c r="B38" s="34" t="str">
        <f ca="1">IFERROR(__xludf.DUMMYFUNCTION("""COMPUTED_VALUE"""),"Red")</f>
        <v>Red</v>
      </c>
      <c r="C38" s="34">
        <f ca="1">IFERROR(__xludf.DUMMYFUNCTION("""COMPUTED_VALUE"""),1)</f>
        <v>1</v>
      </c>
      <c r="D38" s="34">
        <f ca="1">IFERROR(__xludf.DUMMYFUNCTION("""COMPUTED_VALUE"""),2017)</f>
        <v>2017</v>
      </c>
      <c r="E38" s="34" t="str">
        <f ca="1">IFERROR(__xludf.DUMMYFUNCTION("""COMPUTED_VALUE"""),"Phillips Hill")</f>
        <v>Phillips Hill</v>
      </c>
      <c r="F38" s="34" t="str">
        <f ca="1">IFERROR(__xludf.DUMMYFUNCTION("""COMPUTED_VALUE"""),"Oppenlander Vineyard ")</f>
        <v xml:space="preserve">Oppenlander Vineyard </v>
      </c>
      <c r="G38" s="34" t="str">
        <f ca="1">IFERROR(__xludf.DUMMYFUNCTION("""COMPUTED_VALUE"""),"Pinot Noir")</f>
        <v>Pinot Noir</v>
      </c>
      <c r="H38" s="34" t="str">
        <f ca="1">IFERROR(__xludf.DUMMYFUNCTION("""COMPUTED_VALUE"""),"USA")</f>
        <v>USA</v>
      </c>
      <c r="I38" s="34" t="str">
        <f ca="1">IFERROR(__xludf.DUMMYFUNCTION("""COMPUTED_VALUE"""),"CA")</f>
        <v>CA</v>
      </c>
      <c r="J38" s="34" t="str">
        <f ca="1">IFERROR(__xludf.DUMMYFUNCTION("""COMPUTED_VALUE"""),"Northern CA")</f>
        <v>Northern CA</v>
      </c>
      <c r="K38" s="34" t="str">
        <f ca="1">IFERROR(__xludf.DUMMYFUNCTION("""COMPUTED_VALUE"""),"Mendocino County")</f>
        <v>Mendocino County</v>
      </c>
      <c r="L38" s="34" t="str">
        <f ca="1">IFERROR(__xludf.DUMMYFUNCTION("""COMPUTED_VALUE"""),"Anderson Valley")</f>
        <v>Anderson Valley</v>
      </c>
      <c r="M38" s="34" t="str">
        <f ca="1">IFERROR(__xludf.DUMMYFUNCTION("""COMPUTED_VALUE"""),"Oppenlander Vineyard")</f>
        <v>Oppenlander Vineyard</v>
      </c>
      <c r="N38" s="37">
        <f ca="1">IFERROR(__xludf.DUMMYFUNCTION("""COMPUTED_VALUE"""),40)</f>
        <v>40</v>
      </c>
      <c r="O38" s="34">
        <f ca="1">IFERROR(__xludf.DUMMYFUNCTION("""COMPUTED_VALUE"""),750)</f>
        <v>750</v>
      </c>
      <c r="P38" s="34" t="str">
        <f ca="1">IFERROR(__xludf.DUMMYFUNCTION("""COMPUTED_VALUE"""),"Short")</f>
        <v>Short</v>
      </c>
      <c r="Q38" s="34" t="str">
        <f ca="1">IFERROR(__xludf.DUMMYFUNCTION("""COMPUTED_VALUE"""),"S1")</f>
        <v>S1</v>
      </c>
      <c r="R38" s="34"/>
      <c r="S38" s="34" t="b">
        <f ca="1">IFERROR(__xludf.DUMMYFUNCTION("""COMPUTED_VALUE"""),TRUE)</f>
        <v>1</v>
      </c>
      <c r="T38" s="34" t="b">
        <f ca="1">IFERROR(__xludf.DUMMYFUNCTION("""COMPUTED_VALUE"""),FALSE)</f>
        <v>0</v>
      </c>
      <c r="U38" s="34" t="b">
        <f ca="1">IFERROR(__xludf.DUMMYFUNCTION("""COMPUTED_VALUE"""),FALSE)</f>
        <v>0</v>
      </c>
      <c r="V38" s="34" t="b">
        <f ca="1">IFERROR(__xludf.DUMMYFUNCTION("""COMPUTED_VALUE"""),TRUE)</f>
        <v>1</v>
      </c>
      <c r="W38" s="34" t="b">
        <f ca="1">IFERROR(__xludf.DUMMYFUNCTION("""COMPUTED_VALUE"""),TRUE)</f>
        <v>1</v>
      </c>
    </row>
    <row r="39" spans="1:23" x14ac:dyDescent="0.2">
      <c r="A39" s="34" t="str">
        <f ca="1">IFERROR(__xludf.DUMMYFUNCTION("""COMPUTED_VALUE"""),"R+M")</f>
        <v>R+M</v>
      </c>
      <c r="B39" s="34" t="str">
        <f ca="1">IFERROR(__xludf.DUMMYFUNCTION("""COMPUTED_VALUE"""),"Red")</f>
        <v>Red</v>
      </c>
      <c r="C39" s="34">
        <f ca="1">IFERROR(__xludf.DUMMYFUNCTION("""COMPUTED_VALUE"""),1)</f>
        <v>1</v>
      </c>
      <c r="D39" s="34">
        <f ca="1">IFERROR(__xludf.DUMMYFUNCTION("""COMPUTED_VALUE"""),2018)</f>
        <v>2018</v>
      </c>
      <c r="E39" s="34" t="str">
        <f ca="1">IFERROR(__xludf.DUMMYFUNCTION("""COMPUTED_VALUE"""),"Matthiasson Winery")</f>
        <v>Matthiasson Winery</v>
      </c>
      <c r="F39" s="34" t="str">
        <f ca="1">IFERROR(__xludf.DUMMYFUNCTION("""COMPUTED_VALUE"""),"Michael Mara Vineyard Chardonnay")</f>
        <v>Michael Mara Vineyard Chardonnay</v>
      </c>
      <c r="G39" s="34" t="str">
        <f ca="1">IFERROR(__xludf.DUMMYFUNCTION("""COMPUTED_VALUE"""),"Chardonnay")</f>
        <v>Chardonnay</v>
      </c>
      <c r="H39" s="34" t="str">
        <f ca="1">IFERROR(__xludf.DUMMYFUNCTION("""COMPUTED_VALUE"""),"USA")</f>
        <v>USA</v>
      </c>
      <c r="I39" s="34" t="str">
        <f ca="1">IFERROR(__xludf.DUMMYFUNCTION("""COMPUTED_VALUE"""),"CA")</f>
        <v>CA</v>
      </c>
      <c r="J39" s="34" t="str">
        <f ca="1">IFERROR(__xludf.DUMMYFUNCTION("""COMPUTED_VALUE"""),"Northern CA")</f>
        <v>Northern CA</v>
      </c>
      <c r="K39" s="34" t="str">
        <f ca="1">IFERROR(__xludf.DUMMYFUNCTION("""COMPUTED_VALUE"""),"Sonoma Coast")</f>
        <v>Sonoma Coast</v>
      </c>
      <c r="L39" s="34"/>
      <c r="M39" s="34" t="str">
        <f ca="1">IFERROR(__xludf.DUMMYFUNCTION("""COMPUTED_VALUE"""),"Michael Mara Vineyard")</f>
        <v>Michael Mara Vineyard</v>
      </c>
      <c r="N39" s="37">
        <f ca="1">IFERROR(__xludf.DUMMYFUNCTION("""COMPUTED_VALUE"""),40)</f>
        <v>40</v>
      </c>
      <c r="O39" s="34">
        <f ca="1">IFERROR(__xludf.DUMMYFUNCTION("""COMPUTED_VALUE"""),750)</f>
        <v>750</v>
      </c>
      <c r="P39" s="34" t="str">
        <f ca="1">IFERROR(__xludf.DUMMYFUNCTION("""COMPUTED_VALUE"""),"Now")</f>
        <v>Now</v>
      </c>
      <c r="Q39" s="34" t="str">
        <f ca="1">IFERROR(__xludf.DUMMYFUNCTION("""COMPUTED_VALUE"""),"Domaine Wine Storage ")</f>
        <v xml:space="preserve">Domaine Wine Storage </v>
      </c>
      <c r="R39" s="34"/>
      <c r="S39" s="34" t="b">
        <f ca="1">IFERROR(__xludf.DUMMYFUNCTION("""COMPUTED_VALUE"""),FALSE)</f>
        <v>0</v>
      </c>
      <c r="T39" s="34" t="b">
        <f ca="1">IFERROR(__xludf.DUMMYFUNCTION("""COMPUTED_VALUE"""),FALSE)</f>
        <v>0</v>
      </c>
      <c r="U39" s="34" t="b">
        <f ca="1">IFERROR(__xludf.DUMMYFUNCTION("""COMPUTED_VALUE"""),FALSE)</f>
        <v>0</v>
      </c>
      <c r="V39" s="34" t="b">
        <f ca="1">IFERROR(__xludf.DUMMYFUNCTION("""COMPUTED_VALUE"""),FALSE)</f>
        <v>0</v>
      </c>
      <c r="W39" s="34" t="b">
        <f ca="1">IFERROR(__xludf.DUMMYFUNCTION("""COMPUTED_VALUE"""),FALSE)</f>
        <v>0</v>
      </c>
    </row>
    <row r="40" spans="1:23" x14ac:dyDescent="0.2">
      <c r="A40" s="34" t="str">
        <f ca="1">IFERROR(__xludf.DUMMYFUNCTION("""COMPUTED_VALUE"""),"R+M")</f>
        <v>R+M</v>
      </c>
      <c r="B40" s="34" t="str">
        <f ca="1">IFERROR(__xludf.DUMMYFUNCTION("""COMPUTED_VALUE"""),"White")</f>
        <v>White</v>
      </c>
      <c r="C40" s="34">
        <f ca="1">IFERROR(__xludf.DUMMYFUNCTION("""COMPUTED_VALUE"""),1)</f>
        <v>1</v>
      </c>
      <c r="D40" s="34">
        <f ca="1">IFERROR(__xludf.DUMMYFUNCTION("""COMPUTED_VALUE"""),2018)</f>
        <v>2018</v>
      </c>
      <c r="E40" s="34" t="str">
        <f ca="1">IFERROR(__xludf.DUMMYFUNCTION("""COMPUTED_VALUE"""),"White Rock Vineyards")</f>
        <v>White Rock Vineyards</v>
      </c>
      <c r="F40" s="34" t="str">
        <f ca="1">IFERROR(__xludf.DUMMYFUNCTION("""COMPUTED_VALUE"""),"Breccia")</f>
        <v>Breccia</v>
      </c>
      <c r="G40" s="34" t="str">
        <f ca="1">IFERROR(__xludf.DUMMYFUNCTION("""COMPUTED_VALUE"""),"Chardonnay")</f>
        <v>Chardonnay</v>
      </c>
      <c r="H40" s="34" t="str">
        <f ca="1">IFERROR(__xludf.DUMMYFUNCTION("""COMPUTED_VALUE"""),"USA")</f>
        <v>USA</v>
      </c>
      <c r="I40" s="34" t="str">
        <f ca="1">IFERROR(__xludf.DUMMYFUNCTION("""COMPUTED_VALUE"""),"CA")</f>
        <v>CA</v>
      </c>
      <c r="J40" s="34" t="str">
        <f ca="1">IFERROR(__xludf.DUMMYFUNCTION("""COMPUTED_VALUE"""),"Northern CA")</f>
        <v>Northern CA</v>
      </c>
      <c r="K40" s="34" t="str">
        <f ca="1">IFERROR(__xludf.DUMMYFUNCTION("""COMPUTED_VALUE"""),"Napa Valley")</f>
        <v>Napa Valley</v>
      </c>
      <c r="L40" s="34"/>
      <c r="M40" s="34"/>
      <c r="N40" s="37">
        <f ca="1">IFERROR(__xludf.DUMMYFUNCTION("""COMPUTED_VALUE"""),85)</f>
        <v>85</v>
      </c>
      <c r="O40" s="34">
        <f ca="1">IFERROR(__xludf.DUMMYFUNCTION("""COMPUTED_VALUE"""),750)</f>
        <v>750</v>
      </c>
      <c r="P40" s="34" t="str">
        <f ca="1">IFERROR(__xludf.DUMMYFUNCTION("""COMPUTED_VALUE"""),"Short")</f>
        <v>Short</v>
      </c>
      <c r="Q40" s="34" t="str">
        <f ca="1">IFERROR(__xludf.DUMMYFUNCTION("""COMPUTED_VALUE"""),"M9")</f>
        <v>M9</v>
      </c>
      <c r="R40" s="34"/>
      <c r="S40" s="34" t="b">
        <f ca="1">IFERROR(__xludf.DUMMYFUNCTION("""COMPUTED_VALUE"""),FALSE)</f>
        <v>0</v>
      </c>
      <c r="T40" s="34" t="b">
        <f ca="1">IFERROR(__xludf.DUMMYFUNCTION("""COMPUTED_VALUE"""),FALSE)</f>
        <v>0</v>
      </c>
      <c r="U40" s="34" t="b">
        <f ca="1">IFERROR(__xludf.DUMMYFUNCTION("""COMPUTED_VALUE"""),FALSE)</f>
        <v>0</v>
      </c>
      <c r="V40" s="34" t="b">
        <f ca="1">IFERROR(__xludf.DUMMYFUNCTION("""COMPUTED_VALUE"""),FALSE)</f>
        <v>0</v>
      </c>
      <c r="W40" s="34" t="b">
        <f ca="1">IFERROR(__xludf.DUMMYFUNCTION("""COMPUTED_VALUE"""),FALSE)</f>
        <v>0</v>
      </c>
    </row>
    <row r="41" spans="1:23" x14ac:dyDescent="0.2">
      <c r="A41" s="34" t="str">
        <f ca="1">IFERROR(__xludf.DUMMYFUNCTION("""COMPUTED_VALUE"""),"R")</f>
        <v>R</v>
      </c>
      <c r="B41" s="34" t="str">
        <f ca="1">IFERROR(__xludf.DUMMYFUNCTION("""COMPUTED_VALUE"""),"Sparkling")</f>
        <v>Sparkling</v>
      </c>
      <c r="C41" s="34">
        <f ca="1">IFERROR(__xludf.DUMMYFUNCTION("""COMPUTED_VALUE"""),1)</f>
        <v>1</v>
      </c>
      <c r="D41" s="34">
        <f ca="1">IFERROR(__xludf.DUMMYFUNCTION("""COMPUTED_VALUE"""),2018)</f>
        <v>2018</v>
      </c>
      <c r="E41" s="34" t="str">
        <f ca="1">IFERROR(__xludf.DUMMYFUNCTION("""COMPUTED_VALUE"""),"Ultramarine")</f>
        <v>Ultramarine</v>
      </c>
      <c r="F41" s="34" t="str">
        <f ca="1">IFERROR(__xludf.DUMMYFUNCTION("""COMPUTED_VALUE"""),"Keefer Ranch Blanc de Blancs")</f>
        <v>Keefer Ranch Blanc de Blancs</v>
      </c>
      <c r="G41" s="34" t="str">
        <f ca="1">IFERROR(__xludf.DUMMYFUNCTION("""COMPUTED_VALUE"""),"Chardonnay")</f>
        <v>Chardonnay</v>
      </c>
      <c r="H41" s="34" t="str">
        <f ca="1">IFERROR(__xludf.DUMMYFUNCTION("""COMPUTED_VALUE"""),"USA")</f>
        <v>USA</v>
      </c>
      <c r="I41" s="34" t="str">
        <f ca="1">IFERROR(__xludf.DUMMYFUNCTION("""COMPUTED_VALUE"""),"CA")</f>
        <v>CA</v>
      </c>
      <c r="J41" s="34" t="str">
        <f ca="1">IFERROR(__xludf.DUMMYFUNCTION("""COMPUTED_VALUE"""),"Sonoma Coast")</f>
        <v>Sonoma Coast</v>
      </c>
      <c r="K41" s="34"/>
      <c r="L41" s="34"/>
      <c r="M41" s="34" t="str">
        <f ca="1">IFERROR(__xludf.DUMMYFUNCTION("""COMPUTED_VALUE"""),"Keefer Ranch")</f>
        <v>Keefer Ranch</v>
      </c>
      <c r="N41" s="37">
        <f ca="1">IFERROR(__xludf.DUMMYFUNCTION("""COMPUTED_VALUE"""),80)</f>
        <v>80</v>
      </c>
      <c r="O41" s="34">
        <f ca="1">IFERROR(__xludf.DUMMYFUNCTION("""COMPUTED_VALUE"""),750)</f>
        <v>750</v>
      </c>
      <c r="P41" s="34" t="str">
        <f ca="1">IFERROR(__xludf.DUMMYFUNCTION("""COMPUTED_VALUE"""),"Short")</f>
        <v>Short</v>
      </c>
      <c r="Q41" s="34" t="str">
        <f ca="1">IFERROR(__xludf.DUMMYFUNCTION("""COMPUTED_VALUE"""),"M3")</f>
        <v>M3</v>
      </c>
      <c r="R41" s="34"/>
      <c r="S41" s="34" t="b">
        <f ca="1">IFERROR(__xludf.DUMMYFUNCTION("""COMPUTED_VALUE"""),FALSE)</f>
        <v>0</v>
      </c>
      <c r="T41" s="34" t="b">
        <f ca="1">IFERROR(__xludf.DUMMYFUNCTION("""COMPUTED_VALUE"""),FALSE)</f>
        <v>0</v>
      </c>
      <c r="U41" s="34" t="b">
        <f ca="1">IFERROR(__xludf.DUMMYFUNCTION("""COMPUTED_VALUE"""),FALSE)</f>
        <v>0</v>
      </c>
      <c r="V41" s="34" t="b">
        <f ca="1">IFERROR(__xludf.DUMMYFUNCTION("""COMPUTED_VALUE"""),FALSE)</f>
        <v>0</v>
      </c>
      <c r="W41" s="34" t="b">
        <f ca="1">IFERROR(__xludf.DUMMYFUNCTION("""COMPUTED_VALUE"""),FALSE)</f>
        <v>0</v>
      </c>
    </row>
    <row r="42" spans="1:23" x14ac:dyDescent="0.2">
      <c r="A42" s="34" t="str">
        <f ca="1">IFERROR(__xludf.DUMMYFUNCTION("""COMPUTED_VALUE"""),"R+M")</f>
        <v>R+M</v>
      </c>
      <c r="B42" s="34" t="str">
        <f ca="1">IFERROR(__xludf.DUMMYFUNCTION("""COMPUTED_VALUE"""),"Red")</f>
        <v>Red</v>
      </c>
      <c r="C42" s="34">
        <f ca="1">IFERROR(__xludf.DUMMYFUNCTION("""COMPUTED_VALUE"""),1)</f>
        <v>1</v>
      </c>
      <c r="D42" s="34">
        <f ca="1">IFERROR(__xludf.DUMMYFUNCTION("""COMPUTED_VALUE"""),2019)</f>
        <v>2019</v>
      </c>
      <c r="E42" s="34" t="str">
        <f ca="1">IFERROR(__xludf.DUMMYFUNCTION("""COMPUTED_VALUE"""),"Di Costanzo")</f>
        <v>Di Costanzo</v>
      </c>
      <c r="F42" s="34" t="str">
        <f ca="1">IFERROR(__xludf.DUMMYFUNCTION("""COMPUTED_VALUE"""),"DI CO")</f>
        <v>DI CO</v>
      </c>
      <c r="G42" s="34" t="str">
        <f ca="1">IFERROR(__xludf.DUMMYFUNCTION("""COMPUTED_VALUE"""),"Cabernet Sauvignon")</f>
        <v>Cabernet Sauvignon</v>
      </c>
      <c r="H42" s="34" t="str">
        <f ca="1">IFERROR(__xludf.DUMMYFUNCTION("""COMPUTED_VALUE"""),"USA")</f>
        <v>USA</v>
      </c>
      <c r="I42" s="34" t="str">
        <f ca="1">IFERROR(__xludf.DUMMYFUNCTION("""COMPUTED_VALUE"""),"CA")</f>
        <v>CA</v>
      </c>
      <c r="J42" s="34" t="str">
        <f ca="1">IFERROR(__xludf.DUMMYFUNCTION("""COMPUTED_VALUE"""),"Northern CA")</f>
        <v>Northern CA</v>
      </c>
      <c r="K42" s="34" t="str">
        <f ca="1">IFERROR(__xludf.DUMMYFUNCTION("""COMPUTED_VALUE"""),"Napa Valley")</f>
        <v>Napa Valley</v>
      </c>
      <c r="L42" s="34"/>
      <c r="M42" s="34"/>
      <c r="N42" s="37">
        <f ca="1">IFERROR(__xludf.DUMMYFUNCTION("""COMPUTED_VALUE"""),65)</f>
        <v>65</v>
      </c>
      <c r="O42" s="34">
        <f ca="1">IFERROR(__xludf.DUMMYFUNCTION("""COMPUTED_VALUE"""),750)</f>
        <v>750</v>
      </c>
      <c r="P42" s="34" t="str">
        <f ca="1">IFERROR(__xludf.DUMMYFUNCTION("""COMPUTED_VALUE"""),"Short")</f>
        <v>Short</v>
      </c>
      <c r="Q42" s="34" t="str">
        <f ca="1">IFERROR(__xludf.DUMMYFUNCTION("""COMPUTED_VALUE"""),"S2")</f>
        <v>S2</v>
      </c>
      <c r="R42" s="34"/>
      <c r="S42" s="34" t="b">
        <f ca="1">IFERROR(__xludf.DUMMYFUNCTION("""COMPUTED_VALUE"""),TRUE)</f>
        <v>1</v>
      </c>
      <c r="T42" s="34" t="b">
        <f ca="1">IFERROR(__xludf.DUMMYFUNCTION("""COMPUTED_VALUE"""),TRUE)</f>
        <v>1</v>
      </c>
      <c r="U42" s="34" t="b">
        <f ca="1">IFERROR(__xludf.DUMMYFUNCTION("""COMPUTED_VALUE"""),FALSE)</f>
        <v>0</v>
      </c>
      <c r="V42" s="34" t="b">
        <f ca="1">IFERROR(__xludf.DUMMYFUNCTION("""COMPUTED_VALUE"""),FALSE)</f>
        <v>0</v>
      </c>
      <c r="W42" s="34" t="b">
        <f ca="1">IFERROR(__xludf.DUMMYFUNCTION("""COMPUTED_VALUE"""),FALSE)</f>
        <v>0</v>
      </c>
    </row>
    <row r="43" spans="1:23" x14ac:dyDescent="0.2">
      <c r="A43" s="34" t="str">
        <f ca="1">IFERROR(__xludf.DUMMYFUNCTION("""COMPUTED_VALUE"""),"R")</f>
        <v>R</v>
      </c>
      <c r="B43" s="34" t="str">
        <f ca="1">IFERROR(__xludf.DUMMYFUNCTION("""COMPUTED_VALUE"""),"Red")</f>
        <v>Red</v>
      </c>
      <c r="C43" s="34">
        <f ca="1">IFERROR(__xludf.DUMMYFUNCTION("""COMPUTED_VALUE"""),1)</f>
        <v>1</v>
      </c>
      <c r="D43" s="34">
        <f ca="1">IFERROR(__xludf.DUMMYFUNCTION("""COMPUTED_VALUE"""),2018)</f>
        <v>2018</v>
      </c>
      <c r="E43" s="34" t="str">
        <f ca="1">IFERROR(__xludf.DUMMYFUNCTION("""COMPUTED_VALUE"""),"Force Majure")</f>
        <v>Force Majure</v>
      </c>
      <c r="F43" s="34" t="str">
        <f ca="1">IFERROR(__xludf.DUMMYFUNCTION("""COMPUTED_VALUE"""),"Parabellum Coulee")</f>
        <v>Parabellum Coulee</v>
      </c>
      <c r="G43" s="34" t="str">
        <f ca="1">IFERROR(__xludf.DUMMYFUNCTION("""COMPUTED_VALUE"""),"Rhone Blend")</f>
        <v>Rhone Blend</v>
      </c>
      <c r="H43" s="34" t="str">
        <f ca="1">IFERROR(__xludf.DUMMYFUNCTION("""COMPUTED_VALUE"""),"USA")</f>
        <v>USA</v>
      </c>
      <c r="I43" s="34" t="str">
        <f ca="1">IFERROR(__xludf.DUMMYFUNCTION("""COMPUTED_VALUE"""),"WA")</f>
        <v>WA</v>
      </c>
      <c r="J43" s="34"/>
      <c r="K43" s="34"/>
      <c r="L43" s="34"/>
      <c r="M43" s="34"/>
      <c r="N43" s="37">
        <f ca="1">IFERROR(__xludf.DUMMYFUNCTION("""COMPUTED_VALUE"""),57)</f>
        <v>57</v>
      </c>
      <c r="O43" s="34">
        <f ca="1">IFERROR(__xludf.DUMMYFUNCTION("""COMPUTED_VALUE"""),750)</f>
        <v>750</v>
      </c>
      <c r="P43" s="34" t="str">
        <f ca="1">IFERROR(__xludf.DUMMYFUNCTION("""COMPUTED_VALUE"""),"Short")</f>
        <v>Short</v>
      </c>
      <c r="Q43" s="34" t="str">
        <f ca="1">IFERROR(__xludf.DUMMYFUNCTION("""COMPUTED_VALUE"""),"M/S1")</f>
        <v>M/S1</v>
      </c>
      <c r="R43" s="34"/>
      <c r="S43" s="34" t="b">
        <f ca="1">IFERROR(__xludf.DUMMYFUNCTION("""COMPUTED_VALUE"""),TRUE)</f>
        <v>1</v>
      </c>
      <c r="T43" s="34" t="b">
        <f ca="1">IFERROR(__xludf.DUMMYFUNCTION("""COMPUTED_VALUE"""),FALSE)</f>
        <v>0</v>
      </c>
      <c r="U43" s="34" t="b">
        <f ca="1">IFERROR(__xludf.DUMMYFUNCTION("""COMPUTED_VALUE"""),FALSE)</f>
        <v>0</v>
      </c>
      <c r="V43" s="34" t="b">
        <f ca="1">IFERROR(__xludf.DUMMYFUNCTION("""COMPUTED_VALUE"""),FALSE)</f>
        <v>0</v>
      </c>
      <c r="W43" s="34" t="b">
        <f ca="1">IFERROR(__xludf.DUMMYFUNCTION("""COMPUTED_VALUE"""),TRUE)</f>
        <v>1</v>
      </c>
    </row>
    <row r="44" spans="1:23" x14ac:dyDescent="0.2">
      <c r="A44" s="34" t="str">
        <f ca="1">IFERROR(__xludf.DUMMYFUNCTION("""COMPUTED_VALUE"""),"R+M")</f>
        <v>R+M</v>
      </c>
      <c r="B44" s="34" t="str">
        <f ca="1">IFERROR(__xludf.DUMMYFUNCTION("""COMPUTED_VALUE"""),"Red")</f>
        <v>Red</v>
      </c>
      <c r="C44" s="34">
        <f ca="1">IFERROR(__xludf.DUMMYFUNCTION("""COMPUTED_VALUE"""),2)</f>
        <v>2</v>
      </c>
      <c r="D44" s="34">
        <f ca="1">IFERROR(__xludf.DUMMYFUNCTION("""COMPUTED_VALUE"""),2019)</f>
        <v>2019</v>
      </c>
      <c r="E44" s="34" t="str">
        <f ca="1">IFERROR(__xludf.DUMMYFUNCTION("""COMPUTED_VALUE"""),"Di Costanzo")</f>
        <v>Di Costanzo</v>
      </c>
      <c r="F44" s="34" t="str">
        <f ca="1">IFERROR(__xludf.DUMMYFUNCTION("""COMPUTED_VALUE"""),"DI CO")</f>
        <v>DI CO</v>
      </c>
      <c r="G44" s="34" t="str">
        <f ca="1">IFERROR(__xludf.DUMMYFUNCTION("""COMPUTED_VALUE"""),"Cabernet Sauvignon")</f>
        <v>Cabernet Sauvignon</v>
      </c>
      <c r="H44" s="34" t="str">
        <f ca="1">IFERROR(__xludf.DUMMYFUNCTION("""COMPUTED_VALUE"""),"USA")</f>
        <v>USA</v>
      </c>
      <c r="I44" s="34" t="str">
        <f ca="1">IFERROR(__xludf.DUMMYFUNCTION("""COMPUTED_VALUE"""),"CA")</f>
        <v>CA</v>
      </c>
      <c r="J44" s="34" t="str">
        <f ca="1">IFERROR(__xludf.DUMMYFUNCTION("""COMPUTED_VALUE"""),"Northern CA")</f>
        <v>Northern CA</v>
      </c>
      <c r="K44" s="34" t="str">
        <f ca="1">IFERROR(__xludf.DUMMYFUNCTION("""COMPUTED_VALUE"""),"Napa Valley")</f>
        <v>Napa Valley</v>
      </c>
      <c r="L44" s="34"/>
      <c r="M44" s="34"/>
      <c r="N44" s="37">
        <f ca="1">IFERROR(__xludf.DUMMYFUNCTION("""COMPUTED_VALUE"""),65)</f>
        <v>65</v>
      </c>
      <c r="O44" s="34">
        <f ca="1">IFERROR(__xludf.DUMMYFUNCTION("""COMPUTED_VALUE"""),750)</f>
        <v>750</v>
      </c>
      <c r="P44" s="34" t="str">
        <f ca="1">IFERROR(__xludf.DUMMYFUNCTION("""COMPUTED_VALUE"""),"Short")</f>
        <v>Short</v>
      </c>
      <c r="Q44" s="34" t="str">
        <f ca="1">IFERROR(__xludf.DUMMYFUNCTION("""COMPUTED_VALUE"""),"R/M1")</f>
        <v>R/M1</v>
      </c>
      <c r="R44" s="34"/>
      <c r="S44" s="34" t="b">
        <f ca="1">IFERROR(__xludf.DUMMYFUNCTION("""COMPUTED_VALUE"""),FALSE)</f>
        <v>0</v>
      </c>
      <c r="T44" s="34" t="b">
        <f ca="1">IFERROR(__xludf.DUMMYFUNCTION("""COMPUTED_VALUE"""),FALSE)</f>
        <v>0</v>
      </c>
      <c r="U44" s="34" t="b">
        <f ca="1">IFERROR(__xludf.DUMMYFUNCTION("""COMPUTED_VALUE"""),FALSE)</f>
        <v>0</v>
      </c>
      <c r="V44" s="34" t="b">
        <f ca="1">IFERROR(__xludf.DUMMYFUNCTION("""COMPUTED_VALUE"""),FALSE)</f>
        <v>0</v>
      </c>
      <c r="W44" s="34" t="b">
        <f ca="1">IFERROR(__xludf.DUMMYFUNCTION("""COMPUTED_VALUE"""),FALSE)</f>
        <v>0</v>
      </c>
    </row>
    <row r="45" spans="1:23" x14ac:dyDescent="0.2">
      <c r="A45" s="34" t="str">
        <f ca="1">IFERROR(__xludf.DUMMYFUNCTION("""COMPUTED_VALUE"""),"R")</f>
        <v>R</v>
      </c>
      <c r="B45" s="34" t="str">
        <f ca="1">IFERROR(__xludf.DUMMYFUNCTION("""COMPUTED_VALUE"""),"Red")</f>
        <v>Red</v>
      </c>
      <c r="C45" s="34">
        <f ca="1">IFERROR(__xludf.DUMMYFUNCTION("""COMPUTED_VALUE"""),1)</f>
        <v>1</v>
      </c>
      <c r="D45" s="34">
        <f ca="1">IFERROR(__xludf.DUMMYFUNCTION("""COMPUTED_VALUE"""),2019)</f>
        <v>2019</v>
      </c>
      <c r="E45" s="34" t="str">
        <f ca="1">IFERROR(__xludf.DUMMYFUNCTION("""COMPUTED_VALUE"""),"GC Lurton")</f>
        <v>GC Lurton</v>
      </c>
      <c r="F45" s="34" t="str">
        <f ca="1">IFERROR(__xludf.DUMMYFUNCTION("""COMPUTED_VALUE"""),"Cabernet Franc")</f>
        <v>Cabernet Franc</v>
      </c>
      <c r="G45" s="34" t="str">
        <f ca="1">IFERROR(__xludf.DUMMYFUNCTION("""COMPUTED_VALUE"""),"Cabernet Franc")</f>
        <v>Cabernet Franc</v>
      </c>
      <c r="H45" s="34" t="str">
        <f ca="1">IFERROR(__xludf.DUMMYFUNCTION("""COMPUTED_VALUE"""),"USA")</f>
        <v>USA</v>
      </c>
      <c r="I45" s="34" t="str">
        <f ca="1">IFERROR(__xludf.DUMMYFUNCTION("""COMPUTED_VALUE"""),"CA")</f>
        <v>CA</v>
      </c>
      <c r="J45" s="34" t="str">
        <f ca="1">IFERROR(__xludf.DUMMYFUNCTION("""COMPUTED_VALUE"""),"Northern CA")</f>
        <v>Northern CA</v>
      </c>
      <c r="K45" s="34" t="str">
        <f ca="1">IFERROR(__xludf.DUMMYFUNCTION("""COMPUTED_VALUE"""),"Sonoma County")</f>
        <v>Sonoma County</v>
      </c>
      <c r="L45" s="34"/>
      <c r="M45" s="34"/>
      <c r="N45" s="37">
        <f ca="1">IFERROR(__xludf.DUMMYFUNCTION("""COMPUTED_VALUE"""),45)</f>
        <v>45</v>
      </c>
      <c r="O45" s="34">
        <f ca="1">IFERROR(__xludf.DUMMYFUNCTION("""COMPUTED_VALUE"""),750)</f>
        <v>750</v>
      </c>
      <c r="P45" s="34" t="str">
        <f ca="1">IFERROR(__xludf.DUMMYFUNCTION("""COMPUTED_VALUE"""),"Short")</f>
        <v>Short</v>
      </c>
      <c r="Q45" s="34" t="str">
        <f ca="1">IFERROR(__xludf.DUMMYFUNCTION("""COMPUTED_VALUE"""),"M/S1")</f>
        <v>M/S1</v>
      </c>
      <c r="R45" s="34"/>
      <c r="S45" s="34" t="b">
        <f ca="1">IFERROR(__xludf.DUMMYFUNCTION("""COMPUTED_VALUE"""),TRUE)</f>
        <v>1</v>
      </c>
      <c r="T45" s="34" t="b">
        <f ca="1">IFERROR(__xludf.DUMMYFUNCTION("""COMPUTED_VALUE"""),TRUE)</f>
        <v>1</v>
      </c>
      <c r="U45" s="34" t="b">
        <f ca="1">IFERROR(__xludf.DUMMYFUNCTION("""COMPUTED_VALUE"""),FALSE)</f>
        <v>0</v>
      </c>
      <c r="V45" s="34" t="b">
        <f ca="1">IFERROR(__xludf.DUMMYFUNCTION("""COMPUTED_VALUE"""),FALSE)</f>
        <v>0</v>
      </c>
      <c r="W45" s="34" t="b">
        <f ca="1">IFERROR(__xludf.DUMMYFUNCTION("""COMPUTED_VALUE"""),TRUE)</f>
        <v>1</v>
      </c>
    </row>
    <row r="46" spans="1:23" x14ac:dyDescent="0.2">
      <c r="A46" s="34" t="str">
        <f ca="1">IFERROR(__xludf.DUMMYFUNCTION("""COMPUTED_VALUE"""),"R")</f>
        <v>R</v>
      </c>
      <c r="B46" s="34" t="str">
        <f ca="1">IFERROR(__xludf.DUMMYFUNCTION("""COMPUTED_VALUE"""),"Red")</f>
        <v>Red</v>
      </c>
      <c r="C46" s="34">
        <f ca="1">IFERROR(__xludf.DUMMYFUNCTION("""COMPUTED_VALUE"""),1)</f>
        <v>1</v>
      </c>
      <c r="D46" s="34">
        <f ca="1">IFERROR(__xludf.DUMMYFUNCTION("""COMPUTED_VALUE"""),2019)</f>
        <v>2019</v>
      </c>
      <c r="E46" s="34" t="str">
        <f ca="1">IFERROR(__xludf.DUMMYFUNCTION("""COMPUTED_VALUE"""),"Domaine de la Vieille Julienne")</f>
        <v>Domaine de la Vieille Julienne</v>
      </c>
      <c r="F46" s="34" t="str">
        <f ca="1">IFERROR(__xludf.DUMMYFUNCTION("""COMPUTED_VALUE"""),"lieu-dit Clavin")</f>
        <v>lieu-dit Clavin</v>
      </c>
      <c r="G46" s="34" t="str">
        <f ca="1">IFERROR(__xludf.DUMMYFUNCTION("""COMPUTED_VALUE"""),"Rhone Blend")</f>
        <v>Rhone Blend</v>
      </c>
      <c r="H46" s="34" t="str">
        <f ca="1">IFERROR(__xludf.DUMMYFUNCTION("""COMPUTED_VALUE"""),"France")</f>
        <v>France</v>
      </c>
      <c r="I46" s="34"/>
      <c r="J46" s="34" t="str">
        <f ca="1">IFERROR(__xludf.DUMMYFUNCTION("""COMPUTED_VALUE"""),"Southern Rhone")</f>
        <v>Southern Rhone</v>
      </c>
      <c r="K46" s="34" t="str">
        <f ca="1">IFERROR(__xludf.DUMMYFUNCTION("""COMPUTED_VALUE"""),"Côtes-du-Rhone")</f>
        <v>Côtes-du-Rhone</v>
      </c>
      <c r="L46" s="34"/>
      <c r="M46" s="34"/>
      <c r="N46" s="37">
        <f ca="1">IFERROR(__xludf.DUMMYFUNCTION("""COMPUTED_VALUE"""),30)</f>
        <v>30</v>
      </c>
      <c r="O46" s="34">
        <f ca="1">IFERROR(__xludf.DUMMYFUNCTION("""COMPUTED_VALUE"""),750)</f>
        <v>750</v>
      </c>
      <c r="P46" s="34" t="str">
        <f ca="1">IFERROR(__xludf.DUMMYFUNCTION("""COMPUTED_VALUE"""),"Short")</f>
        <v>Short</v>
      </c>
      <c r="Q46" s="34" t="str">
        <f ca="1">IFERROR(__xludf.DUMMYFUNCTION("""COMPUTED_VALUE"""),"Loose")</f>
        <v>Loose</v>
      </c>
      <c r="R46" s="34"/>
      <c r="S46" s="34" t="b">
        <f ca="1">IFERROR(__xludf.DUMMYFUNCTION("""COMPUTED_VALUE"""),FALSE)</f>
        <v>0</v>
      </c>
      <c r="T46" s="34" t="b">
        <f ca="1">IFERROR(__xludf.DUMMYFUNCTION("""COMPUTED_VALUE"""),FALSE)</f>
        <v>0</v>
      </c>
      <c r="U46" s="34" t="b">
        <f ca="1">IFERROR(__xludf.DUMMYFUNCTION("""COMPUTED_VALUE"""),FALSE)</f>
        <v>0</v>
      </c>
      <c r="V46" s="34" t="b">
        <f ca="1">IFERROR(__xludf.DUMMYFUNCTION("""COMPUTED_VALUE"""),FALSE)</f>
        <v>0</v>
      </c>
      <c r="W46" s="34" t="b">
        <f ca="1">IFERROR(__xludf.DUMMYFUNCTION("""COMPUTED_VALUE"""),FALSE)</f>
        <v>0</v>
      </c>
    </row>
    <row r="47" spans="1:23" x14ac:dyDescent="0.2">
      <c r="A47" s="34" t="str">
        <f ca="1">IFERROR(__xludf.DUMMYFUNCTION("""COMPUTED_VALUE"""),"R")</f>
        <v>R</v>
      </c>
      <c r="B47" s="34" t="str">
        <f ca="1">IFERROR(__xludf.DUMMYFUNCTION("""COMPUTED_VALUE"""),"Red")</f>
        <v>Red</v>
      </c>
      <c r="C47" s="34">
        <f ca="1">IFERROR(__xludf.DUMMYFUNCTION("""COMPUTED_VALUE"""),1)</f>
        <v>1</v>
      </c>
      <c r="D47" s="34">
        <f ca="1">IFERROR(__xludf.DUMMYFUNCTION("""COMPUTED_VALUE"""),2019)</f>
        <v>2019</v>
      </c>
      <c r="E47" s="34" t="str">
        <f ca="1">IFERROR(__xludf.DUMMYFUNCTION("""COMPUTED_VALUE"""),"Raen Vineyards")</f>
        <v>Raen Vineyards</v>
      </c>
      <c r="F47" s="34" t="str">
        <f ca="1">IFERROR(__xludf.DUMMYFUNCTION("""COMPUTED_VALUE"""),"Royal St. Robert - Sonoma Coast")</f>
        <v>Royal St. Robert - Sonoma Coast</v>
      </c>
      <c r="G47" s="34" t="str">
        <f ca="1">IFERROR(__xludf.DUMMYFUNCTION("""COMPUTED_VALUE"""),"Pinot Noir")</f>
        <v>Pinot Noir</v>
      </c>
      <c r="H47" s="34" t="str">
        <f ca="1">IFERROR(__xludf.DUMMYFUNCTION("""COMPUTED_VALUE"""),"USA")</f>
        <v>USA</v>
      </c>
      <c r="I47" s="34" t="str">
        <f ca="1">IFERROR(__xludf.DUMMYFUNCTION("""COMPUTED_VALUE"""),"CA")</f>
        <v>CA</v>
      </c>
      <c r="J47" s="34" t="str">
        <f ca="1">IFERROR(__xludf.DUMMYFUNCTION("""COMPUTED_VALUE"""),"Northern CA")</f>
        <v>Northern CA</v>
      </c>
      <c r="K47" s="34" t="str">
        <f ca="1">IFERROR(__xludf.DUMMYFUNCTION("""COMPUTED_VALUE"""),"Sonoma Coast")</f>
        <v>Sonoma Coast</v>
      </c>
      <c r="L47" s="34"/>
      <c r="M47" s="34"/>
      <c r="N47" s="37">
        <f ca="1">IFERROR(__xludf.DUMMYFUNCTION("""COMPUTED_VALUE"""),60)</f>
        <v>60</v>
      </c>
      <c r="O47" s="34">
        <f ca="1">IFERROR(__xludf.DUMMYFUNCTION("""COMPUTED_VALUE"""),750)</f>
        <v>750</v>
      </c>
      <c r="P47" s="34" t="str">
        <f ca="1">IFERROR(__xludf.DUMMYFUNCTION("""COMPUTED_VALUE"""),"Short")</f>
        <v>Short</v>
      </c>
      <c r="Q47" s="34" t="str">
        <f ca="1">IFERROR(__xludf.DUMMYFUNCTION("""COMPUTED_VALUE"""),"M/S2")</f>
        <v>M/S2</v>
      </c>
      <c r="R47" s="34"/>
      <c r="S47" s="34" t="b">
        <f ca="1">IFERROR(__xludf.DUMMYFUNCTION("""COMPUTED_VALUE"""),TRUE)</f>
        <v>1</v>
      </c>
      <c r="T47" s="34" t="b">
        <f ca="1">IFERROR(__xludf.DUMMYFUNCTION("""COMPUTED_VALUE"""),TRUE)</f>
        <v>1</v>
      </c>
      <c r="U47" s="34" t="b">
        <f ca="1">IFERROR(__xludf.DUMMYFUNCTION("""COMPUTED_VALUE"""),FALSE)</f>
        <v>0</v>
      </c>
      <c r="V47" s="34" t="b">
        <f ca="1">IFERROR(__xludf.DUMMYFUNCTION("""COMPUTED_VALUE"""),FALSE)</f>
        <v>0</v>
      </c>
      <c r="W47" s="34" t="b">
        <f ca="1">IFERROR(__xludf.DUMMYFUNCTION("""COMPUTED_VALUE"""),FALSE)</f>
        <v>0</v>
      </c>
    </row>
    <row r="48" spans="1:23" x14ac:dyDescent="0.2">
      <c r="A48" s="34" t="str">
        <f ca="1">IFERROR(__xludf.DUMMYFUNCTION("""COMPUTED_VALUE"""),"R")</f>
        <v>R</v>
      </c>
      <c r="B48" s="34" t="str">
        <f ca="1">IFERROR(__xludf.DUMMYFUNCTION("""COMPUTED_VALUE"""),"Red")</f>
        <v>Red</v>
      </c>
      <c r="C48" s="34">
        <f ca="1">IFERROR(__xludf.DUMMYFUNCTION("""COMPUTED_VALUE"""),1)</f>
        <v>1</v>
      </c>
      <c r="D48" s="34">
        <f ca="1">IFERROR(__xludf.DUMMYFUNCTION("""COMPUTED_VALUE"""),2019)</f>
        <v>2019</v>
      </c>
      <c r="E48" s="34" t="str">
        <f ca="1">IFERROR(__xludf.DUMMYFUNCTION("""COMPUTED_VALUE"""),"Matthiasson Winery")</f>
        <v>Matthiasson Winery</v>
      </c>
      <c r="F48" s="34" t="str">
        <f ca="1">IFERROR(__xludf.DUMMYFUNCTION("""COMPUTED_VALUE"""),"Phoenix Vineyard Merlot")</f>
        <v>Phoenix Vineyard Merlot</v>
      </c>
      <c r="G48" s="34" t="str">
        <f ca="1">IFERROR(__xludf.DUMMYFUNCTION("""COMPUTED_VALUE"""),"Merlot")</f>
        <v>Merlot</v>
      </c>
      <c r="H48" s="34" t="str">
        <f ca="1">IFERROR(__xludf.DUMMYFUNCTION("""COMPUTED_VALUE"""),"USA")</f>
        <v>USA</v>
      </c>
      <c r="I48" s="34" t="str">
        <f ca="1">IFERROR(__xludf.DUMMYFUNCTION("""COMPUTED_VALUE"""),"CA")</f>
        <v>CA</v>
      </c>
      <c r="J48" s="34" t="str">
        <f ca="1">IFERROR(__xludf.DUMMYFUNCTION("""COMPUTED_VALUE"""),"Napa Valley")</f>
        <v>Napa Valley</v>
      </c>
      <c r="K48" s="34"/>
      <c r="L48" s="34"/>
      <c r="M48" s="34" t="str">
        <f ca="1">IFERROR(__xludf.DUMMYFUNCTION("""COMPUTED_VALUE"""),"Phoenix Vineyard")</f>
        <v>Phoenix Vineyard</v>
      </c>
      <c r="N48" s="37">
        <f ca="1">IFERROR(__xludf.DUMMYFUNCTION("""COMPUTED_VALUE"""),70)</f>
        <v>70</v>
      </c>
      <c r="O48" s="34">
        <f ca="1">IFERROR(__xludf.DUMMYFUNCTION("""COMPUTED_VALUE"""),750)</f>
        <v>750</v>
      </c>
      <c r="P48" s="34" t="str">
        <f ca="1">IFERROR(__xludf.DUMMYFUNCTION("""COMPUTED_VALUE"""),"Short")</f>
        <v>Short</v>
      </c>
      <c r="Q48" s="34" t="str">
        <f ca="1">IFERROR(__xludf.DUMMYFUNCTION("""COMPUTED_VALUE"""),"M4")</f>
        <v>M4</v>
      </c>
      <c r="R48" s="34"/>
      <c r="S48" s="34" t="b">
        <f ca="1">IFERROR(__xludf.DUMMYFUNCTION("""COMPUTED_VALUE"""),FALSE)</f>
        <v>0</v>
      </c>
      <c r="T48" s="34" t="b">
        <f ca="1">IFERROR(__xludf.DUMMYFUNCTION("""COMPUTED_VALUE"""),FALSE)</f>
        <v>0</v>
      </c>
      <c r="U48" s="34" t="b">
        <f ca="1">IFERROR(__xludf.DUMMYFUNCTION("""COMPUTED_VALUE"""),FALSE)</f>
        <v>0</v>
      </c>
      <c r="V48" s="34" t="b">
        <f ca="1">IFERROR(__xludf.DUMMYFUNCTION("""COMPUTED_VALUE"""),FALSE)</f>
        <v>0</v>
      </c>
      <c r="W48" s="34" t="b">
        <f ca="1">IFERROR(__xludf.DUMMYFUNCTION("""COMPUTED_VALUE"""),FALSE)</f>
        <v>0</v>
      </c>
    </row>
    <row r="49" spans="1:23" x14ac:dyDescent="0.2">
      <c r="A49" s="34" t="str">
        <f ca="1">IFERROR(__xludf.DUMMYFUNCTION("""COMPUTED_VALUE"""),"R")</f>
        <v>R</v>
      </c>
      <c r="B49" s="34" t="str">
        <f ca="1">IFERROR(__xludf.DUMMYFUNCTION("""COMPUTED_VALUE"""),"Red")</f>
        <v>Red</v>
      </c>
      <c r="C49" s="34">
        <f ca="1">IFERROR(__xludf.DUMMYFUNCTION("""COMPUTED_VALUE"""),1)</f>
        <v>1</v>
      </c>
      <c r="D49" s="34">
        <f ca="1">IFERROR(__xludf.DUMMYFUNCTION("""COMPUTED_VALUE"""),2015)</f>
        <v>2015</v>
      </c>
      <c r="E49" s="34" t="str">
        <f ca="1">IFERROR(__xludf.DUMMYFUNCTION("""COMPUTED_VALUE"""),"Grgich Hills")</f>
        <v>Grgich Hills</v>
      </c>
      <c r="F49" s="34" t="str">
        <f ca="1">IFERROR(__xludf.DUMMYFUNCTION("""COMPUTED_VALUE"""),"Old Vine Zinfandel")</f>
        <v>Old Vine Zinfandel</v>
      </c>
      <c r="G49" s="34" t="str">
        <f ca="1">IFERROR(__xludf.DUMMYFUNCTION("""COMPUTED_VALUE"""),"Zinfandel")</f>
        <v>Zinfandel</v>
      </c>
      <c r="H49" s="34" t="str">
        <f ca="1">IFERROR(__xludf.DUMMYFUNCTION("""COMPUTED_VALUE"""),"USA")</f>
        <v>USA</v>
      </c>
      <c r="I49" s="34" t="str">
        <f ca="1">IFERROR(__xludf.DUMMYFUNCTION("""COMPUTED_VALUE"""),"CA")</f>
        <v>CA</v>
      </c>
      <c r="J49" s="34" t="str">
        <f ca="1">IFERROR(__xludf.DUMMYFUNCTION("""COMPUTED_VALUE"""),"Northern CA")</f>
        <v>Northern CA</v>
      </c>
      <c r="K49" s="34" t="str">
        <f ca="1">IFERROR(__xludf.DUMMYFUNCTION("""COMPUTED_VALUE"""),"Napa Valley")</f>
        <v>Napa Valley</v>
      </c>
      <c r="L49" s="34" t="str">
        <f ca="1">IFERROR(__xludf.DUMMYFUNCTION("""COMPUTED_VALUE"""),"Rutherford")</f>
        <v>Rutherford</v>
      </c>
      <c r="M49" s="34"/>
      <c r="N49" s="37">
        <f ca="1">IFERROR(__xludf.DUMMYFUNCTION("""COMPUTED_VALUE"""),125)</f>
        <v>125</v>
      </c>
      <c r="O49" s="34">
        <f ca="1">IFERROR(__xludf.DUMMYFUNCTION("""COMPUTED_VALUE"""),750)</f>
        <v>750</v>
      </c>
      <c r="P49" s="34" t="str">
        <f ca="1">IFERROR(__xludf.DUMMYFUNCTION("""COMPUTED_VALUE"""),"Short")</f>
        <v>Short</v>
      </c>
      <c r="Q49" s="34" t="str">
        <f ca="1">IFERROR(__xludf.DUMMYFUNCTION("""COMPUTED_VALUE"""),"S2")</f>
        <v>S2</v>
      </c>
      <c r="R49" s="34"/>
      <c r="S49" s="34" t="b">
        <f ca="1">IFERROR(__xludf.DUMMYFUNCTION("""COMPUTED_VALUE"""),TRUE)</f>
        <v>1</v>
      </c>
      <c r="T49" s="34" t="b">
        <f ca="1">IFERROR(__xludf.DUMMYFUNCTION("""COMPUTED_VALUE"""),TRUE)</f>
        <v>1</v>
      </c>
      <c r="U49" s="34" t="b">
        <f ca="1">IFERROR(__xludf.DUMMYFUNCTION("""COMPUTED_VALUE"""),FALSE)</f>
        <v>0</v>
      </c>
      <c r="V49" s="34" t="b">
        <f ca="1">IFERROR(__xludf.DUMMYFUNCTION("""COMPUTED_VALUE"""),TRUE)</f>
        <v>1</v>
      </c>
      <c r="W49" s="34" t="b">
        <f ca="1">IFERROR(__xludf.DUMMYFUNCTION("""COMPUTED_VALUE"""),FALSE)</f>
        <v>0</v>
      </c>
    </row>
    <row r="50" spans="1:23" x14ac:dyDescent="0.2">
      <c r="A50" s="34" t="str">
        <f ca="1">IFERROR(__xludf.DUMMYFUNCTION("""COMPUTED_VALUE"""),"R")</f>
        <v>R</v>
      </c>
      <c r="B50" s="34" t="str">
        <f ca="1">IFERROR(__xludf.DUMMYFUNCTION("""COMPUTED_VALUE"""),"Red")</f>
        <v>Red</v>
      </c>
      <c r="C50" s="34">
        <f ca="1">IFERROR(__xludf.DUMMYFUNCTION("""COMPUTED_VALUE"""),1)</f>
        <v>1</v>
      </c>
      <c r="D50" s="34">
        <f ca="1">IFERROR(__xludf.DUMMYFUNCTION("""COMPUTED_VALUE"""),2019)</f>
        <v>2019</v>
      </c>
      <c r="E50" s="34" t="str">
        <f ca="1">IFERROR(__xludf.DUMMYFUNCTION("""COMPUTED_VALUE"""),"Joseph Phelps Winery")</f>
        <v>Joseph Phelps Winery</v>
      </c>
      <c r="F50" s="34" t="str">
        <f ca="1">IFERROR(__xludf.DUMMYFUNCTION("""COMPUTED_VALUE"""),"Freestone Vineyard")</f>
        <v>Freestone Vineyard</v>
      </c>
      <c r="G50" s="34" t="str">
        <f ca="1">IFERROR(__xludf.DUMMYFUNCTION("""COMPUTED_VALUE"""),"Pinot Noir")</f>
        <v>Pinot Noir</v>
      </c>
      <c r="H50" s="34" t="str">
        <f ca="1">IFERROR(__xludf.DUMMYFUNCTION("""COMPUTED_VALUE"""),"USA")</f>
        <v>USA</v>
      </c>
      <c r="I50" s="34" t="str">
        <f ca="1">IFERROR(__xludf.DUMMYFUNCTION("""COMPUTED_VALUE"""),"CA")</f>
        <v>CA</v>
      </c>
      <c r="J50" s="34" t="str">
        <f ca="1">IFERROR(__xludf.DUMMYFUNCTION("""COMPUTED_VALUE"""),"Sonoma Coast")</f>
        <v>Sonoma Coast</v>
      </c>
      <c r="K50" s="34"/>
      <c r="L50" s="34"/>
      <c r="M50" s="34" t="str">
        <f ca="1">IFERROR(__xludf.DUMMYFUNCTION("""COMPUTED_VALUE"""),"Freestone Vineyard")</f>
        <v>Freestone Vineyard</v>
      </c>
      <c r="N50" s="37">
        <f ca="1">IFERROR(__xludf.DUMMYFUNCTION("""COMPUTED_VALUE"""),45)</f>
        <v>45</v>
      </c>
      <c r="O50" s="34">
        <f ca="1">IFERROR(__xludf.DUMMYFUNCTION("""COMPUTED_VALUE"""),750)</f>
        <v>750</v>
      </c>
      <c r="P50" s="34" t="str">
        <f ca="1">IFERROR(__xludf.DUMMYFUNCTION("""COMPUTED_VALUE"""),"Now")</f>
        <v>Now</v>
      </c>
      <c r="Q50" s="34" t="str">
        <f ca="1">IFERROR(__xludf.DUMMYFUNCTION("""COMPUTED_VALUE"""),"M/S1")</f>
        <v>M/S1</v>
      </c>
      <c r="R50" s="34"/>
      <c r="S50" s="34" t="b">
        <f ca="1">IFERROR(__xludf.DUMMYFUNCTION("""COMPUTED_VALUE"""),FALSE)</f>
        <v>0</v>
      </c>
      <c r="T50" s="34" t="b">
        <f ca="1">IFERROR(__xludf.DUMMYFUNCTION("""COMPUTED_VALUE"""),FALSE)</f>
        <v>0</v>
      </c>
      <c r="U50" s="34" t="b">
        <f ca="1">IFERROR(__xludf.DUMMYFUNCTION("""COMPUTED_VALUE"""),FALSE)</f>
        <v>0</v>
      </c>
      <c r="V50" s="34" t="b">
        <f ca="1">IFERROR(__xludf.DUMMYFUNCTION("""COMPUTED_VALUE"""),FALSE)</f>
        <v>0</v>
      </c>
      <c r="W50" s="34" t="b">
        <f ca="1">IFERROR(__xludf.DUMMYFUNCTION("""COMPUTED_VALUE"""),TRUE)</f>
        <v>1</v>
      </c>
    </row>
    <row r="51" spans="1:23" x14ac:dyDescent="0.2">
      <c r="A51" s="34" t="str">
        <f ca="1">IFERROR(__xludf.DUMMYFUNCTION("""COMPUTED_VALUE"""),"R")</f>
        <v>R</v>
      </c>
      <c r="B51" s="34" t="str">
        <f ca="1">IFERROR(__xludf.DUMMYFUNCTION("""COMPUTED_VALUE"""),"Sparkling")</f>
        <v>Sparkling</v>
      </c>
      <c r="C51" s="34">
        <f ca="1">IFERROR(__xludf.DUMMYFUNCTION("""COMPUTED_VALUE"""),1)</f>
        <v>1</v>
      </c>
      <c r="D51" s="34"/>
      <c r="E51" s="34" t="str">
        <f ca="1">IFERROR(__xludf.DUMMYFUNCTION("""COMPUTED_VALUE"""),"Domaine Carneros")</f>
        <v>Domaine Carneros</v>
      </c>
      <c r="F51" s="34" t="str">
        <f ca="1">IFERROR(__xludf.DUMMYFUNCTION("""COMPUTED_VALUE"""),"Blanc de Noir")</f>
        <v>Blanc de Noir</v>
      </c>
      <c r="G51" s="34" t="str">
        <f ca="1">IFERROR(__xludf.DUMMYFUNCTION("""COMPUTED_VALUE"""),"Other")</f>
        <v>Other</v>
      </c>
      <c r="H51" s="34" t="str">
        <f ca="1">IFERROR(__xludf.DUMMYFUNCTION("""COMPUTED_VALUE"""),"USA")</f>
        <v>USA</v>
      </c>
      <c r="I51" s="34" t="str">
        <f ca="1">IFERROR(__xludf.DUMMYFUNCTION("""COMPUTED_VALUE"""),"CA")</f>
        <v>CA</v>
      </c>
      <c r="J51" s="34" t="str">
        <f ca="1">IFERROR(__xludf.DUMMYFUNCTION("""COMPUTED_VALUE"""),"Northern CA")</f>
        <v>Northern CA</v>
      </c>
      <c r="K51" s="34"/>
      <c r="L51" s="34"/>
      <c r="M51" s="34"/>
      <c r="N51" s="37">
        <f ca="1">IFERROR(__xludf.DUMMYFUNCTION("""COMPUTED_VALUE"""),40)</f>
        <v>40</v>
      </c>
      <c r="O51" s="34">
        <f ca="1">IFERROR(__xludf.DUMMYFUNCTION("""COMPUTED_VALUE"""),750)</f>
        <v>750</v>
      </c>
      <c r="P51" s="34" t="str">
        <f ca="1">IFERROR(__xludf.DUMMYFUNCTION("""COMPUTED_VALUE"""),"Short")</f>
        <v>Short</v>
      </c>
      <c r="Q51" s="34" t="str">
        <f ca="1">IFERROR(__xludf.DUMMYFUNCTION("""COMPUTED_VALUE"""),"Krug")</f>
        <v>Krug</v>
      </c>
      <c r="R51" s="34"/>
      <c r="S51" s="34" t="b">
        <f ca="1">IFERROR(__xludf.DUMMYFUNCTION("""COMPUTED_VALUE"""),TRUE)</f>
        <v>1</v>
      </c>
      <c r="T51" s="34" t="b">
        <f ca="1">IFERROR(__xludf.DUMMYFUNCTION("""COMPUTED_VALUE"""),TRUE)</f>
        <v>1</v>
      </c>
      <c r="U51" s="34" t="b">
        <f ca="1">IFERROR(__xludf.DUMMYFUNCTION("""COMPUTED_VALUE"""),FALSE)</f>
        <v>0</v>
      </c>
      <c r="V51" s="34" t="b">
        <f ca="1">IFERROR(__xludf.DUMMYFUNCTION("""COMPUTED_VALUE"""),FALSE)</f>
        <v>0</v>
      </c>
      <c r="W51" s="34" t="b">
        <f ca="1">IFERROR(__xludf.DUMMYFUNCTION("""COMPUTED_VALUE"""),FALSE)</f>
        <v>0</v>
      </c>
    </row>
    <row r="52" spans="1:23" x14ac:dyDescent="0.2">
      <c r="A52" s="34" t="str">
        <f ca="1">IFERROR(__xludf.DUMMYFUNCTION("""COMPUTED_VALUE"""),"R")</f>
        <v>R</v>
      </c>
      <c r="B52" s="34" t="str">
        <f ca="1">IFERROR(__xludf.DUMMYFUNCTION("""COMPUTED_VALUE"""),"White")</f>
        <v>White</v>
      </c>
      <c r="C52" s="34">
        <f ca="1">IFERROR(__xludf.DUMMYFUNCTION("""COMPUTED_VALUE"""),3)</f>
        <v>3</v>
      </c>
      <c r="D52" s="34">
        <f ca="1">IFERROR(__xludf.DUMMYFUNCTION("""COMPUTED_VALUE"""),2019)</f>
        <v>2019</v>
      </c>
      <c r="E52" s="34" t="str">
        <f ca="1">IFERROR(__xludf.DUMMYFUNCTION("""COMPUTED_VALUE"""),"Arenae Colares")</f>
        <v>Arenae Colares</v>
      </c>
      <c r="F52" s="34" t="str">
        <f ca="1">IFERROR(__xludf.DUMMYFUNCTION("""COMPUTED_VALUE"""),"Malvasia Colares Vinho Branco")</f>
        <v>Malvasia Colares Vinho Branco</v>
      </c>
      <c r="G52" s="34" t="str">
        <f ca="1">IFERROR(__xludf.DUMMYFUNCTION("""COMPUTED_VALUE"""),"Other")</f>
        <v>Other</v>
      </c>
      <c r="H52" s="34" t="str">
        <f ca="1">IFERROR(__xludf.DUMMYFUNCTION("""COMPUTED_VALUE"""),"Portugal")</f>
        <v>Portugal</v>
      </c>
      <c r="I52" s="34"/>
      <c r="J52" s="34"/>
      <c r="K52" s="34"/>
      <c r="L52" s="34" t="str">
        <f ca="1">IFERROR(__xludf.DUMMYFUNCTION("""COMPUTED_VALUE"""),"Colares")</f>
        <v>Colares</v>
      </c>
      <c r="M52" s="34"/>
      <c r="N52" s="37">
        <f ca="1">IFERROR(__xludf.DUMMYFUNCTION("""COMPUTED_VALUE"""),30)</f>
        <v>30</v>
      </c>
      <c r="O52" s="34">
        <f ca="1">IFERROR(__xludf.DUMMYFUNCTION("""COMPUTED_VALUE"""),500)</f>
        <v>500</v>
      </c>
      <c r="P52" s="34" t="str">
        <f ca="1">IFERROR(__xludf.DUMMYFUNCTION("""COMPUTED_VALUE"""),"Short")</f>
        <v>Short</v>
      </c>
      <c r="Q52" s="34" t="str">
        <f ca="1">IFERROR(__xludf.DUMMYFUNCTION("""COMPUTED_VALUE"""),"Own Colares Box")</f>
        <v>Own Colares Box</v>
      </c>
      <c r="R52" s="34"/>
      <c r="S52" s="34" t="b">
        <f ca="1">IFERROR(__xludf.DUMMYFUNCTION("""COMPUTED_VALUE"""),FALSE)</f>
        <v>0</v>
      </c>
      <c r="T52" s="34" t="b">
        <f ca="1">IFERROR(__xludf.DUMMYFUNCTION("""COMPUTED_VALUE"""),FALSE)</f>
        <v>0</v>
      </c>
      <c r="U52" s="34" t="b">
        <f ca="1">IFERROR(__xludf.DUMMYFUNCTION("""COMPUTED_VALUE"""),FALSE)</f>
        <v>0</v>
      </c>
      <c r="V52" s="34" t="b">
        <f ca="1">IFERROR(__xludf.DUMMYFUNCTION("""COMPUTED_VALUE"""),FALSE)</f>
        <v>0</v>
      </c>
      <c r="W52" s="34" t="b">
        <f ca="1">IFERROR(__xludf.DUMMYFUNCTION("""COMPUTED_VALUE"""),FALSE)</f>
        <v>0</v>
      </c>
    </row>
    <row r="53" spans="1:23" x14ac:dyDescent="0.2">
      <c r="A53" s="34" t="str">
        <f ca="1">IFERROR(__xludf.DUMMYFUNCTION("""COMPUTED_VALUE"""),"R+M")</f>
        <v>R+M</v>
      </c>
      <c r="B53" s="34" t="str">
        <f ca="1">IFERROR(__xludf.DUMMYFUNCTION("""COMPUTED_VALUE"""),"Red")</f>
        <v>Red</v>
      </c>
      <c r="C53" s="34">
        <f ca="1">IFERROR(__xludf.DUMMYFUNCTION("""COMPUTED_VALUE"""),2)</f>
        <v>2</v>
      </c>
      <c r="D53" s="34">
        <f ca="1">IFERROR(__xludf.DUMMYFUNCTION("""COMPUTED_VALUE"""),2020)</f>
        <v>2020</v>
      </c>
      <c r="E53" s="34" t="str">
        <f ca="1">IFERROR(__xludf.DUMMYFUNCTION("""COMPUTED_VALUE"""),"Di Costanzo")</f>
        <v>Di Costanzo</v>
      </c>
      <c r="F53" s="34" t="str">
        <f ca="1">IFERROR(__xludf.DUMMYFUNCTION("""COMPUTED_VALUE"""),"DI CO")</f>
        <v>DI CO</v>
      </c>
      <c r="G53" s="34" t="str">
        <f ca="1">IFERROR(__xludf.DUMMYFUNCTION("""COMPUTED_VALUE"""),"Cabernet Sauvignon")</f>
        <v>Cabernet Sauvignon</v>
      </c>
      <c r="H53" s="34" t="str">
        <f ca="1">IFERROR(__xludf.DUMMYFUNCTION("""COMPUTED_VALUE"""),"USA")</f>
        <v>USA</v>
      </c>
      <c r="I53" s="34" t="str">
        <f ca="1">IFERROR(__xludf.DUMMYFUNCTION("""COMPUTED_VALUE"""),"CA")</f>
        <v>CA</v>
      </c>
      <c r="J53" s="34" t="str">
        <f ca="1">IFERROR(__xludf.DUMMYFUNCTION("""COMPUTED_VALUE"""),"Northern CA")</f>
        <v>Northern CA</v>
      </c>
      <c r="K53" s="34" t="str">
        <f ca="1">IFERROR(__xludf.DUMMYFUNCTION("""COMPUTED_VALUE"""),"Napa Valley")</f>
        <v>Napa Valley</v>
      </c>
      <c r="L53" s="34"/>
      <c r="M53" s="34"/>
      <c r="N53" s="37">
        <f ca="1">IFERROR(__xludf.DUMMYFUNCTION("""COMPUTED_VALUE"""),65)</f>
        <v>65</v>
      </c>
      <c r="O53" s="34">
        <f ca="1">IFERROR(__xludf.DUMMYFUNCTION("""COMPUTED_VALUE"""),750)</f>
        <v>750</v>
      </c>
      <c r="P53" s="34" t="str">
        <f ca="1">IFERROR(__xludf.DUMMYFUNCTION("""COMPUTED_VALUE"""),"Short")</f>
        <v>Short</v>
      </c>
      <c r="Q53" s="34" t="str">
        <f ca="1">IFERROR(__xludf.DUMMYFUNCTION("""COMPUTED_VALUE"""),"R/M1")</f>
        <v>R/M1</v>
      </c>
      <c r="R53" s="34"/>
      <c r="S53" s="34" t="b">
        <f ca="1">IFERROR(__xludf.DUMMYFUNCTION("""COMPUTED_VALUE"""),FALSE)</f>
        <v>0</v>
      </c>
      <c r="T53" s="34" t="b">
        <f ca="1">IFERROR(__xludf.DUMMYFUNCTION("""COMPUTED_VALUE"""),FALSE)</f>
        <v>0</v>
      </c>
      <c r="U53" s="34" t="b">
        <f ca="1">IFERROR(__xludf.DUMMYFUNCTION("""COMPUTED_VALUE"""),FALSE)</f>
        <v>0</v>
      </c>
      <c r="V53" s="34" t="b">
        <f ca="1">IFERROR(__xludf.DUMMYFUNCTION("""COMPUTED_VALUE"""),FALSE)</f>
        <v>0</v>
      </c>
      <c r="W53" s="34" t="b">
        <f ca="1">IFERROR(__xludf.DUMMYFUNCTION("""COMPUTED_VALUE"""),FALSE)</f>
        <v>0</v>
      </c>
    </row>
    <row r="54" spans="1:23" x14ac:dyDescent="0.2">
      <c r="A54" s="34" t="str">
        <f ca="1">IFERROR(__xludf.DUMMYFUNCTION("""COMPUTED_VALUE"""),"R")</f>
        <v>R</v>
      </c>
      <c r="B54" s="34" t="str">
        <f ca="1">IFERROR(__xludf.DUMMYFUNCTION("""COMPUTED_VALUE"""),"White")</f>
        <v>White</v>
      </c>
      <c r="C54" s="34">
        <f ca="1">IFERROR(__xludf.DUMMYFUNCTION("""COMPUTED_VALUE"""),1)</f>
        <v>1</v>
      </c>
      <c r="D54" s="34">
        <f ca="1">IFERROR(__xludf.DUMMYFUNCTION("""COMPUTED_VALUE"""),2020)</f>
        <v>2020</v>
      </c>
      <c r="E54" s="34" t="str">
        <f ca="1">IFERROR(__xludf.DUMMYFUNCTION("""COMPUTED_VALUE"""),"Saison Winery")</f>
        <v>Saison Winery</v>
      </c>
      <c r="F54" s="34" t="str">
        <f ca="1">IFERROR(__xludf.DUMMYFUNCTION("""COMPUTED_VALUE"""),"Regan Vineyard Chardonnay")</f>
        <v>Regan Vineyard Chardonnay</v>
      </c>
      <c r="G54" s="34" t="str">
        <f ca="1">IFERROR(__xludf.DUMMYFUNCTION("""COMPUTED_VALUE"""),"Chardonnay")</f>
        <v>Chardonnay</v>
      </c>
      <c r="H54" s="34" t="str">
        <f ca="1">IFERROR(__xludf.DUMMYFUNCTION("""COMPUTED_VALUE"""),"USA")</f>
        <v>USA</v>
      </c>
      <c r="I54" s="34" t="str">
        <f ca="1">IFERROR(__xludf.DUMMYFUNCTION("""COMPUTED_VALUE"""),"CA")</f>
        <v>CA</v>
      </c>
      <c r="J54" s="34" t="str">
        <f ca="1">IFERROR(__xludf.DUMMYFUNCTION("""COMPUTED_VALUE"""),"Northern CA")</f>
        <v>Northern CA</v>
      </c>
      <c r="K54" s="34" t="str">
        <f ca="1">IFERROR(__xludf.DUMMYFUNCTION("""COMPUTED_VALUE"""),"Santa Cruz Mountains")</f>
        <v>Santa Cruz Mountains</v>
      </c>
      <c r="L54" s="34"/>
      <c r="M54" s="34" t="str">
        <f ca="1">IFERROR(__xludf.DUMMYFUNCTION("""COMPUTED_VALUE"""),"Regan Vineyards")</f>
        <v>Regan Vineyards</v>
      </c>
      <c r="N54" s="37">
        <f ca="1">IFERROR(__xludf.DUMMYFUNCTION("""COMPUTED_VALUE"""),35)</f>
        <v>35</v>
      </c>
      <c r="O54" s="34">
        <f ca="1">IFERROR(__xludf.DUMMYFUNCTION("""COMPUTED_VALUE"""),750)</f>
        <v>750</v>
      </c>
      <c r="P54" s="34" t="str">
        <f ca="1">IFERROR(__xludf.DUMMYFUNCTION("""COMPUTED_VALUE"""),"Short")</f>
        <v>Short</v>
      </c>
      <c r="Q54" s="34" t="str">
        <f ca="1">IFERROR(__xludf.DUMMYFUNCTION("""COMPUTED_VALUE"""),"M/S1")</f>
        <v>M/S1</v>
      </c>
      <c r="R54" s="34"/>
      <c r="S54" s="34" t="b">
        <f ca="1">IFERROR(__xludf.DUMMYFUNCTION("""COMPUTED_VALUE"""),TRUE)</f>
        <v>1</v>
      </c>
      <c r="T54" s="34" t="b">
        <f ca="1">IFERROR(__xludf.DUMMYFUNCTION("""COMPUTED_VALUE"""),FALSE)</f>
        <v>0</v>
      </c>
      <c r="U54" s="34" t="b">
        <f ca="1">IFERROR(__xludf.DUMMYFUNCTION("""COMPUTED_VALUE"""),TRUE)</f>
        <v>1</v>
      </c>
      <c r="V54" s="34" t="b">
        <f ca="1">IFERROR(__xludf.DUMMYFUNCTION("""COMPUTED_VALUE"""),TRUE)</f>
        <v>1</v>
      </c>
      <c r="W54" s="34" t="b">
        <f ca="1">IFERROR(__xludf.DUMMYFUNCTION("""COMPUTED_VALUE"""),TRUE)</f>
        <v>1</v>
      </c>
    </row>
    <row r="55" spans="1:23" x14ac:dyDescent="0.2">
      <c r="A55" s="34" t="str">
        <f ca="1">IFERROR(__xludf.DUMMYFUNCTION("""COMPUTED_VALUE"""),"R")</f>
        <v>R</v>
      </c>
      <c r="B55" s="34" t="str">
        <f ca="1">IFERROR(__xludf.DUMMYFUNCTION("""COMPUTED_VALUE"""),"White")</f>
        <v>White</v>
      </c>
      <c r="C55" s="34">
        <f ca="1">IFERROR(__xludf.DUMMYFUNCTION("""COMPUTED_VALUE"""),2)</f>
        <v>2</v>
      </c>
      <c r="D55" s="34">
        <f ca="1">IFERROR(__xludf.DUMMYFUNCTION("""COMPUTED_VALUE"""),2022)</f>
        <v>2022</v>
      </c>
      <c r="E55" s="34" t="str">
        <f ca="1">IFERROR(__xludf.DUMMYFUNCTION("""COMPUTED_VALUE"""),"Clos Cibonne")</f>
        <v>Clos Cibonne</v>
      </c>
      <c r="F55" s="34" t="str">
        <f ca="1">IFERROR(__xludf.DUMMYFUNCTION("""COMPUTED_VALUE"""),"Tibouren")</f>
        <v>Tibouren</v>
      </c>
      <c r="G55" s="34" t="str">
        <f ca="1">IFERROR(__xludf.DUMMYFUNCTION("""COMPUTED_VALUE"""),"Other")</f>
        <v>Other</v>
      </c>
      <c r="H55" s="34" t="str">
        <f ca="1">IFERROR(__xludf.DUMMYFUNCTION("""COMPUTED_VALUE"""),"France")</f>
        <v>France</v>
      </c>
      <c r="I55" s="34" t="str">
        <f ca="1">IFERROR(__xludf.DUMMYFUNCTION("""COMPUTED_VALUE"""),"Southern France")</f>
        <v>Southern France</v>
      </c>
      <c r="J55" s="34" t="str">
        <f ca="1">IFERROR(__xludf.DUMMYFUNCTION("""COMPUTED_VALUE"""),"Cotes de Provence")</f>
        <v>Cotes de Provence</v>
      </c>
      <c r="K55" s="34"/>
      <c r="L55" s="34"/>
      <c r="M55" s="34"/>
      <c r="N55" s="37">
        <f ca="1">IFERROR(__xludf.DUMMYFUNCTION("""COMPUTED_VALUE"""),30)</f>
        <v>30</v>
      </c>
      <c r="O55" s="34"/>
      <c r="P55" s="34" t="str">
        <f ca="1">IFERROR(__xludf.DUMMYFUNCTION("""COMPUTED_VALUE"""),"Short")</f>
        <v>Short</v>
      </c>
      <c r="Q55" s="34" t="str">
        <f ca="1">IFERROR(__xludf.DUMMYFUNCTION("""COMPUTED_VALUE"""),"M/S1")</f>
        <v>M/S1</v>
      </c>
      <c r="R55" s="34"/>
      <c r="S55" s="34" t="b">
        <f ca="1">IFERROR(__xludf.DUMMYFUNCTION("""COMPUTED_VALUE"""),FALSE)</f>
        <v>0</v>
      </c>
      <c r="T55" s="34" t="b">
        <f ca="1">IFERROR(__xludf.DUMMYFUNCTION("""COMPUTED_VALUE"""),FALSE)</f>
        <v>0</v>
      </c>
      <c r="U55" s="34" t="b">
        <f ca="1">IFERROR(__xludf.DUMMYFUNCTION("""COMPUTED_VALUE"""),FALSE)</f>
        <v>0</v>
      </c>
      <c r="V55" s="34" t="b">
        <f ca="1">IFERROR(__xludf.DUMMYFUNCTION("""COMPUTED_VALUE"""),FALSE)</f>
        <v>0</v>
      </c>
      <c r="W55" s="34" t="b">
        <f ca="1">IFERROR(__xludf.DUMMYFUNCTION("""COMPUTED_VALUE"""),FALSE)</f>
        <v>0</v>
      </c>
    </row>
    <row r="56" spans="1:23" x14ac:dyDescent="0.2">
      <c r="A56" s="34" t="str">
        <f ca="1">IFERROR(__xludf.DUMMYFUNCTION("""COMPUTED_VALUE"""),"R+M")</f>
        <v>R+M</v>
      </c>
      <c r="B56" s="34" t="str">
        <f ca="1">IFERROR(__xludf.DUMMYFUNCTION("""COMPUTED_VALUE"""),"Red")</f>
        <v>Red</v>
      </c>
      <c r="C56" s="34">
        <f ca="1">IFERROR(__xludf.DUMMYFUNCTION("""COMPUTED_VALUE"""),1)</f>
        <v>1</v>
      </c>
      <c r="D56" s="34">
        <f ca="1">IFERROR(__xludf.DUMMYFUNCTION("""COMPUTED_VALUE"""),2020)</f>
        <v>2020</v>
      </c>
      <c r="E56" s="34" t="str">
        <f ca="1">IFERROR(__xludf.DUMMYFUNCTION("""COMPUTED_VALUE"""),"Gallica Wine")</f>
        <v>Gallica Wine</v>
      </c>
      <c r="F56" s="34" t="str">
        <f ca="1">IFERROR(__xludf.DUMMYFUNCTION("""COMPUTED_VALUE"""),"Heritage Vineyard Albarino")</f>
        <v>Heritage Vineyard Albarino</v>
      </c>
      <c r="G56" s="34" t="str">
        <f ca="1">IFERROR(__xludf.DUMMYFUNCTION("""COMPUTED_VALUE"""),"Other")</f>
        <v>Other</v>
      </c>
      <c r="H56" s="34" t="str">
        <f ca="1">IFERROR(__xludf.DUMMYFUNCTION("""COMPUTED_VALUE"""),"USA")</f>
        <v>USA</v>
      </c>
      <c r="I56" s="34" t="str">
        <f ca="1">IFERROR(__xludf.DUMMYFUNCTION("""COMPUTED_VALUE"""),"CA")</f>
        <v>CA</v>
      </c>
      <c r="J56" s="34" t="str">
        <f ca="1">IFERROR(__xludf.DUMMYFUNCTION("""COMPUTED_VALUE"""),"Northern CA")</f>
        <v>Northern CA</v>
      </c>
      <c r="K56" s="34" t="str">
        <f ca="1">IFERROR(__xludf.DUMMYFUNCTION("""COMPUTED_VALUE"""),"Sierra Foothills")</f>
        <v>Sierra Foothills</v>
      </c>
      <c r="L56" s="34" t="str">
        <f ca="1">IFERROR(__xludf.DUMMYFUNCTION("""COMPUTED_VALUE"""),"Calaveras County")</f>
        <v>Calaveras County</v>
      </c>
      <c r="M56" s="34" t="str">
        <f ca="1">IFERROR(__xludf.DUMMYFUNCTION("""COMPUTED_VALUE"""),"Rorick Heritage Vineyard")</f>
        <v>Rorick Heritage Vineyard</v>
      </c>
      <c r="N56" s="37">
        <f ca="1">IFERROR(__xludf.DUMMYFUNCTION("""COMPUTED_VALUE"""),30)</f>
        <v>30</v>
      </c>
      <c r="O56" s="34">
        <f ca="1">IFERROR(__xludf.DUMMYFUNCTION("""COMPUTED_VALUE"""),750)</f>
        <v>750</v>
      </c>
      <c r="P56" s="34" t="str">
        <f ca="1">IFERROR(__xludf.DUMMYFUNCTION("""COMPUTED_VALUE"""),"Now")</f>
        <v>Now</v>
      </c>
      <c r="Q56" s="34" t="str">
        <f ca="1">IFERROR(__xludf.DUMMYFUNCTION("""COMPUTED_VALUE"""),"Domaine Wine Storage ")</f>
        <v xml:space="preserve">Domaine Wine Storage </v>
      </c>
      <c r="R56" s="34"/>
      <c r="S56" s="34" t="b">
        <f ca="1">IFERROR(__xludf.DUMMYFUNCTION("""COMPUTED_VALUE"""),FALSE)</f>
        <v>0</v>
      </c>
      <c r="T56" s="34" t="b">
        <f ca="1">IFERROR(__xludf.DUMMYFUNCTION("""COMPUTED_VALUE"""),FALSE)</f>
        <v>0</v>
      </c>
      <c r="U56" s="34" t="b">
        <f ca="1">IFERROR(__xludf.DUMMYFUNCTION("""COMPUTED_VALUE"""),FALSE)</f>
        <v>0</v>
      </c>
      <c r="V56" s="34" t="b">
        <f ca="1">IFERROR(__xludf.DUMMYFUNCTION("""COMPUTED_VALUE"""),FALSE)</f>
        <v>0</v>
      </c>
      <c r="W56" s="34" t="b">
        <f ca="1">IFERROR(__xludf.DUMMYFUNCTION("""COMPUTED_VALUE"""),TRUE)</f>
        <v>1</v>
      </c>
    </row>
    <row r="57" spans="1:23" x14ac:dyDescent="0.2">
      <c r="A57" s="34" t="str">
        <f ca="1">IFERROR(__xludf.DUMMYFUNCTION("""COMPUTED_VALUE"""),"R")</f>
        <v>R</v>
      </c>
      <c r="B57" s="34" t="str">
        <f ca="1">IFERROR(__xludf.DUMMYFUNCTION("""COMPUTED_VALUE"""),"Red")</f>
        <v>Red</v>
      </c>
      <c r="C57" s="34">
        <f ca="1">IFERROR(__xludf.DUMMYFUNCTION("""COMPUTED_VALUE"""),1)</f>
        <v>1</v>
      </c>
      <c r="D57" s="34">
        <f ca="1">IFERROR(__xludf.DUMMYFUNCTION("""COMPUTED_VALUE"""),2019)</f>
        <v>2019</v>
      </c>
      <c r="E57" s="34" t="str">
        <f ca="1">IFERROR(__xludf.DUMMYFUNCTION("""COMPUTED_VALUE"""),"Corazon Del Sol")</f>
        <v>Corazon Del Sol</v>
      </c>
      <c r="F57" s="34" t="str">
        <f ca="1">IFERROR(__xludf.DUMMYFUNCTION("""COMPUTED_VALUE"""),"Malbec")</f>
        <v>Malbec</v>
      </c>
      <c r="G57" s="34" t="str">
        <f ca="1">IFERROR(__xludf.DUMMYFUNCTION("""COMPUTED_VALUE"""),"Other")</f>
        <v>Other</v>
      </c>
      <c r="H57" s="34" t="str">
        <f ca="1">IFERROR(__xludf.DUMMYFUNCTION("""COMPUTED_VALUE"""),"Chile")</f>
        <v>Chile</v>
      </c>
      <c r="I57" s="34"/>
      <c r="J57" s="34" t="str">
        <f ca="1">IFERROR(__xludf.DUMMYFUNCTION("""COMPUTED_VALUE"""),"Uco Valley")</f>
        <v>Uco Valley</v>
      </c>
      <c r="K57" s="34" t="str">
        <f ca="1">IFERROR(__xludf.DUMMYFUNCTION("""COMPUTED_VALUE"""),"Los Chacayes")</f>
        <v>Los Chacayes</v>
      </c>
      <c r="L57" s="34"/>
      <c r="M57" s="34"/>
      <c r="N57" s="37">
        <f ca="1">IFERROR(__xludf.DUMMYFUNCTION("""COMPUTED_VALUE"""),40)</f>
        <v>40</v>
      </c>
      <c r="O57" s="34">
        <f ca="1">IFERROR(__xludf.DUMMYFUNCTION("""COMPUTED_VALUE"""),750)</f>
        <v>750</v>
      </c>
      <c r="P57" s="34" t="str">
        <f ca="1">IFERROR(__xludf.DUMMYFUNCTION("""COMPUTED_VALUE"""),"Short")</f>
        <v>Short</v>
      </c>
      <c r="Q57" s="34" t="str">
        <f ca="1">IFERROR(__xludf.DUMMYFUNCTION("""COMPUTED_VALUE"""),"M/S1")</f>
        <v>M/S1</v>
      </c>
      <c r="R57" s="34"/>
      <c r="S57" s="34" t="b">
        <f ca="1">IFERROR(__xludf.DUMMYFUNCTION("""COMPUTED_VALUE"""),FALSE)</f>
        <v>0</v>
      </c>
      <c r="T57" s="34" t="b">
        <f ca="1">IFERROR(__xludf.DUMMYFUNCTION("""COMPUTED_VALUE"""),FALSE)</f>
        <v>0</v>
      </c>
      <c r="U57" s="34" t="b">
        <f ca="1">IFERROR(__xludf.DUMMYFUNCTION("""COMPUTED_VALUE"""),FALSE)</f>
        <v>0</v>
      </c>
      <c r="V57" s="34" t="b">
        <f ca="1">IFERROR(__xludf.DUMMYFUNCTION("""COMPUTED_VALUE"""),TRUE)</f>
        <v>1</v>
      </c>
      <c r="W57" s="34" t="b">
        <f ca="1">IFERROR(__xludf.DUMMYFUNCTION("""COMPUTED_VALUE"""),FALSE)</f>
        <v>0</v>
      </c>
    </row>
    <row r="58" spans="1:23" x14ac:dyDescent="0.2">
      <c r="A58" s="34" t="str">
        <f ca="1">IFERROR(__xludf.DUMMYFUNCTION("""COMPUTED_VALUE"""),"R")</f>
        <v>R</v>
      </c>
      <c r="B58" s="34" t="str">
        <f ca="1">IFERROR(__xludf.DUMMYFUNCTION("""COMPUTED_VALUE"""),"Red")</f>
        <v>Red</v>
      </c>
      <c r="C58" s="34">
        <f ca="1">IFERROR(__xludf.DUMMYFUNCTION("""COMPUTED_VALUE"""),1)</f>
        <v>1</v>
      </c>
      <c r="D58" s="34">
        <f ca="1">IFERROR(__xludf.DUMMYFUNCTION("""COMPUTED_VALUE"""),2022)</f>
        <v>2022</v>
      </c>
      <c r="E58" s="34" t="str">
        <f ca="1">IFERROR(__xludf.DUMMYFUNCTION("""COMPUTED_VALUE"""),"Birichino Vineyard")</f>
        <v>Birichino Vineyard</v>
      </c>
      <c r="F58" s="34" t="str">
        <f ca="1">IFERROR(__xludf.DUMMYFUNCTION("""COMPUTED_VALUE"""),"Old Vine Grenache")</f>
        <v>Old Vine Grenache</v>
      </c>
      <c r="G58" s="34" t="str">
        <f ca="1">IFERROR(__xludf.DUMMYFUNCTION("""COMPUTED_VALUE"""),"Other")</f>
        <v>Other</v>
      </c>
      <c r="H58" s="34" t="str">
        <f ca="1">IFERROR(__xludf.DUMMYFUNCTION("""COMPUTED_VALUE"""),"USA")</f>
        <v>USA</v>
      </c>
      <c r="I58" s="34" t="str">
        <f ca="1">IFERROR(__xludf.DUMMYFUNCTION("""COMPUTED_VALUE"""),"CA")</f>
        <v>CA</v>
      </c>
      <c r="J58" s="34" t="str">
        <f ca="1">IFERROR(__xludf.DUMMYFUNCTION("""COMPUTED_VALUE"""),"Santa Cruz Mountains")</f>
        <v>Santa Cruz Mountains</v>
      </c>
      <c r="K58" s="34"/>
      <c r="L58" s="34"/>
      <c r="M58" s="34" t="str">
        <f ca="1">IFERROR(__xludf.DUMMYFUNCTION("""COMPUTED_VALUE"""),"Besson Vineyard")</f>
        <v>Besson Vineyard</v>
      </c>
      <c r="N58" s="37">
        <f ca="1">IFERROR(__xludf.DUMMYFUNCTION("""COMPUTED_VALUE"""),30)</f>
        <v>30</v>
      </c>
      <c r="O58" s="34">
        <f ca="1">IFERROR(__xludf.DUMMYFUNCTION("""COMPUTED_VALUE"""),750)</f>
        <v>750</v>
      </c>
      <c r="P58" s="34" t="str">
        <f ca="1">IFERROR(__xludf.DUMMYFUNCTION("""COMPUTED_VALUE"""),"Short")</f>
        <v>Short</v>
      </c>
      <c r="Q58" s="34" t="str">
        <f ca="1">IFERROR(__xludf.DUMMYFUNCTION("""COMPUTED_VALUE"""),"M/S1")</f>
        <v>M/S1</v>
      </c>
      <c r="R58" s="34"/>
      <c r="S58" s="34" t="b">
        <f ca="1">IFERROR(__xludf.DUMMYFUNCTION("""COMPUTED_VALUE"""),FALSE)</f>
        <v>0</v>
      </c>
      <c r="T58" s="34" t="b">
        <f ca="1">IFERROR(__xludf.DUMMYFUNCTION("""COMPUTED_VALUE"""),FALSE)</f>
        <v>0</v>
      </c>
      <c r="U58" s="34" t="b">
        <f ca="1">IFERROR(__xludf.DUMMYFUNCTION("""COMPUTED_VALUE"""),FALSE)</f>
        <v>0</v>
      </c>
      <c r="V58" s="34" t="b">
        <f ca="1">IFERROR(__xludf.DUMMYFUNCTION("""COMPUTED_VALUE"""),FALSE)</f>
        <v>0</v>
      </c>
      <c r="W58" s="34" t="b">
        <f ca="1">IFERROR(__xludf.DUMMYFUNCTION("""COMPUTED_VALUE"""),FALSE)</f>
        <v>0</v>
      </c>
    </row>
    <row r="59" spans="1:23" x14ac:dyDescent="0.2">
      <c r="A59" s="34" t="str">
        <f ca="1">IFERROR(__xludf.DUMMYFUNCTION("""COMPUTED_VALUE"""),"R")</f>
        <v>R</v>
      </c>
      <c r="B59" s="34" t="str">
        <f ca="1">IFERROR(__xludf.DUMMYFUNCTION("""COMPUTED_VALUE"""),"Red")</f>
        <v>Red</v>
      </c>
      <c r="C59" s="34">
        <f ca="1">IFERROR(__xludf.DUMMYFUNCTION("""COMPUTED_VALUE"""),1)</f>
        <v>1</v>
      </c>
      <c r="D59" s="34">
        <f ca="1">IFERROR(__xludf.DUMMYFUNCTION("""COMPUTED_VALUE"""),2022)</f>
        <v>2022</v>
      </c>
      <c r="E59" s="34" t="str">
        <f ca="1">IFERROR(__xludf.DUMMYFUNCTION("""COMPUTED_VALUE"""),"Birichino Vineyard")</f>
        <v>Birichino Vineyard</v>
      </c>
      <c r="F59" s="34" t="str">
        <f ca="1">IFERROR(__xludf.DUMMYFUNCTION("""COMPUTED_VALUE"""),"Old Vine Grenache")</f>
        <v>Old Vine Grenache</v>
      </c>
      <c r="G59" s="34" t="str">
        <f ca="1">IFERROR(__xludf.DUMMYFUNCTION("""COMPUTED_VALUE"""),"Other")</f>
        <v>Other</v>
      </c>
      <c r="H59" s="34" t="str">
        <f ca="1">IFERROR(__xludf.DUMMYFUNCTION("""COMPUTED_VALUE"""),"USA")</f>
        <v>USA</v>
      </c>
      <c r="I59" s="34" t="str">
        <f ca="1">IFERROR(__xludf.DUMMYFUNCTION("""COMPUTED_VALUE"""),"CA")</f>
        <v>CA</v>
      </c>
      <c r="J59" s="34" t="str">
        <f ca="1">IFERROR(__xludf.DUMMYFUNCTION("""COMPUTED_VALUE"""),"Santa Cruz Mountains")</f>
        <v>Santa Cruz Mountains</v>
      </c>
      <c r="K59" s="34"/>
      <c r="L59" s="34"/>
      <c r="M59" s="34" t="str">
        <f ca="1">IFERROR(__xludf.DUMMYFUNCTION("""COMPUTED_VALUE"""),"Besson Vineyard")</f>
        <v>Besson Vineyard</v>
      </c>
      <c r="N59" s="37">
        <f ca="1">IFERROR(__xludf.DUMMYFUNCTION("""COMPUTED_VALUE"""),30)</f>
        <v>30</v>
      </c>
      <c r="O59" s="34">
        <f ca="1">IFERROR(__xludf.DUMMYFUNCTION("""COMPUTED_VALUE"""),750)</f>
        <v>750</v>
      </c>
      <c r="P59" s="34" t="str">
        <f ca="1">IFERROR(__xludf.DUMMYFUNCTION("""COMPUTED_VALUE"""),"Short")</f>
        <v>Short</v>
      </c>
      <c r="Q59" s="34" t="str">
        <f ca="1">IFERROR(__xludf.DUMMYFUNCTION("""COMPUTED_VALUE"""),"M3")</f>
        <v>M3</v>
      </c>
      <c r="R59" s="34"/>
      <c r="S59" s="34" t="b">
        <f ca="1">IFERROR(__xludf.DUMMYFUNCTION("""COMPUTED_VALUE"""),FALSE)</f>
        <v>0</v>
      </c>
      <c r="T59" s="34" t="b">
        <f ca="1">IFERROR(__xludf.DUMMYFUNCTION("""COMPUTED_VALUE"""),FALSE)</f>
        <v>0</v>
      </c>
      <c r="U59" s="34" t="b">
        <f ca="1">IFERROR(__xludf.DUMMYFUNCTION("""COMPUTED_VALUE"""),FALSE)</f>
        <v>0</v>
      </c>
      <c r="V59" s="34" t="b">
        <f ca="1">IFERROR(__xludf.DUMMYFUNCTION("""COMPUTED_VALUE"""),FALSE)</f>
        <v>0</v>
      </c>
      <c r="W59" s="34" t="b">
        <f ca="1">IFERROR(__xludf.DUMMYFUNCTION("""COMPUTED_VALUE"""),FALSE)</f>
        <v>0</v>
      </c>
    </row>
    <row r="60" spans="1:23" x14ac:dyDescent="0.2">
      <c r="A60" s="34" t="str">
        <f ca="1">IFERROR(__xludf.DUMMYFUNCTION("""COMPUTED_VALUE"""),"R")</f>
        <v>R</v>
      </c>
      <c r="B60" s="34" t="str">
        <f ca="1">IFERROR(__xludf.DUMMYFUNCTION("""COMPUTED_VALUE"""),"Sparkling")</f>
        <v>Sparkling</v>
      </c>
      <c r="C60" s="34">
        <f ca="1">IFERROR(__xludf.DUMMYFUNCTION("""COMPUTED_VALUE"""),1)</f>
        <v>1</v>
      </c>
      <c r="D60" s="34">
        <f ca="1">IFERROR(__xludf.DUMMYFUNCTION("""COMPUTED_VALUE"""),2018)</f>
        <v>2018</v>
      </c>
      <c r="E60" s="34" t="str">
        <f ca="1">IFERROR(__xludf.DUMMYFUNCTION("""COMPUTED_VALUE"""),"Schramsberg")</f>
        <v>Schramsberg</v>
      </c>
      <c r="F60" s="34" t="str">
        <f ca="1">IFERROR(__xludf.DUMMYFUNCTION("""COMPUTED_VALUE"""),"Caminante Del Cielo Vineyard")</f>
        <v>Caminante Del Cielo Vineyard</v>
      </c>
      <c r="G60" s="34" t="str">
        <f ca="1">IFERROR(__xludf.DUMMYFUNCTION("""COMPUTED_VALUE"""),"Other")</f>
        <v>Other</v>
      </c>
      <c r="H60" s="34" t="str">
        <f ca="1">IFERROR(__xludf.DUMMYFUNCTION("""COMPUTED_VALUE"""),"USA")</f>
        <v>USA</v>
      </c>
      <c r="I60" s="34" t="str">
        <f ca="1">IFERROR(__xludf.DUMMYFUNCTION("""COMPUTED_VALUE"""),"CA")</f>
        <v>CA</v>
      </c>
      <c r="J60" s="34" t="str">
        <f ca="1">IFERROR(__xludf.DUMMYFUNCTION("""COMPUTED_VALUE"""),"Marin County")</f>
        <v>Marin County</v>
      </c>
      <c r="K60" s="34"/>
      <c r="L60" s="34"/>
      <c r="M60" s="34" t="str">
        <f ca="1">IFERROR(__xludf.DUMMYFUNCTION("""COMPUTED_VALUE"""),"Caminante Del Cielo Vineyard")</f>
        <v>Caminante Del Cielo Vineyard</v>
      </c>
      <c r="N60" s="37">
        <f ca="1">IFERROR(__xludf.DUMMYFUNCTION("""COMPUTED_VALUE"""),60)</f>
        <v>60</v>
      </c>
      <c r="O60" s="34">
        <f ca="1">IFERROR(__xludf.DUMMYFUNCTION("""COMPUTED_VALUE"""),750)</f>
        <v>750</v>
      </c>
      <c r="P60" s="34" t="str">
        <f ca="1">IFERROR(__xludf.DUMMYFUNCTION("""COMPUTED_VALUE"""),"Short")</f>
        <v>Short</v>
      </c>
      <c r="Q60" s="34" t="str">
        <f ca="1">IFERROR(__xludf.DUMMYFUNCTION("""COMPUTED_VALUE"""),"M3")</f>
        <v>M3</v>
      </c>
      <c r="R60" s="34"/>
      <c r="S60" s="34" t="b">
        <f ca="1">IFERROR(__xludf.DUMMYFUNCTION("""COMPUTED_VALUE"""),FALSE)</f>
        <v>0</v>
      </c>
      <c r="T60" s="34" t="b">
        <f ca="1">IFERROR(__xludf.DUMMYFUNCTION("""COMPUTED_VALUE"""),FALSE)</f>
        <v>0</v>
      </c>
      <c r="U60" s="34" t="b">
        <f ca="1">IFERROR(__xludf.DUMMYFUNCTION("""COMPUTED_VALUE"""),FALSE)</f>
        <v>0</v>
      </c>
      <c r="V60" s="34" t="b">
        <f ca="1">IFERROR(__xludf.DUMMYFUNCTION("""COMPUTED_VALUE"""),FALSE)</f>
        <v>0</v>
      </c>
      <c r="W60" s="34" t="b">
        <f ca="1">IFERROR(__xludf.DUMMYFUNCTION("""COMPUTED_VALUE"""),FALSE)</f>
        <v>0</v>
      </c>
    </row>
    <row r="61" spans="1:23" x14ac:dyDescent="0.2">
      <c r="A61" s="34" t="str">
        <f ca="1">IFERROR(__xludf.DUMMYFUNCTION("""COMPUTED_VALUE"""),"R")</f>
        <v>R</v>
      </c>
      <c r="B61" s="34" t="str">
        <f ca="1">IFERROR(__xludf.DUMMYFUNCTION("""COMPUTED_VALUE"""),"White")</f>
        <v>White</v>
      </c>
      <c r="C61" s="34">
        <f ca="1">IFERROR(__xludf.DUMMYFUNCTION("""COMPUTED_VALUE"""),1)</f>
        <v>1</v>
      </c>
      <c r="D61" s="34">
        <f ca="1">IFERROR(__xludf.DUMMYFUNCTION("""COMPUTED_VALUE"""),2022)</f>
        <v>2022</v>
      </c>
      <c r="E61" s="34" t="str">
        <f ca="1">IFERROR(__xludf.DUMMYFUNCTION("""COMPUTED_VALUE"""),"Patrick Piuze")</f>
        <v>Patrick Piuze</v>
      </c>
      <c r="F61" s="34" t="str">
        <f ca="1">IFERROR(__xludf.DUMMYFUNCTION("""COMPUTED_VALUE"""),"La Grande Vallee")</f>
        <v>La Grande Vallee</v>
      </c>
      <c r="G61" s="34" t="str">
        <f ca="1">IFERROR(__xludf.DUMMYFUNCTION("""COMPUTED_VALUE"""),"Chardonnay")</f>
        <v>Chardonnay</v>
      </c>
      <c r="H61" s="34" t="str">
        <f ca="1">IFERROR(__xludf.DUMMYFUNCTION("""COMPUTED_VALUE"""),"France")</f>
        <v>France</v>
      </c>
      <c r="I61" s="34"/>
      <c r="J61" s="34" t="str">
        <f ca="1">IFERROR(__xludf.DUMMYFUNCTION("""COMPUTED_VALUE"""),"Burgundy")</f>
        <v>Burgundy</v>
      </c>
      <c r="K61" s="34" t="str">
        <f ca="1">IFERROR(__xludf.DUMMYFUNCTION("""COMPUTED_VALUE"""),"Chablis")</f>
        <v>Chablis</v>
      </c>
      <c r="L61" s="34" t="str">
        <f ca="1">IFERROR(__xludf.DUMMYFUNCTION("""COMPUTED_VALUE"""),"La Grane Valle")</f>
        <v>La Grane Valle</v>
      </c>
      <c r="M61" s="34"/>
      <c r="N61" s="37">
        <f ca="1">IFERROR(__xludf.DUMMYFUNCTION("""COMPUTED_VALUE"""),40)</f>
        <v>40</v>
      </c>
      <c r="O61" s="34">
        <f ca="1">IFERROR(__xludf.DUMMYFUNCTION("""COMPUTED_VALUE"""),750)</f>
        <v>750</v>
      </c>
      <c r="P61" s="34" t="str">
        <f ca="1">IFERROR(__xludf.DUMMYFUNCTION("""COMPUTED_VALUE"""),"Short")</f>
        <v>Short</v>
      </c>
      <c r="Q61" s="34" t="str">
        <f ca="1">IFERROR(__xludf.DUMMYFUNCTION("""COMPUTED_VALUE"""),"M3")</f>
        <v>M3</v>
      </c>
      <c r="R61" s="34"/>
      <c r="S61" s="34" t="b">
        <f ca="1">IFERROR(__xludf.DUMMYFUNCTION("""COMPUTED_VALUE"""),FALSE)</f>
        <v>0</v>
      </c>
      <c r="T61" s="34" t="b">
        <f ca="1">IFERROR(__xludf.DUMMYFUNCTION("""COMPUTED_VALUE"""),FALSE)</f>
        <v>0</v>
      </c>
      <c r="U61" s="34" t="b">
        <f ca="1">IFERROR(__xludf.DUMMYFUNCTION("""COMPUTED_VALUE"""),FALSE)</f>
        <v>0</v>
      </c>
      <c r="V61" s="34" t="b">
        <f ca="1">IFERROR(__xludf.DUMMYFUNCTION("""COMPUTED_VALUE"""),FALSE)</f>
        <v>0</v>
      </c>
      <c r="W61" s="34" t="b">
        <f ca="1">IFERROR(__xludf.DUMMYFUNCTION("""COMPUTED_VALUE"""),FALSE)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.75" customHeight="1" x14ac:dyDescent="0.2"/>
  <cols>
    <col min="1" max="1" width="11.59765625" customWidth="1"/>
    <col min="2" max="2" width="5.3984375" customWidth="1"/>
    <col min="4" max="4" width="20.796875" customWidth="1"/>
    <col min="5" max="5" width="27.59765625" customWidth="1"/>
    <col min="6" max="6" width="27.19921875" customWidth="1"/>
    <col min="7" max="7" width="10.3984375" customWidth="1"/>
    <col min="8" max="8" width="7.796875" customWidth="1"/>
    <col min="12" max="12" width="15.19921875" customWidth="1"/>
    <col min="16" max="16" width="8.3984375" customWidth="1"/>
  </cols>
  <sheetData>
    <row r="1" spans="1:29" x14ac:dyDescent="0.2">
      <c r="A1" s="38" t="s">
        <v>1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8" t="s">
        <v>7</v>
      </c>
      <c r="H1" s="38" t="s">
        <v>8</v>
      </c>
      <c r="I1" s="38" t="s">
        <v>9</v>
      </c>
      <c r="J1" s="38" t="s">
        <v>10</v>
      </c>
      <c r="K1" s="38" t="s">
        <v>519</v>
      </c>
      <c r="L1" s="38" t="s">
        <v>12</v>
      </c>
      <c r="M1" s="39" t="s">
        <v>13</v>
      </c>
      <c r="N1" s="38" t="s">
        <v>14</v>
      </c>
      <c r="O1" s="38" t="s">
        <v>15</v>
      </c>
      <c r="P1" s="38" t="s">
        <v>16</v>
      </c>
      <c r="Q1" s="40" t="s">
        <v>17</v>
      </c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29" x14ac:dyDescent="0.2">
      <c r="A2" s="34" t="s">
        <v>44</v>
      </c>
      <c r="B2" s="41">
        <v>1</v>
      </c>
      <c r="C2" s="42">
        <v>2008</v>
      </c>
      <c r="D2" s="41" t="s">
        <v>149</v>
      </c>
      <c r="E2" s="43" t="s">
        <v>150</v>
      </c>
      <c r="F2" s="34" t="s">
        <v>40</v>
      </c>
      <c r="G2" s="34" t="s">
        <v>28</v>
      </c>
      <c r="H2" s="34" t="s">
        <v>29</v>
      </c>
      <c r="I2" s="34" t="s">
        <v>30</v>
      </c>
      <c r="J2" s="41"/>
      <c r="K2" s="41"/>
      <c r="L2" s="41"/>
      <c r="M2" s="41">
        <v>80</v>
      </c>
      <c r="N2" s="41">
        <v>750</v>
      </c>
      <c r="O2" s="42" t="s">
        <v>105</v>
      </c>
      <c r="P2" s="41" t="s">
        <v>75</v>
      </c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x14ac:dyDescent="0.2">
      <c r="A3" s="34" t="s">
        <v>44</v>
      </c>
      <c r="B3" s="41">
        <v>1</v>
      </c>
      <c r="C3" s="42">
        <v>2009</v>
      </c>
      <c r="D3" s="41" t="s">
        <v>103</v>
      </c>
      <c r="E3" s="43" t="s">
        <v>520</v>
      </c>
      <c r="F3" s="34" t="s">
        <v>40</v>
      </c>
      <c r="G3" s="34" t="s">
        <v>28</v>
      </c>
      <c r="H3" s="34" t="s">
        <v>29</v>
      </c>
      <c r="I3" s="34" t="s">
        <v>30</v>
      </c>
      <c r="J3" s="41" t="s">
        <v>31</v>
      </c>
      <c r="K3" s="34" t="s">
        <v>75</v>
      </c>
      <c r="M3" s="41">
        <v>120</v>
      </c>
      <c r="N3" s="41">
        <v>750</v>
      </c>
      <c r="O3" s="42" t="s">
        <v>53</v>
      </c>
      <c r="P3" s="41">
        <v>4</v>
      </c>
      <c r="Q3" s="34"/>
    </row>
    <row r="4" spans="1:29" x14ac:dyDescent="0.2">
      <c r="A4" s="34" t="s">
        <v>24</v>
      </c>
      <c r="B4" s="41">
        <v>3</v>
      </c>
      <c r="C4" s="42">
        <v>2010</v>
      </c>
      <c r="D4" s="41" t="s">
        <v>521</v>
      </c>
      <c r="E4" s="43" t="s">
        <v>73</v>
      </c>
      <c r="F4" s="34" t="s">
        <v>27</v>
      </c>
      <c r="G4" s="34" t="s">
        <v>41</v>
      </c>
      <c r="I4" s="34" t="s">
        <v>76</v>
      </c>
      <c r="J4" s="34" t="s">
        <v>77</v>
      </c>
      <c r="M4" s="41">
        <v>30</v>
      </c>
      <c r="N4" s="41">
        <v>750</v>
      </c>
      <c r="O4" s="42" t="s">
        <v>53</v>
      </c>
      <c r="P4" s="41">
        <v>7</v>
      </c>
      <c r="Q4" s="34"/>
    </row>
    <row r="5" spans="1:29" x14ac:dyDescent="0.2">
      <c r="A5" s="34" t="s">
        <v>24</v>
      </c>
      <c r="B5" s="41">
        <v>1</v>
      </c>
      <c r="C5" s="42">
        <v>2013</v>
      </c>
      <c r="D5" s="41" t="s">
        <v>99</v>
      </c>
      <c r="E5" s="43" t="s">
        <v>120</v>
      </c>
      <c r="F5" s="34" t="s">
        <v>27</v>
      </c>
      <c r="G5" s="34" t="s">
        <v>28</v>
      </c>
      <c r="H5" s="34" t="s">
        <v>29</v>
      </c>
      <c r="I5" s="34" t="s">
        <v>30</v>
      </c>
      <c r="J5" s="41" t="s">
        <v>31</v>
      </c>
      <c r="K5" s="34" t="s">
        <v>121</v>
      </c>
      <c r="M5" s="41">
        <v>120</v>
      </c>
      <c r="N5" s="41">
        <v>750</v>
      </c>
      <c r="O5" s="42" t="s">
        <v>53</v>
      </c>
      <c r="P5" s="34">
        <v>1</v>
      </c>
      <c r="Q5" s="34"/>
    </row>
    <row r="6" spans="1:29" x14ac:dyDescent="0.2">
      <c r="A6" s="34" t="s">
        <v>24</v>
      </c>
      <c r="B6" s="41">
        <v>1</v>
      </c>
      <c r="C6" s="42">
        <v>2013</v>
      </c>
      <c r="D6" s="41" t="s">
        <v>84</v>
      </c>
      <c r="E6" s="43" t="s">
        <v>85</v>
      </c>
      <c r="F6" s="34" t="s">
        <v>27</v>
      </c>
      <c r="G6" s="34" t="s">
        <v>28</v>
      </c>
      <c r="H6" s="34" t="s">
        <v>29</v>
      </c>
      <c r="I6" s="34" t="s">
        <v>30</v>
      </c>
      <c r="J6" s="41" t="s">
        <v>31</v>
      </c>
      <c r="M6" s="41">
        <v>180</v>
      </c>
      <c r="N6" s="41">
        <v>750</v>
      </c>
      <c r="O6" s="42" t="s">
        <v>53</v>
      </c>
      <c r="P6" s="41">
        <v>8</v>
      </c>
      <c r="Q6" s="34"/>
    </row>
    <row r="7" spans="1:29" x14ac:dyDescent="0.2">
      <c r="A7" s="34" t="s">
        <v>24</v>
      </c>
      <c r="B7" s="34">
        <v>1</v>
      </c>
      <c r="C7" s="42">
        <v>2013</v>
      </c>
      <c r="D7" s="41" t="s">
        <v>99</v>
      </c>
      <c r="E7" s="43" t="s">
        <v>111</v>
      </c>
      <c r="F7" s="34" t="s">
        <v>27</v>
      </c>
      <c r="G7" s="34" t="s">
        <v>28</v>
      </c>
      <c r="H7" s="34" t="s">
        <v>29</v>
      </c>
      <c r="I7" s="34" t="s">
        <v>30</v>
      </c>
      <c r="J7" s="41" t="s">
        <v>31</v>
      </c>
      <c r="K7" s="41" t="s">
        <v>112</v>
      </c>
      <c r="L7" s="43" t="s">
        <v>113</v>
      </c>
      <c r="M7" s="41">
        <v>140</v>
      </c>
      <c r="N7" s="41">
        <v>750</v>
      </c>
      <c r="O7" s="42" t="s">
        <v>53</v>
      </c>
      <c r="P7" s="41">
        <v>19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9" x14ac:dyDescent="0.2">
      <c r="A8" s="34" t="s">
        <v>24</v>
      </c>
      <c r="B8" s="41">
        <v>1</v>
      </c>
      <c r="C8" s="42">
        <v>2014</v>
      </c>
      <c r="D8" s="41" t="s">
        <v>301</v>
      </c>
      <c r="E8" s="43" t="s">
        <v>522</v>
      </c>
      <c r="F8" s="34" t="s">
        <v>191</v>
      </c>
      <c r="G8" s="34" t="s">
        <v>28</v>
      </c>
      <c r="H8" s="34" t="s">
        <v>29</v>
      </c>
      <c r="I8" s="34" t="s">
        <v>30</v>
      </c>
      <c r="J8" s="41" t="s">
        <v>97</v>
      </c>
      <c r="K8" s="41"/>
      <c r="L8" s="41"/>
      <c r="M8" s="41">
        <v>329</v>
      </c>
      <c r="N8" s="41">
        <v>3000</v>
      </c>
      <c r="O8" s="42" t="s">
        <v>53</v>
      </c>
      <c r="P8" s="41" t="s">
        <v>523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spans="1:29" x14ac:dyDescent="0.2">
      <c r="A9" s="34" t="s">
        <v>24</v>
      </c>
      <c r="B9" s="41">
        <v>1</v>
      </c>
      <c r="C9" s="42">
        <v>2015</v>
      </c>
      <c r="D9" s="41" t="s">
        <v>205</v>
      </c>
      <c r="E9" s="43" t="s">
        <v>181</v>
      </c>
      <c r="F9" s="34" t="s">
        <v>27</v>
      </c>
      <c r="G9" s="34" t="s">
        <v>28</v>
      </c>
      <c r="H9" s="34" t="s">
        <v>29</v>
      </c>
      <c r="I9" s="34" t="s">
        <v>30</v>
      </c>
      <c r="J9" s="41" t="s">
        <v>31</v>
      </c>
      <c r="K9" s="34" t="s">
        <v>182</v>
      </c>
      <c r="M9" s="41">
        <v>125</v>
      </c>
      <c r="N9" s="41">
        <v>750</v>
      </c>
      <c r="O9" s="42" t="s">
        <v>53</v>
      </c>
      <c r="P9" s="41">
        <v>3</v>
      </c>
      <c r="Q9" s="34"/>
    </row>
    <row r="10" spans="1:29" x14ac:dyDescent="0.2">
      <c r="A10" s="34" t="s">
        <v>24</v>
      </c>
      <c r="B10" s="41">
        <v>1</v>
      </c>
      <c r="C10" s="42">
        <v>2015</v>
      </c>
      <c r="D10" s="41" t="s">
        <v>103</v>
      </c>
      <c r="E10" s="41" t="s">
        <v>233</v>
      </c>
      <c r="F10" s="34" t="s">
        <v>191</v>
      </c>
      <c r="G10" s="34" t="s">
        <v>28</v>
      </c>
      <c r="H10" s="34" t="s">
        <v>29</v>
      </c>
      <c r="I10" s="34" t="s">
        <v>30</v>
      </c>
      <c r="M10" s="41">
        <v>85</v>
      </c>
      <c r="N10" s="41">
        <v>750</v>
      </c>
      <c r="O10" s="42" t="s">
        <v>53</v>
      </c>
      <c r="P10" s="41">
        <v>9</v>
      </c>
      <c r="Q10" s="34"/>
    </row>
    <row r="11" spans="1:29" x14ac:dyDescent="0.2">
      <c r="A11" s="34" t="s">
        <v>24</v>
      </c>
      <c r="B11" s="41">
        <v>1</v>
      </c>
      <c r="C11" s="42">
        <v>2015</v>
      </c>
      <c r="D11" s="41" t="s">
        <v>172</v>
      </c>
      <c r="E11" s="43" t="s">
        <v>524</v>
      </c>
      <c r="F11" s="34" t="s">
        <v>235</v>
      </c>
      <c r="G11" s="34" t="s">
        <v>28</v>
      </c>
      <c r="H11" s="34" t="s">
        <v>29</v>
      </c>
      <c r="I11" s="34" t="s">
        <v>30</v>
      </c>
      <c r="J11" s="41"/>
      <c r="K11" s="41"/>
      <c r="L11" s="41"/>
      <c r="M11" s="41">
        <v>160</v>
      </c>
      <c r="N11" s="41">
        <v>3000</v>
      </c>
      <c r="O11" s="42" t="s">
        <v>53</v>
      </c>
      <c r="P11" s="41" t="s">
        <v>523</v>
      </c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29" x14ac:dyDescent="0.2">
      <c r="A12" s="34" t="s">
        <v>24</v>
      </c>
      <c r="B12" s="41">
        <v>1</v>
      </c>
      <c r="C12" s="42">
        <v>2015</v>
      </c>
      <c r="D12" s="41" t="s">
        <v>172</v>
      </c>
      <c r="E12" s="43" t="s">
        <v>525</v>
      </c>
      <c r="F12" s="34" t="s">
        <v>74</v>
      </c>
      <c r="G12" s="34" t="s">
        <v>28</v>
      </c>
      <c r="H12" s="34" t="s">
        <v>29</v>
      </c>
      <c r="I12" s="34" t="s">
        <v>30</v>
      </c>
      <c r="J12" s="41"/>
      <c r="K12" s="41"/>
      <c r="L12" s="41"/>
      <c r="M12" s="41">
        <v>330</v>
      </c>
      <c r="N12" s="41">
        <v>1500</v>
      </c>
      <c r="O12" s="42" t="s">
        <v>53</v>
      </c>
      <c r="P12" s="41" t="s">
        <v>523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spans="1:29" x14ac:dyDescent="0.2">
      <c r="A13" s="34" t="s">
        <v>24</v>
      </c>
      <c r="B13" s="41">
        <v>1</v>
      </c>
      <c r="C13" s="42">
        <v>2016</v>
      </c>
      <c r="D13" s="41" t="s">
        <v>84</v>
      </c>
      <c r="E13" s="43" t="s">
        <v>152</v>
      </c>
      <c r="F13" s="34" t="s">
        <v>27</v>
      </c>
      <c r="G13" s="34" t="s">
        <v>28</v>
      </c>
      <c r="H13" s="34" t="s">
        <v>29</v>
      </c>
      <c r="I13" s="34" t="s">
        <v>30</v>
      </c>
      <c r="J13" s="41" t="s">
        <v>31</v>
      </c>
      <c r="K13" s="34" t="s">
        <v>221</v>
      </c>
      <c r="M13" s="41">
        <v>185</v>
      </c>
      <c r="N13" s="41">
        <v>750</v>
      </c>
      <c r="O13" s="42" t="s">
        <v>53</v>
      </c>
      <c r="P13" s="34">
        <v>1</v>
      </c>
      <c r="Q13" s="34"/>
    </row>
    <row r="14" spans="1:29" x14ac:dyDescent="0.2">
      <c r="A14" s="34" t="s">
        <v>24</v>
      </c>
      <c r="B14" s="41">
        <v>1</v>
      </c>
      <c r="C14" s="42">
        <v>2016</v>
      </c>
      <c r="D14" s="41" t="s">
        <v>84</v>
      </c>
      <c r="E14" s="43" t="s">
        <v>120</v>
      </c>
      <c r="F14" s="34" t="s">
        <v>27</v>
      </c>
      <c r="G14" s="34" t="s">
        <v>28</v>
      </c>
      <c r="H14" s="34" t="s">
        <v>29</v>
      </c>
      <c r="I14" s="34" t="s">
        <v>30</v>
      </c>
      <c r="J14" s="41" t="s">
        <v>31</v>
      </c>
      <c r="K14" s="34" t="s">
        <v>121</v>
      </c>
      <c r="M14" s="41">
        <v>185</v>
      </c>
      <c r="N14" s="41">
        <v>750</v>
      </c>
      <c r="O14" s="42" t="s">
        <v>53</v>
      </c>
      <c r="P14" s="34">
        <v>1</v>
      </c>
      <c r="Q14" s="34"/>
    </row>
    <row r="15" spans="1:29" x14ac:dyDescent="0.2">
      <c r="A15" s="34" t="s">
        <v>24</v>
      </c>
      <c r="B15" s="41">
        <v>1</v>
      </c>
      <c r="C15" s="42">
        <v>2016</v>
      </c>
      <c r="D15" s="41" t="s">
        <v>205</v>
      </c>
      <c r="E15" s="41" t="s">
        <v>181</v>
      </c>
      <c r="F15" s="34" t="s">
        <v>27</v>
      </c>
      <c r="G15" s="34" t="s">
        <v>28</v>
      </c>
      <c r="H15" s="34" t="s">
        <v>29</v>
      </c>
      <c r="I15" s="34" t="s">
        <v>30</v>
      </c>
      <c r="J15" s="34" t="s">
        <v>31</v>
      </c>
      <c r="K15" s="34" t="s">
        <v>182</v>
      </c>
      <c r="M15" s="41">
        <v>125</v>
      </c>
      <c r="N15" s="41">
        <v>750</v>
      </c>
      <c r="O15" s="42" t="s">
        <v>53</v>
      </c>
      <c r="P15" s="41"/>
      <c r="Q15" s="34"/>
    </row>
    <row r="16" spans="1:29" x14ac:dyDescent="0.2">
      <c r="A16" s="34" t="s">
        <v>24</v>
      </c>
      <c r="B16" s="41">
        <v>1</v>
      </c>
      <c r="C16" s="42">
        <v>2016</v>
      </c>
      <c r="D16" s="41" t="s">
        <v>158</v>
      </c>
      <c r="E16" s="43" t="s">
        <v>220</v>
      </c>
      <c r="F16" s="34" t="s">
        <v>74</v>
      </c>
      <c r="G16" s="34" t="s">
        <v>41</v>
      </c>
      <c r="H16" s="34" t="s">
        <v>75</v>
      </c>
      <c r="I16" s="34" t="s">
        <v>76</v>
      </c>
      <c r="J16" s="34" t="s">
        <v>160</v>
      </c>
      <c r="M16" s="41">
        <v>350</v>
      </c>
      <c r="N16" s="41">
        <v>750</v>
      </c>
      <c r="O16" s="42" t="s">
        <v>53</v>
      </c>
      <c r="P16" s="41" t="s">
        <v>526</v>
      </c>
      <c r="Q16" s="34"/>
    </row>
    <row r="17" spans="1:29" x14ac:dyDescent="0.2">
      <c r="A17" s="34" t="s">
        <v>24</v>
      </c>
      <c r="B17" s="41">
        <v>1</v>
      </c>
      <c r="C17" s="42">
        <v>2016</v>
      </c>
      <c r="D17" s="41" t="s">
        <v>103</v>
      </c>
      <c r="E17" s="43" t="s">
        <v>233</v>
      </c>
      <c r="F17" s="34" t="s">
        <v>191</v>
      </c>
      <c r="G17" s="34" t="s">
        <v>28</v>
      </c>
      <c r="H17" s="34" t="s">
        <v>29</v>
      </c>
      <c r="I17" s="34" t="s">
        <v>30</v>
      </c>
      <c r="M17" s="41">
        <v>85</v>
      </c>
      <c r="N17" s="41">
        <v>750</v>
      </c>
      <c r="O17" s="42" t="s">
        <v>53</v>
      </c>
      <c r="P17" s="41">
        <v>9</v>
      </c>
      <c r="Q17" s="34"/>
    </row>
    <row r="18" spans="1:29" x14ac:dyDescent="0.2">
      <c r="A18" s="34" t="s">
        <v>24</v>
      </c>
      <c r="B18" s="41">
        <v>3</v>
      </c>
      <c r="C18" s="42">
        <v>2017</v>
      </c>
      <c r="D18" s="41" t="s">
        <v>527</v>
      </c>
      <c r="E18" s="43" t="s">
        <v>528</v>
      </c>
      <c r="F18" s="34" t="s">
        <v>74</v>
      </c>
      <c r="G18" s="34" t="s">
        <v>108</v>
      </c>
      <c r="I18" s="41" t="s">
        <v>299</v>
      </c>
      <c r="J18" s="41"/>
      <c r="K18" s="41"/>
      <c r="L18" s="41"/>
      <c r="M18" s="41">
        <v>116</v>
      </c>
      <c r="N18" s="41">
        <v>750</v>
      </c>
      <c r="O18" s="42" t="s">
        <v>53</v>
      </c>
      <c r="P18" s="41" t="s">
        <v>529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spans="1:29" x14ac:dyDescent="0.2">
      <c r="A19" s="34" t="s">
        <v>24</v>
      </c>
      <c r="B19" s="41">
        <v>1</v>
      </c>
      <c r="C19" s="42">
        <v>2018</v>
      </c>
      <c r="D19" s="41" t="s">
        <v>313</v>
      </c>
      <c r="E19" s="43" t="s">
        <v>530</v>
      </c>
      <c r="F19" s="34" t="s">
        <v>156</v>
      </c>
      <c r="G19" s="34" t="s">
        <v>28</v>
      </c>
      <c r="H19" s="34" t="s">
        <v>29</v>
      </c>
      <c r="I19" s="34" t="s">
        <v>30</v>
      </c>
      <c r="J19" s="34" t="s">
        <v>31</v>
      </c>
      <c r="L19" s="34" t="s">
        <v>115</v>
      </c>
      <c r="M19" s="41">
        <v>235</v>
      </c>
      <c r="N19" s="41">
        <v>750</v>
      </c>
      <c r="O19" s="42" t="s">
        <v>53</v>
      </c>
      <c r="P19" s="41" t="s">
        <v>523</v>
      </c>
      <c r="Q19" s="34"/>
    </row>
    <row r="20" spans="1:29" x14ac:dyDescent="0.2">
      <c r="A20" s="34" t="s">
        <v>24</v>
      </c>
      <c r="B20" s="41">
        <v>2</v>
      </c>
      <c r="C20" s="42">
        <v>2005</v>
      </c>
      <c r="D20" s="41" t="s">
        <v>521</v>
      </c>
      <c r="E20" s="43" t="s">
        <v>73</v>
      </c>
      <c r="F20" s="34" t="s">
        <v>27</v>
      </c>
      <c r="G20" s="34" t="s">
        <v>41</v>
      </c>
      <c r="I20" s="34" t="s">
        <v>76</v>
      </c>
      <c r="J20" s="34" t="s">
        <v>77</v>
      </c>
      <c r="M20" s="41">
        <v>55</v>
      </c>
      <c r="N20" s="41">
        <v>750</v>
      </c>
      <c r="O20" s="42" t="s">
        <v>34</v>
      </c>
      <c r="P20" s="41">
        <v>7</v>
      </c>
      <c r="Q20" s="34"/>
    </row>
    <row r="21" spans="1:29" x14ac:dyDescent="0.2">
      <c r="A21" s="34" t="s">
        <v>24</v>
      </c>
      <c r="B21" s="41">
        <v>3</v>
      </c>
      <c r="C21" s="42">
        <v>2009</v>
      </c>
      <c r="D21" s="41" t="s">
        <v>521</v>
      </c>
      <c r="E21" s="43" t="s">
        <v>73</v>
      </c>
      <c r="F21" s="34" t="s">
        <v>27</v>
      </c>
      <c r="G21" s="34" t="s">
        <v>41</v>
      </c>
      <c r="I21" s="34" t="s">
        <v>76</v>
      </c>
      <c r="J21" s="34" t="s">
        <v>77</v>
      </c>
      <c r="M21" s="41">
        <v>60</v>
      </c>
      <c r="N21" s="41">
        <v>750</v>
      </c>
      <c r="O21" s="42" t="s">
        <v>34</v>
      </c>
      <c r="P21" s="41">
        <v>7</v>
      </c>
      <c r="Q21" s="34"/>
    </row>
    <row r="22" spans="1:29" x14ac:dyDescent="0.2">
      <c r="A22" s="34" t="s">
        <v>24</v>
      </c>
      <c r="B22" s="41">
        <v>1</v>
      </c>
      <c r="C22" s="42">
        <v>2009</v>
      </c>
      <c r="D22" s="41" t="s">
        <v>531</v>
      </c>
      <c r="E22" s="43" t="s">
        <v>532</v>
      </c>
      <c r="F22" s="34" t="s">
        <v>74</v>
      </c>
      <c r="G22" s="34" t="s">
        <v>41</v>
      </c>
      <c r="H22" s="34" t="s">
        <v>75</v>
      </c>
      <c r="I22" s="34" t="s">
        <v>76</v>
      </c>
      <c r="J22" s="34" t="s">
        <v>224</v>
      </c>
      <c r="M22" s="41">
        <v>40</v>
      </c>
      <c r="N22" s="41">
        <v>750</v>
      </c>
      <c r="O22" s="42" t="s">
        <v>34</v>
      </c>
      <c r="P22" s="41">
        <v>28</v>
      </c>
      <c r="Q22" s="34"/>
    </row>
    <row r="23" spans="1:29" x14ac:dyDescent="0.2">
      <c r="A23" s="34" t="s">
        <v>24</v>
      </c>
      <c r="B23" s="41">
        <v>8</v>
      </c>
      <c r="C23" s="42">
        <v>2010</v>
      </c>
      <c r="D23" s="41" t="s">
        <v>72</v>
      </c>
      <c r="E23" s="43" t="s">
        <v>73</v>
      </c>
      <c r="F23" s="34" t="s">
        <v>74</v>
      </c>
      <c r="G23" s="34" t="s">
        <v>41</v>
      </c>
      <c r="H23" s="34" t="s">
        <v>75</v>
      </c>
      <c r="I23" s="34" t="s">
        <v>76</v>
      </c>
      <c r="J23" s="34" t="s">
        <v>77</v>
      </c>
      <c r="M23" s="41">
        <v>55</v>
      </c>
      <c r="N23" s="41">
        <v>750</v>
      </c>
      <c r="O23" s="42" t="s">
        <v>34</v>
      </c>
      <c r="P23" s="41">
        <v>28</v>
      </c>
      <c r="Q23" s="34"/>
    </row>
    <row r="24" spans="1:29" x14ac:dyDescent="0.2">
      <c r="A24" s="34" t="s">
        <v>24</v>
      </c>
      <c r="B24" s="41">
        <v>1</v>
      </c>
      <c r="C24" s="42">
        <v>2010</v>
      </c>
      <c r="D24" s="41" t="s">
        <v>158</v>
      </c>
      <c r="E24" s="43" t="s">
        <v>159</v>
      </c>
      <c r="F24" s="34" t="s">
        <v>74</v>
      </c>
      <c r="G24" s="34" t="s">
        <v>41</v>
      </c>
      <c r="H24" s="34" t="s">
        <v>75</v>
      </c>
      <c r="I24" s="34" t="s">
        <v>146</v>
      </c>
      <c r="J24" s="34" t="s">
        <v>160</v>
      </c>
      <c r="M24" s="41">
        <v>90</v>
      </c>
      <c r="N24" s="41">
        <v>750</v>
      </c>
      <c r="O24" s="42" t="s">
        <v>34</v>
      </c>
      <c r="P24" s="41" t="s">
        <v>151</v>
      </c>
      <c r="Q24" s="34"/>
    </row>
    <row r="25" spans="1:29" x14ac:dyDescent="0.2">
      <c r="A25" s="34" t="s">
        <v>44</v>
      </c>
      <c r="B25" s="41">
        <v>2</v>
      </c>
      <c r="C25" s="42">
        <v>2012</v>
      </c>
      <c r="D25" s="41" t="s">
        <v>103</v>
      </c>
      <c r="E25" s="43" t="s">
        <v>162</v>
      </c>
      <c r="F25" s="34" t="s">
        <v>40</v>
      </c>
      <c r="G25" s="34" t="s">
        <v>28</v>
      </c>
      <c r="H25" s="34" t="s">
        <v>29</v>
      </c>
      <c r="I25" s="34" t="s">
        <v>30</v>
      </c>
      <c r="M25" s="41">
        <v>57</v>
      </c>
      <c r="N25" s="41">
        <v>750</v>
      </c>
      <c r="O25" s="42" t="s">
        <v>34</v>
      </c>
      <c r="P25" s="41">
        <v>5</v>
      </c>
      <c r="Q25" s="34"/>
    </row>
    <row r="26" spans="1:29" x14ac:dyDescent="0.2">
      <c r="A26" s="34" t="s">
        <v>24</v>
      </c>
      <c r="B26" s="41">
        <v>1</v>
      </c>
      <c r="C26" s="42">
        <v>2013</v>
      </c>
      <c r="D26" s="41" t="s">
        <v>99</v>
      </c>
      <c r="E26" s="43" t="s">
        <v>533</v>
      </c>
      <c r="F26" s="34" t="s">
        <v>27</v>
      </c>
      <c r="G26" s="34" t="s">
        <v>28</v>
      </c>
      <c r="H26" s="34" t="s">
        <v>29</v>
      </c>
      <c r="I26" s="34" t="s">
        <v>30</v>
      </c>
      <c r="J26" s="41" t="s">
        <v>31</v>
      </c>
      <c r="K26" s="34" t="s">
        <v>75</v>
      </c>
      <c r="M26" s="41">
        <v>85</v>
      </c>
      <c r="N26" s="41">
        <v>750</v>
      </c>
      <c r="O26" s="42" t="s">
        <v>34</v>
      </c>
      <c r="P26" s="41">
        <v>1</v>
      </c>
      <c r="Q26" s="34"/>
    </row>
    <row r="27" spans="1:29" x14ac:dyDescent="0.2">
      <c r="A27" s="34" t="s">
        <v>24</v>
      </c>
      <c r="B27" s="41">
        <v>1</v>
      </c>
      <c r="C27" s="42">
        <v>2013</v>
      </c>
      <c r="D27" s="41" t="s">
        <v>95</v>
      </c>
      <c r="E27" s="43" t="s">
        <v>96</v>
      </c>
      <c r="F27" s="34" t="s">
        <v>74</v>
      </c>
      <c r="G27" s="34" t="s">
        <v>28</v>
      </c>
      <c r="H27" s="34" t="s">
        <v>29</v>
      </c>
      <c r="I27" s="34" t="s">
        <v>30</v>
      </c>
      <c r="J27" s="41" t="s">
        <v>31</v>
      </c>
      <c r="M27" s="41">
        <v>75</v>
      </c>
      <c r="N27" s="41">
        <v>750</v>
      </c>
      <c r="O27" s="42" t="s">
        <v>34</v>
      </c>
      <c r="P27" s="41">
        <v>7</v>
      </c>
      <c r="Q27" s="34"/>
    </row>
    <row r="28" spans="1:29" x14ac:dyDescent="0.2">
      <c r="A28" s="34" t="s">
        <v>24</v>
      </c>
      <c r="B28" s="41">
        <v>1</v>
      </c>
      <c r="C28" s="42">
        <v>2013</v>
      </c>
      <c r="D28" s="41" t="s">
        <v>84</v>
      </c>
      <c r="E28" s="43">
        <v>1873</v>
      </c>
      <c r="F28" s="34" t="s">
        <v>27</v>
      </c>
      <c r="G28" s="34" t="s">
        <v>28</v>
      </c>
      <c r="H28" s="34" t="s">
        <v>29</v>
      </c>
      <c r="I28" s="34" t="s">
        <v>30</v>
      </c>
      <c r="J28" s="41" t="s">
        <v>31</v>
      </c>
      <c r="M28" s="41">
        <v>85</v>
      </c>
      <c r="N28" s="41">
        <v>750</v>
      </c>
      <c r="O28" s="42" t="s">
        <v>34</v>
      </c>
      <c r="P28" s="41">
        <v>8</v>
      </c>
      <c r="Q28" s="34"/>
    </row>
    <row r="29" spans="1:29" x14ac:dyDescent="0.2">
      <c r="A29" s="34" t="s">
        <v>24</v>
      </c>
      <c r="B29" s="41">
        <v>1</v>
      </c>
      <c r="C29" s="42">
        <v>2013</v>
      </c>
      <c r="D29" s="41" t="s">
        <v>118</v>
      </c>
      <c r="E29" s="43" t="s">
        <v>534</v>
      </c>
      <c r="F29" s="34" t="s">
        <v>89</v>
      </c>
      <c r="G29" s="34" t="s">
        <v>82</v>
      </c>
      <c r="H29" s="34" t="s">
        <v>90</v>
      </c>
      <c r="I29" s="34" t="s">
        <v>92</v>
      </c>
      <c r="J29" s="34" t="s">
        <v>91</v>
      </c>
      <c r="L29" s="43" t="s">
        <v>534</v>
      </c>
      <c r="M29" s="41">
        <v>99</v>
      </c>
      <c r="N29" s="41">
        <v>750</v>
      </c>
      <c r="O29" s="42" t="s">
        <v>34</v>
      </c>
      <c r="P29" s="41" t="s">
        <v>529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1:29" x14ac:dyDescent="0.2">
      <c r="A30" s="34" t="s">
        <v>24</v>
      </c>
      <c r="B30" s="41">
        <v>1</v>
      </c>
      <c r="C30" s="42">
        <v>2014</v>
      </c>
      <c r="D30" s="41" t="s">
        <v>99</v>
      </c>
      <c r="E30" s="43" t="s">
        <v>120</v>
      </c>
      <c r="F30" s="34" t="s">
        <v>27</v>
      </c>
      <c r="G30" s="34" t="s">
        <v>28</v>
      </c>
      <c r="H30" s="34" t="s">
        <v>29</v>
      </c>
      <c r="I30" s="34" t="s">
        <v>30</v>
      </c>
      <c r="J30" s="41" t="s">
        <v>31</v>
      </c>
      <c r="K30" s="34" t="s">
        <v>121</v>
      </c>
      <c r="M30" s="41">
        <v>120</v>
      </c>
      <c r="N30" s="41">
        <v>750</v>
      </c>
      <c r="O30" s="42" t="s">
        <v>34</v>
      </c>
      <c r="P30" s="34">
        <v>1</v>
      </c>
      <c r="Q30" s="34"/>
    </row>
    <row r="31" spans="1:29" x14ac:dyDescent="0.2">
      <c r="A31" s="34" t="s">
        <v>24</v>
      </c>
      <c r="B31" s="41">
        <v>1</v>
      </c>
      <c r="C31" s="42">
        <v>2014</v>
      </c>
      <c r="D31" s="41" t="s">
        <v>99</v>
      </c>
      <c r="E31" s="43" t="s">
        <v>535</v>
      </c>
      <c r="F31" s="34" t="s">
        <v>27</v>
      </c>
      <c r="G31" s="34" t="s">
        <v>28</v>
      </c>
      <c r="H31" s="34" t="s">
        <v>29</v>
      </c>
      <c r="I31" s="34" t="s">
        <v>30</v>
      </c>
      <c r="J31" s="41" t="s">
        <v>31</v>
      </c>
      <c r="K31" s="34" t="s">
        <v>75</v>
      </c>
      <c r="M31" s="41">
        <v>85</v>
      </c>
      <c r="N31" s="41">
        <v>750</v>
      </c>
      <c r="O31" s="42" t="s">
        <v>34</v>
      </c>
      <c r="P31" s="34">
        <v>1</v>
      </c>
      <c r="Q31" s="34"/>
    </row>
    <row r="32" spans="1:29" x14ac:dyDescent="0.2">
      <c r="A32" s="34" t="s">
        <v>24</v>
      </c>
      <c r="B32" s="41">
        <v>1</v>
      </c>
      <c r="C32" s="42">
        <v>2014</v>
      </c>
      <c r="D32" s="41" t="s">
        <v>154</v>
      </c>
      <c r="E32" s="43" t="s">
        <v>536</v>
      </c>
      <c r="F32" s="34" t="s">
        <v>156</v>
      </c>
      <c r="G32" s="34" t="s">
        <v>28</v>
      </c>
      <c r="H32" s="34" t="s">
        <v>29</v>
      </c>
      <c r="I32" s="34" t="s">
        <v>30</v>
      </c>
      <c r="J32" s="34" t="s">
        <v>31</v>
      </c>
      <c r="L32" s="34" t="s">
        <v>157</v>
      </c>
      <c r="M32" s="41">
        <v>300</v>
      </c>
      <c r="N32" s="41">
        <v>1500</v>
      </c>
      <c r="O32" s="42" t="s">
        <v>34</v>
      </c>
      <c r="P32" s="41" t="s">
        <v>537</v>
      </c>
      <c r="Q32" s="34"/>
    </row>
    <row r="33" spans="1:29" x14ac:dyDescent="0.2">
      <c r="A33" s="34" t="s">
        <v>24</v>
      </c>
      <c r="B33" s="41">
        <v>1</v>
      </c>
      <c r="C33" s="42">
        <v>2014</v>
      </c>
      <c r="D33" s="41" t="s">
        <v>170</v>
      </c>
      <c r="E33" s="43" t="s">
        <v>171</v>
      </c>
      <c r="F33" s="34" t="s">
        <v>27</v>
      </c>
      <c r="G33" s="34" t="s">
        <v>28</v>
      </c>
      <c r="H33" s="34" t="s">
        <v>29</v>
      </c>
      <c r="I33" s="34" t="s">
        <v>30</v>
      </c>
      <c r="J33" s="34" t="s">
        <v>31</v>
      </c>
      <c r="K33" s="41"/>
      <c r="L33" s="41"/>
      <c r="M33" s="41">
        <v>150</v>
      </c>
      <c r="N33" s="41"/>
      <c r="O33" s="42" t="s">
        <v>34</v>
      </c>
      <c r="P33" s="41">
        <v>23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1:29" x14ac:dyDescent="0.2">
      <c r="A34" s="34" t="s">
        <v>24</v>
      </c>
      <c r="B34" s="41">
        <v>1</v>
      </c>
      <c r="C34" s="42">
        <v>2015</v>
      </c>
      <c r="D34" s="41" t="s">
        <v>205</v>
      </c>
      <c r="E34" s="43" t="s">
        <v>214</v>
      </c>
      <c r="F34" s="34" t="s">
        <v>27</v>
      </c>
      <c r="G34" s="34" t="s">
        <v>28</v>
      </c>
      <c r="H34" s="34" t="s">
        <v>29</v>
      </c>
      <c r="I34" s="34" t="s">
        <v>30</v>
      </c>
      <c r="J34" s="41" t="s">
        <v>31</v>
      </c>
      <c r="K34" s="34" t="s">
        <v>75</v>
      </c>
      <c r="M34" s="41">
        <v>55</v>
      </c>
      <c r="N34" s="41">
        <v>750</v>
      </c>
      <c r="O34" s="42" t="s">
        <v>34</v>
      </c>
      <c r="P34" s="41">
        <v>2</v>
      </c>
      <c r="Q34" s="34"/>
    </row>
    <row r="35" spans="1:29" x14ac:dyDescent="0.2">
      <c r="A35" s="34" t="s">
        <v>24</v>
      </c>
      <c r="B35" s="41">
        <v>1</v>
      </c>
      <c r="C35" s="42">
        <v>2015</v>
      </c>
      <c r="D35" s="41" t="s">
        <v>170</v>
      </c>
      <c r="E35" s="43" t="s">
        <v>389</v>
      </c>
      <c r="F35" s="34" t="s">
        <v>390</v>
      </c>
      <c r="G35" s="34" t="s">
        <v>28</v>
      </c>
      <c r="H35" s="34" t="s">
        <v>29</v>
      </c>
      <c r="I35" s="34" t="s">
        <v>30</v>
      </c>
      <c r="J35" s="41" t="s">
        <v>31</v>
      </c>
      <c r="K35" s="34" t="s">
        <v>126</v>
      </c>
      <c r="M35" s="41">
        <v>125</v>
      </c>
      <c r="N35" s="41">
        <v>750</v>
      </c>
      <c r="O35" s="42" t="s">
        <v>34</v>
      </c>
      <c r="P35" s="41">
        <v>3</v>
      </c>
      <c r="Q35" s="34"/>
    </row>
    <row r="36" spans="1:29" x14ac:dyDescent="0.2">
      <c r="A36" s="34" t="s">
        <v>44</v>
      </c>
      <c r="B36" s="41">
        <v>1</v>
      </c>
      <c r="C36" s="42">
        <v>2015</v>
      </c>
      <c r="D36" s="41" t="s">
        <v>103</v>
      </c>
      <c r="E36" s="43" t="s">
        <v>538</v>
      </c>
      <c r="F36" s="34" t="s">
        <v>40</v>
      </c>
      <c r="G36" s="34" t="s">
        <v>28</v>
      </c>
      <c r="H36" s="34" t="s">
        <v>29</v>
      </c>
      <c r="I36" s="34" t="s">
        <v>30</v>
      </c>
      <c r="J36" s="41" t="s">
        <v>31</v>
      </c>
      <c r="K36" s="34" t="s">
        <v>75</v>
      </c>
      <c r="M36" s="41">
        <v>45</v>
      </c>
      <c r="N36" s="41">
        <v>750</v>
      </c>
      <c r="O36" s="42" t="s">
        <v>34</v>
      </c>
      <c r="P36" s="41">
        <v>4</v>
      </c>
      <c r="Q36" s="34"/>
    </row>
    <row r="37" spans="1:29" x14ac:dyDescent="0.2">
      <c r="A37" s="34" t="s">
        <v>24</v>
      </c>
      <c r="B37" s="41">
        <v>1</v>
      </c>
      <c r="C37" s="42">
        <v>2015</v>
      </c>
      <c r="D37" s="41" t="s">
        <v>276</v>
      </c>
      <c r="E37" s="43" t="s">
        <v>539</v>
      </c>
      <c r="F37" s="34" t="s">
        <v>74</v>
      </c>
      <c r="G37" s="34" t="s">
        <v>28</v>
      </c>
      <c r="H37" s="34" t="s">
        <v>29</v>
      </c>
      <c r="I37" s="34" t="s">
        <v>30</v>
      </c>
      <c r="J37" s="41" t="s">
        <v>31</v>
      </c>
      <c r="M37" s="41">
        <v>34</v>
      </c>
      <c r="N37" s="41">
        <v>750</v>
      </c>
      <c r="O37" s="42" t="s">
        <v>34</v>
      </c>
      <c r="P37" s="41">
        <v>8</v>
      </c>
      <c r="Q37" s="34"/>
    </row>
    <row r="38" spans="1:29" x14ac:dyDescent="0.2">
      <c r="A38" s="34" t="s">
        <v>24</v>
      </c>
      <c r="B38" s="41">
        <v>1</v>
      </c>
      <c r="C38" s="42">
        <v>2015</v>
      </c>
      <c r="D38" s="41" t="s">
        <v>540</v>
      </c>
      <c r="E38" s="43" t="s">
        <v>541</v>
      </c>
      <c r="F38" s="34" t="s">
        <v>40</v>
      </c>
      <c r="G38" s="34" t="s">
        <v>28</v>
      </c>
      <c r="H38" s="34" t="s">
        <v>29</v>
      </c>
      <c r="I38" s="34" t="s">
        <v>30</v>
      </c>
      <c r="J38" s="34" t="s">
        <v>31</v>
      </c>
      <c r="K38" s="34" t="s">
        <v>182</v>
      </c>
      <c r="M38" s="41">
        <v>55</v>
      </c>
      <c r="N38" s="41">
        <v>750</v>
      </c>
      <c r="O38" s="42" t="s">
        <v>34</v>
      </c>
      <c r="P38" s="41" t="s">
        <v>151</v>
      </c>
      <c r="Q38" s="34"/>
    </row>
    <row r="39" spans="1:29" x14ac:dyDescent="0.2">
      <c r="A39" s="34" t="s">
        <v>24</v>
      </c>
      <c r="B39" s="41">
        <v>1</v>
      </c>
      <c r="C39" s="42">
        <v>2015</v>
      </c>
      <c r="D39" s="41" t="s">
        <v>542</v>
      </c>
      <c r="E39" s="43" t="s">
        <v>543</v>
      </c>
      <c r="F39" s="34" t="s">
        <v>89</v>
      </c>
      <c r="G39" s="34" t="s">
        <v>82</v>
      </c>
      <c r="H39" s="34" t="s">
        <v>90</v>
      </c>
      <c r="I39" s="34" t="s">
        <v>92</v>
      </c>
      <c r="J39" s="34" t="s">
        <v>91</v>
      </c>
      <c r="K39" s="41"/>
      <c r="L39" s="43" t="s">
        <v>543</v>
      </c>
      <c r="M39" s="41">
        <v>56</v>
      </c>
      <c r="N39" s="41">
        <v>750</v>
      </c>
      <c r="O39" s="42" t="s">
        <v>34</v>
      </c>
      <c r="P39" s="41" t="s">
        <v>529</v>
      </c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1:29" x14ac:dyDescent="0.2">
      <c r="A40" s="34" t="s">
        <v>24</v>
      </c>
      <c r="B40" s="41">
        <v>1</v>
      </c>
      <c r="C40" s="42">
        <v>2015</v>
      </c>
      <c r="D40" s="41" t="s">
        <v>56</v>
      </c>
      <c r="E40" s="43" t="s">
        <v>544</v>
      </c>
      <c r="F40" s="34" t="s">
        <v>191</v>
      </c>
      <c r="G40" s="34" t="s">
        <v>28</v>
      </c>
      <c r="H40" s="34" t="s">
        <v>237</v>
      </c>
      <c r="J40" s="34" t="s">
        <v>545</v>
      </c>
      <c r="K40" s="41"/>
      <c r="L40" s="41" t="s">
        <v>239</v>
      </c>
      <c r="M40" s="41">
        <v>37</v>
      </c>
      <c r="N40" s="41">
        <v>750</v>
      </c>
      <c r="O40" s="42" t="s">
        <v>34</v>
      </c>
      <c r="P40" s="41">
        <v>24</v>
      </c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spans="1:29" x14ac:dyDescent="0.2">
      <c r="A41" s="34" t="s">
        <v>24</v>
      </c>
      <c r="B41" s="41">
        <v>6</v>
      </c>
      <c r="C41" s="42">
        <v>2016</v>
      </c>
      <c r="D41" s="41" t="s">
        <v>56</v>
      </c>
      <c r="E41" s="43" t="s">
        <v>546</v>
      </c>
      <c r="F41" s="34" t="s">
        <v>40</v>
      </c>
      <c r="G41" s="34" t="s">
        <v>28</v>
      </c>
      <c r="H41" s="34" t="s">
        <v>58</v>
      </c>
      <c r="I41" s="41"/>
      <c r="J41" s="41" t="s">
        <v>547</v>
      </c>
      <c r="K41" s="41"/>
      <c r="L41" s="41" t="s">
        <v>548</v>
      </c>
      <c r="M41" s="41">
        <v>27</v>
      </c>
      <c r="N41" s="41">
        <v>750</v>
      </c>
      <c r="O41" s="42" t="s">
        <v>34</v>
      </c>
      <c r="P41" s="41" t="s">
        <v>529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1:29" x14ac:dyDescent="0.2">
      <c r="A42" s="34" t="s">
        <v>24</v>
      </c>
      <c r="B42" s="41">
        <v>3</v>
      </c>
      <c r="C42" s="42">
        <v>2016</v>
      </c>
      <c r="D42" s="41" t="s">
        <v>163</v>
      </c>
      <c r="E42" s="43" t="s">
        <v>164</v>
      </c>
      <c r="F42" s="34" t="s">
        <v>74</v>
      </c>
      <c r="G42" s="34" t="s">
        <v>28</v>
      </c>
      <c r="H42" s="34" t="s">
        <v>58</v>
      </c>
      <c r="I42" s="34" t="s">
        <v>59</v>
      </c>
      <c r="J42" s="34" t="s">
        <v>165</v>
      </c>
      <c r="K42" s="34" t="s">
        <v>165</v>
      </c>
      <c r="L42" s="34" t="s">
        <v>166</v>
      </c>
      <c r="M42" s="41">
        <v>110</v>
      </c>
      <c r="N42" s="41">
        <v>750</v>
      </c>
      <c r="O42" s="42" t="s">
        <v>34</v>
      </c>
      <c r="P42" s="41" t="s">
        <v>549</v>
      </c>
      <c r="Q42" s="34"/>
    </row>
    <row r="43" spans="1:29" x14ac:dyDescent="0.2">
      <c r="A43" s="34" t="s">
        <v>24</v>
      </c>
      <c r="B43" s="41">
        <v>1</v>
      </c>
      <c r="C43" s="42">
        <v>2016</v>
      </c>
      <c r="D43" s="41" t="s">
        <v>205</v>
      </c>
      <c r="E43" s="43" t="s">
        <v>214</v>
      </c>
      <c r="F43" s="34" t="s">
        <v>27</v>
      </c>
      <c r="G43" s="34" t="s">
        <v>28</v>
      </c>
      <c r="H43" s="34" t="s">
        <v>29</v>
      </c>
      <c r="I43" s="34" t="s">
        <v>30</v>
      </c>
      <c r="J43" s="41" t="s">
        <v>31</v>
      </c>
      <c r="K43" s="34" t="s">
        <v>75</v>
      </c>
      <c r="M43" s="41">
        <v>55</v>
      </c>
      <c r="N43" s="41">
        <v>750</v>
      </c>
      <c r="O43" s="42" t="s">
        <v>34</v>
      </c>
      <c r="P43" s="41">
        <v>2</v>
      </c>
      <c r="Q43" s="34"/>
    </row>
    <row r="44" spans="1:29" x14ac:dyDescent="0.2">
      <c r="A44" s="34" t="s">
        <v>24</v>
      </c>
      <c r="B44" s="41">
        <v>1</v>
      </c>
      <c r="C44" s="42">
        <v>2016</v>
      </c>
      <c r="D44" s="41" t="s">
        <v>205</v>
      </c>
      <c r="E44" s="43" t="s">
        <v>206</v>
      </c>
      <c r="F44" s="34" t="s">
        <v>27</v>
      </c>
      <c r="G44" s="34" t="s">
        <v>28</v>
      </c>
      <c r="H44" s="34" t="s">
        <v>29</v>
      </c>
      <c r="I44" s="34" t="s">
        <v>30</v>
      </c>
      <c r="J44" s="41" t="s">
        <v>31</v>
      </c>
      <c r="K44" s="34" t="s">
        <v>550</v>
      </c>
      <c r="M44" s="41">
        <v>100</v>
      </c>
      <c r="N44" s="41">
        <v>750</v>
      </c>
      <c r="O44" s="42" t="s">
        <v>34</v>
      </c>
      <c r="P44" s="41">
        <v>2</v>
      </c>
      <c r="Q44" s="34"/>
    </row>
    <row r="45" spans="1:29" x14ac:dyDescent="0.2">
      <c r="A45" s="34" t="s">
        <v>24</v>
      </c>
      <c r="B45" s="41">
        <v>3</v>
      </c>
      <c r="C45" s="42">
        <v>2016</v>
      </c>
      <c r="D45" s="41" t="s">
        <v>197</v>
      </c>
      <c r="E45" s="41" t="s">
        <v>551</v>
      </c>
      <c r="F45" s="34" t="s">
        <v>27</v>
      </c>
      <c r="G45" s="34" t="s">
        <v>28</v>
      </c>
      <c r="H45" s="34" t="s">
        <v>29</v>
      </c>
      <c r="I45" s="34" t="s">
        <v>30</v>
      </c>
      <c r="J45" s="34" t="s">
        <v>31</v>
      </c>
      <c r="K45" s="34" t="s">
        <v>126</v>
      </c>
      <c r="M45" s="41">
        <v>75</v>
      </c>
      <c r="N45" s="41">
        <v>750</v>
      </c>
      <c r="O45" s="42" t="s">
        <v>34</v>
      </c>
      <c r="Q45" s="34"/>
    </row>
    <row r="46" spans="1:29" x14ac:dyDescent="0.2">
      <c r="A46" s="34" t="s">
        <v>24</v>
      </c>
      <c r="B46" s="41">
        <v>1</v>
      </c>
      <c r="C46" s="42">
        <v>2016</v>
      </c>
      <c r="D46" s="41" t="s">
        <v>205</v>
      </c>
      <c r="E46" s="41" t="s">
        <v>552</v>
      </c>
      <c r="F46" s="34" t="s">
        <v>235</v>
      </c>
      <c r="G46" s="34" t="s">
        <v>28</v>
      </c>
      <c r="H46" s="34" t="s">
        <v>29</v>
      </c>
      <c r="I46" s="34" t="s">
        <v>30</v>
      </c>
      <c r="J46" s="34" t="s">
        <v>31</v>
      </c>
      <c r="K46" s="34" t="s">
        <v>281</v>
      </c>
      <c r="M46" s="41">
        <v>45</v>
      </c>
      <c r="N46" s="41">
        <v>750</v>
      </c>
      <c r="O46" s="42" t="s">
        <v>34</v>
      </c>
      <c r="P46" s="41"/>
      <c r="Q46" s="34"/>
    </row>
    <row r="47" spans="1:29" x14ac:dyDescent="0.2">
      <c r="A47" s="34" t="s">
        <v>24</v>
      </c>
      <c r="B47" s="41">
        <v>1</v>
      </c>
      <c r="C47" s="42">
        <v>2016</v>
      </c>
      <c r="D47" s="41" t="s">
        <v>205</v>
      </c>
      <c r="E47" s="43" t="s">
        <v>206</v>
      </c>
      <c r="F47" s="34" t="s">
        <v>74</v>
      </c>
      <c r="G47" s="34" t="s">
        <v>28</v>
      </c>
      <c r="H47" s="34" t="s">
        <v>29</v>
      </c>
      <c r="I47" s="34" t="s">
        <v>30</v>
      </c>
      <c r="J47" s="41" t="s">
        <v>31</v>
      </c>
      <c r="K47" s="41" t="s">
        <v>207</v>
      </c>
      <c r="L47" s="41" t="s">
        <v>251</v>
      </c>
      <c r="M47" s="41">
        <v>100</v>
      </c>
      <c r="N47" s="41">
        <v>750</v>
      </c>
      <c r="O47" s="42" t="s">
        <v>34</v>
      </c>
      <c r="P47" s="41" t="s">
        <v>110</v>
      </c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spans="1:29" x14ac:dyDescent="0.2">
      <c r="A48" s="34" t="s">
        <v>24</v>
      </c>
      <c r="B48" s="44">
        <v>1</v>
      </c>
      <c r="C48" s="42">
        <v>2016</v>
      </c>
      <c r="D48" s="41" t="s">
        <v>246</v>
      </c>
      <c r="E48" s="43" t="s">
        <v>247</v>
      </c>
      <c r="F48" s="34" t="s">
        <v>129</v>
      </c>
      <c r="G48" s="34" t="s">
        <v>28</v>
      </c>
      <c r="H48" s="34" t="s">
        <v>29</v>
      </c>
      <c r="I48" s="34" t="s">
        <v>212</v>
      </c>
      <c r="J48" s="34" t="s">
        <v>248</v>
      </c>
      <c r="L48" s="34" t="s">
        <v>249</v>
      </c>
      <c r="M48" s="41">
        <v>110</v>
      </c>
      <c r="N48" s="41">
        <v>750</v>
      </c>
      <c r="O48" s="42" t="s">
        <v>34</v>
      </c>
      <c r="P48" s="41" t="s">
        <v>549</v>
      </c>
      <c r="Q48" s="34"/>
    </row>
    <row r="49" spans="1:29" x14ac:dyDescent="0.2">
      <c r="A49" s="34" t="s">
        <v>24</v>
      </c>
      <c r="B49" s="41">
        <v>1</v>
      </c>
      <c r="C49" s="42">
        <v>2016</v>
      </c>
      <c r="D49" s="41" t="s">
        <v>262</v>
      </c>
      <c r="E49" s="43" t="s">
        <v>553</v>
      </c>
      <c r="F49" s="34" t="s">
        <v>139</v>
      </c>
      <c r="G49" s="34" t="s">
        <v>41</v>
      </c>
      <c r="H49" s="34" t="s">
        <v>75</v>
      </c>
      <c r="I49" s="34" t="s">
        <v>227</v>
      </c>
      <c r="J49" s="34" t="s">
        <v>227</v>
      </c>
      <c r="M49" s="41">
        <v>80</v>
      </c>
      <c r="N49" s="41">
        <v>750</v>
      </c>
      <c r="O49" s="42" t="s">
        <v>34</v>
      </c>
      <c r="P49" s="41" t="s">
        <v>526</v>
      </c>
      <c r="Q49" s="34"/>
    </row>
    <row r="50" spans="1:29" x14ac:dyDescent="0.2">
      <c r="A50" s="34" t="s">
        <v>24</v>
      </c>
      <c r="B50" s="41">
        <v>1</v>
      </c>
      <c r="C50" s="42">
        <v>2016</v>
      </c>
      <c r="D50" s="41" t="s">
        <v>118</v>
      </c>
      <c r="E50" s="43" t="s">
        <v>119</v>
      </c>
      <c r="F50" s="34" t="s">
        <v>89</v>
      </c>
      <c r="G50" s="34" t="s">
        <v>82</v>
      </c>
      <c r="H50" s="34" t="s">
        <v>75</v>
      </c>
      <c r="I50" s="34" t="s">
        <v>90</v>
      </c>
      <c r="J50" s="34" t="s">
        <v>91</v>
      </c>
      <c r="K50" s="34" t="s">
        <v>92</v>
      </c>
      <c r="L50" s="34" t="s">
        <v>93</v>
      </c>
      <c r="M50" s="41">
        <v>99</v>
      </c>
      <c r="N50" s="41">
        <v>750</v>
      </c>
      <c r="O50" s="42" t="s">
        <v>34</v>
      </c>
      <c r="P50" s="41" t="s">
        <v>526</v>
      </c>
      <c r="Q50" s="34"/>
    </row>
    <row r="51" spans="1:29" x14ac:dyDescent="0.2">
      <c r="A51" s="34" t="s">
        <v>24</v>
      </c>
      <c r="B51" s="41">
        <v>1</v>
      </c>
      <c r="C51" s="42">
        <v>2016</v>
      </c>
      <c r="D51" s="41" t="s">
        <v>264</v>
      </c>
      <c r="E51" s="43" t="s">
        <v>119</v>
      </c>
      <c r="F51" s="34" t="s">
        <v>89</v>
      </c>
      <c r="G51" s="34" t="s">
        <v>82</v>
      </c>
      <c r="H51" s="34" t="s">
        <v>75</v>
      </c>
      <c r="I51" s="34" t="s">
        <v>90</v>
      </c>
      <c r="J51" s="34" t="s">
        <v>91</v>
      </c>
      <c r="K51" s="34" t="s">
        <v>92</v>
      </c>
      <c r="L51" s="34" t="s">
        <v>93</v>
      </c>
      <c r="M51" s="41">
        <v>80</v>
      </c>
      <c r="N51" s="41">
        <v>750</v>
      </c>
      <c r="O51" s="42" t="s">
        <v>34</v>
      </c>
      <c r="P51" s="41" t="s">
        <v>526</v>
      </c>
      <c r="Q51" s="34"/>
    </row>
    <row r="52" spans="1:29" x14ac:dyDescent="0.2">
      <c r="A52" s="34" t="s">
        <v>24</v>
      </c>
      <c r="B52" s="41">
        <v>1</v>
      </c>
      <c r="C52" s="42">
        <v>2016</v>
      </c>
      <c r="D52" s="41" t="s">
        <v>225</v>
      </c>
      <c r="E52" s="43" t="s">
        <v>226</v>
      </c>
      <c r="F52" s="34" t="s">
        <v>139</v>
      </c>
      <c r="G52" s="34" t="s">
        <v>41</v>
      </c>
      <c r="H52" s="34" t="s">
        <v>75</v>
      </c>
      <c r="I52" s="34" t="s">
        <v>227</v>
      </c>
      <c r="J52" s="34" t="s">
        <v>140</v>
      </c>
      <c r="K52" s="34" t="s">
        <v>228</v>
      </c>
      <c r="M52" s="41">
        <v>120</v>
      </c>
      <c r="N52" s="41">
        <v>750</v>
      </c>
      <c r="O52" s="42" t="s">
        <v>34</v>
      </c>
      <c r="P52" s="41" t="s">
        <v>554</v>
      </c>
      <c r="Q52" s="34"/>
    </row>
    <row r="53" spans="1:29" x14ac:dyDescent="0.2">
      <c r="A53" s="34" t="s">
        <v>24</v>
      </c>
      <c r="B53" s="44">
        <v>1</v>
      </c>
      <c r="C53" s="42">
        <v>2016</v>
      </c>
      <c r="D53" s="41" t="s">
        <v>254</v>
      </c>
      <c r="E53" s="43" t="s">
        <v>255</v>
      </c>
      <c r="F53" s="34" t="s">
        <v>129</v>
      </c>
      <c r="G53" s="34" t="s">
        <v>28</v>
      </c>
      <c r="H53" s="34" t="s">
        <v>237</v>
      </c>
      <c r="I53" s="34" t="s">
        <v>59</v>
      </c>
      <c r="J53" s="34" t="s">
        <v>256</v>
      </c>
      <c r="K53" s="34" t="s">
        <v>257</v>
      </c>
      <c r="L53" s="34" t="s">
        <v>255</v>
      </c>
      <c r="M53" s="41">
        <v>97</v>
      </c>
      <c r="N53" s="41">
        <v>750</v>
      </c>
      <c r="O53" s="42" t="s">
        <v>34</v>
      </c>
      <c r="P53" s="41" t="s">
        <v>549</v>
      </c>
      <c r="Q53" s="34"/>
    </row>
    <row r="54" spans="1:29" x14ac:dyDescent="0.2">
      <c r="A54" s="34" t="s">
        <v>24</v>
      </c>
      <c r="B54" s="41">
        <v>1</v>
      </c>
      <c r="C54" s="42">
        <v>2016</v>
      </c>
      <c r="D54" s="41" t="s">
        <v>301</v>
      </c>
      <c r="E54" s="43" t="s">
        <v>302</v>
      </c>
      <c r="F54" s="34" t="s">
        <v>191</v>
      </c>
      <c r="G54" s="34" t="s">
        <v>28</v>
      </c>
      <c r="H54" s="34" t="s">
        <v>29</v>
      </c>
      <c r="I54" s="34" t="s">
        <v>30</v>
      </c>
      <c r="J54" s="34" t="s">
        <v>212</v>
      </c>
      <c r="K54" s="34" t="s">
        <v>303</v>
      </c>
      <c r="L54" s="34" t="s">
        <v>304</v>
      </c>
      <c r="M54" s="41">
        <v>75</v>
      </c>
      <c r="N54" s="41">
        <v>750</v>
      </c>
      <c r="O54" s="42" t="s">
        <v>34</v>
      </c>
      <c r="P54" s="41">
        <v>6</v>
      </c>
      <c r="Q54" s="34"/>
    </row>
    <row r="55" spans="1:29" x14ac:dyDescent="0.2">
      <c r="A55" s="34" t="s">
        <v>24</v>
      </c>
      <c r="B55" s="41">
        <v>1</v>
      </c>
      <c r="C55" s="42">
        <v>2016</v>
      </c>
      <c r="D55" s="41" t="s">
        <v>301</v>
      </c>
      <c r="E55" s="43" t="s">
        <v>302</v>
      </c>
      <c r="F55" s="34" t="s">
        <v>191</v>
      </c>
      <c r="G55" s="34" t="s">
        <v>28</v>
      </c>
      <c r="H55" s="34" t="s">
        <v>29</v>
      </c>
      <c r="I55" s="34" t="s">
        <v>30</v>
      </c>
      <c r="J55" s="34" t="s">
        <v>212</v>
      </c>
      <c r="K55" s="34" t="s">
        <v>555</v>
      </c>
      <c r="L55" s="34" t="s">
        <v>304</v>
      </c>
      <c r="M55" s="41">
        <v>75</v>
      </c>
      <c r="N55" s="41">
        <v>750</v>
      </c>
      <c r="O55" s="42" t="s">
        <v>34</v>
      </c>
      <c r="P55" s="41">
        <v>9</v>
      </c>
      <c r="Q55" s="34"/>
    </row>
    <row r="56" spans="1:29" x14ac:dyDescent="0.2">
      <c r="A56" s="34" t="s">
        <v>24</v>
      </c>
      <c r="B56" s="41">
        <v>2</v>
      </c>
      <c r="C56" s="42">
        <v>2016</v>
      </c>
      <c r="D56" s="41" t="s">
        <v>229</v>
      </c>
      <c r="E56" s="43" t="s">
        <v>245</v>
      </c>
      <c r="F56" s="34" t="s">
        <v>27</v>
      </c>
      <c r="G56" s="34" t="s">
        <v>28</v>
      </c>
      <c r="H56" s="34" t="s">
        <v>29</v>
      </c>
      <c r="I56" s="34" t="s">
        <v>30</v>
      </c>
      <c r="J56" s="41" t="s">
        <v>31</v>
      </c>
      <c r="K56" s="41" t="s">
        <v>221</v>
      </c>
      <c r="L56" s="41"/>
      <c r="M56" s="41">
        <v>150</v>
      </c>
      <c r="N56" s="41">
        <v>750</v>
      </c>
      <c r="O56" s="42" t="s">
        <v>34</v>
      </c>
      <c r="P56" s="41">
        <v>23</v>
      </c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1:29" x14ac:dyDescent="0.2">
      <c r="A57" s="34" t="s">
        <v>24</v>
      </c>
      <c r="B57" s="41">
        <v>1</v>
      </c>
      <c r="C57" s="42">
        <v>2016</v>
      </c>
      <c r="D57" s="41" t="s">
        <v>229</v>
      </c>
      <c r="E57" s="43" t="s">
        <v>230</v>
      </c>
      <c r="F57" s="34" t="s">
        <v>156</v>
      </c>
      <c r="G57" s="34" t="s">
        <v>28</v>
      </c>
      <c r="H57" s="34" t="s">
        <v>29</v>
      </c>
      <c r="I57" s="34" t="s">
        <v>30</v>
      </c>
      <c r="J57" s="41" t="s">
        <v>97</v>
      </c>
      <c r="K57" s="41" t="s">
        <v>130</v>
      </c>
      <c r="L57" s="41" t="s">
        <v>231</v>
      </c>
      <c r="M57" s="41">
        <v>125</v>
      </c>
      <c r="N57" s="41">
        <v>750</v>
      </c>
      <c r="O57" s="42" t="s">
        <v>34</v>
      </c>
      <c r="P57" s="41">
        <v>23</v>
      </c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spans="1:29" x14ac:dyDescent="0.2">
      <c r="A58" s="34" t="s">
        <v>24</v>
      </c>
      <c r="B58" s="41">
        <v>1</v>
      </c>
      <c r="C58" s="42">
        <v>2016</v>
      </c>
      <c r="D58" s="41" t="s">
        <v>170</v>
      </c>
      <c r="E58" s="43" t="s">
        <v>556</v>
      </c>
      <c r="F58" s="34" t="s">
        <v>27</v>
      </c>
      <c r="G58" s="34" t="s">
        <v>28</v>
      </c>
      <c r="H58" s="34" t="s">
        <v>29</v>
      </c>
      <c r="I58" s="34" t="s">
        <v>30</v>
      </c>
      <c r="J58" s="41" t="s">
        <v>31</v>
      </c>
      <c r="K58" s="41"/>
      <c r="L58" s="41"/>
      <c r="M58" s="41">
        <v>125</v>
      </c>
      <c r="N58" s="41">
        <v>750</v>
      </c>
      <c r="O58" s="42" t="s">
        <v>34</v>
      </c>
      <c r="P58" s="41">
        <v>23</v>
      </c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</row>
    <row r="59" spans="1:29" x14ac:dyDescent="0.2">
      <c r="A59" s="34" t="s">
        <v>24</v>
      </c>
      <c r="B59" s="41">
        <v>1</v>
      </c>
      <c r="C59" s="42">
        <v>2016</v>
      </c>
      <c r="D59" s="41" t="s">
        <v>557</v>
      </c>
      <c r="E59" s="43" t="s">
        <v>558</v>
      </c>
      <c r="F59" s="34" t="s">
        <v>191</v>
      </c>
      <c r="G59" s="34" t="s">
        <v>28</v>
      </c>
      <c r="H59" s="34" t="s">
        <v>29</v>
      </c>
      <c r="I59" s="34" t="s">
        <v>30</v>
      </c>
      <c r="J59" s="41" t="s">
        <v>97</v>
      </c>
      <c r="K59" s="41" t="s">
        <v>559</v>
      </c>
      <c r="L59" s="41"/>
      <c r="M59" s="41">
        <v>66</v>
      </c>
      <c r="N59" s="41">
        <v>750</v>
      </c>
      <c r="O59" s="42" t="s">
        <v>34</v>
      </c>
      <c r="P59" s="41" t="s">
        <v>529</v>
      </c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</row>
    <row r="60" spans="1:29" x14ac:dyDescent="0.2">
      <c r="A60" s="34" t="s">
        <v>24</v>
      </c>
      <c r="B60" s="41">
        <v>1</v>
      </c>
      <c r="C60" s="42">
        <v>2017</v>
      </c>
      <c r="D60" s="41" t="s">
        <v>240</v>
      </c>
      <c r="E60" s="43" t="s">
        <v>26</v>
      </c>
      <c r="F60" s="34" t="s">
        <v>27</v>
      </c>
      <c r="G60" s="34" t="s">
        <v>28</v>
      </c>
      <c r="H60" s="34" t="s">
        <v>29</v>
      </c>
      <c r="I60" s="34" t="s">
        <v>30</v>
      </c>
      <c r="J60" s="34" t="s">
        <v>31</v>
      </c>
      <c r="K60" s="34" t="s">
        <v>241</v>
      </c>
      <c r="M60" s="41">
        <v>120</v>
      </c>
      <c r="N60" s="41">
        <v>750</v>
      </c>
      <c r="O60" s="42" t="s">
        <v>34</v>
      </c>
      <c r="P60" s="41" t="s">
        <v>560</v>
      </c>
      <c r="Q60" s="34"/>
    </row>
    <row r="61" spans="1:29" x14ac:dyDescent="0.2">
      <c r="A61" s="34" t="s">
        <v>24</v>
      </c>
      <c r="B61" s="41">
        <v>1</v>
      </c>
      <c r="C61" s="42">
        <v>2017</v>
      </c>
      <c r="D61" s="41" t="s">
        <v>154</v>
      </c>
      <c r="E61" s="43" t="s">
        <v>327</v>
      </c>
      <c r="F61" s="34" t="s">
        <v>27</v>
      </c>
      <c r="G61" s="34" t="s">
        <v>28</v>
      </c>
      <c r="H61" s="34" t="s">
        <v>29</v>
      </c>
      <c r="I61" s="34" t="s">
        <v>30</v>
      </c>
      <c r="J61" s="34" t="s">
        <v>31</v>
      </c>
      <c r="K61" s="34" t="s">
        <v>221</v>
      </c>
      <c r="M61" s="41">
        <v>110</v>
      </c>
      <c r="N61" s="41">
        <v>750</v>
      </c>
      <c r="O61" s="42" t="s">
        <v>34</v>
      </c>
      <c r="P61" s="41" t="s">
        <v>537</v>
      </c>
      <c r="Q61" s="34"/>
    </row>
    <row r="62" spans="1:29" x14ac:dyDescent="0.2">
      <c r="A62" s="34" t="s">
        <v>24</v>
      </c>
      <c r="B62" s="41">
        <v>1</v>
      </c>
      <c r="C62" s="42">
        <v>2017</v>
      </c>
      <c r="D62" s="41" t="s">
        <v>64</v>
      </c>
      <c r="E62" s="41" t="s">
        <v>561</v>
      </c>
      <c r="F62" s="34" t="s">
        <v>191</v>
      </c>
      <c r="G62" s="34" t="s">
        <v>28</v>
      </c>
      <c r="H62" s="34" t="s">
        <v>29</v>
      </c>
      <c r="I62" s="34" t="s">
        <v>65</v>
      </c>
      <c r="J62" s="41" t="s">
        <v>562</v>
      </c>
      <c r="L62" s="34" t="s">
        <v>563</v>
      </c>
      <c r="M62" s="41">
        <v>35</v>
      </c>
      <c r="N62" s="41">
        <v>750</v>
      </c>
      <c r="O62" s="42" t="s">
        <v>34</v>
      </c>
      <c r="Q62" s="34"/>
    </row>
    <row r="63" spans="1:29" x14ac:dyDescent="0.2">
      <c r="A63" s="34" t="s">
        <v>24</v>
      </c>
      <c r="B63" s="41">
        <v>1</v>
      </c>
      <c r="C63" s="42">
        <v>2017</v>
      </c>
      <c r="D63" s="41" t="s">
        <v>103</v>
      </c>
      <c r="E63" s="41" t="s">
        <v>564</v>
      </c>
      <c r="F63" s="34" t="s">
        <v>191</v>
      </c>
      <c r="G63" s="34" t="s">
        <v>28</v>
      </c>
      <c r="H63" s="34" t="s">
        <v>29</v>
      </c>
      <c r="I63" s="34" t="s">
        <v>30</v>
      </c>
      <c r="J63" s="34" t="s">
        <v>31</v>
      </c>
      <c r="K63" s="34" t="s">
        <v>268</v>
      </c>
      <c r="M63" s="41">
        <v>59</v>
      </c>
      <c r="N63" s="41">
        <v>750</v>
      </c>
      <c r="O63" s="42" t="s">
        <v>34</v>
      </c>
      <c r="P63" s="41">
        <v>9</v>
      </c>
      <c r="Q63" s="34"/>
    </row>
    <row r="64" spans="1:29" x14ac:dyDescent="0.2">
      <c r="A64" s="34" t="s">
        <v>24</v>
      </c>
      <c r="B64" s="41">
        <v>1</v>
      </c>
      <c r="C64" s="42">
        <v>2017</v>
      </c>
      <c r="D64" s="41" t="s">
        <v>229</v>
      </c>
      <c r="E64" s="43" t="s">
        <v>252</v>
      </c>
      <c r="F64" s="34" t="s">
        <v>139</v>
      </c>
      <c r="G64" s="34" t="s">
        <v>28</v>
      </c>
      <c r="H64" s="34" t="s">
        <v>29</v>
      </c>
      <c r="I64" s="34" t="s">
        <v>30</v>
      </c>
      <c r="J64" s="34" t="s">
        <v>31</v>
      </c>
      <c r="K64" s="41"/>
      <c r="L64" s="41"/>
      <c r="M64" s="41">
        <v>95</v>
      </c>
      <c r="N64" s="41">
        <v>750</v>
      </c>
      <c r="O64" s="42" t="s">
        <v>34</v>
      </c>
      <c r="P64" s="41">
        <v>23</v>
      </c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</row>
    <row r="65" spans="1:29" x14ac:dyDescent="0.2">
      <c r="A65" s="34" t="s">
        <v>24</v>
      </c>
      <c r="B65" s="41">
        <v>2</v>
      </c>
      <c r="C65" s="42">
        <v>2018</v>
      </c>
      <c r="D65" s="41" t="s">
        <v>345</v>
      </c>
      <c r="E65" s="43" t="s">
        <v>346</v>
      </c>
      <c r="F65" s="34" t="s">
        <v>27</v>
      </c>
      <c r="G65" s="34" t="s">
        <v>28</v>
      </c>
      <c r="H65" s="34" t="s">
        <v>29</v>
      </c>
      <c r="I65" s="34" t="s">
        <v>30</v>
      </c>
      <c r="J65" s="34" t="s">
        <v>31</v>
      </c>
      <c r="L65" s="43" t="s">
        <v>346</v>
      </c>
      <c r="M65" s="41">
        <v>125</v>
      </c>
      <c r="N65" s="41">
        <v>750</v>
      </c>
      <c r="O65" s="42" t="s">
        <v>34</v>
      </c>
      <c r="P65" s="41" t="s">
        <v>565</v>
      </c>
      <c r="Q65" s="34"/>
    </row>
    <row r="66" spans="1:29" x14ac:dyDescent="0.2">
      <c r="A66" s="34" t="s">
        <v>24</v>
      </c>
      <c r="B66" s="41">
        <v>1</v>
      </c>
      <c r="C66" s="42">
        <v>2018</v>
      </c>
      <c r="D66" s="41" t="s">
        <v>368</v>
      </c>
      <c r="E66" s="43" t="s">
        <v>369</v>
      </c>
      <c r="F66" s="34" t="s">
        <v>27</v>
      </c>
      <c r="G66" s="34" t="s">
        <v>28</v>
      </c>
      <c r="H66" s="34" t="s">
        <v>29</v>
      </c>
      <c r="I66" s="34" t="s">
        <v>30</v>
      </c>
      <c r="J66" s="34" t="s">
        <v>31</v>
      </c>
      <c r="L66" s="34" t="s">
        <v>370</v>
      </c>
      <c r="M66" s="41">
        <v>75</v>
      </c>
      <c r="N66" s="41">
        <v>750</v>
      </c>
      <c r="O66" s="42" t="s">
        <v>34</v>
      </c>
      <c r="P66" s="41" t="s">
        <v>526</v>
      </c>
      <c r="Q66" s="34"/>
    </row>
    <row r="67" spans="1:29" x14ac:dyDescent="0.2">
      <c r="A67" s="34" t="s">
        <v>24</v>
      </c>
      <c r="B67" s="41">
        <v>2</v>
      </c>
      <c r="C67" s="42">
        <v>2018</v>
      </c>
      <c r="D67" s="41" t="s">
        <v>329</v>
      </c>
      <c r="E67" s="43" t="s">
        <v>332</v>
      </c>
      <c r="F67" s="34" t="s">
        <v>27</v>
      </c>
      <c r="G67" s="34" t="s">
        <v>28</v>
      </c>
      <c r="H67" s="34" t="s">
        <v>29</v>
      </c>
      <c r="I67" s="34" t="s">
        <v>30</v>
      </c>
      <c r="J67" s="34" t="s">
        <v>31</v>
      </c>
      <c r="K67" s="34" t="s">
        <v>333</v>
      </c>
      <c r="L67" s="34" t="s">
        <v>332</v>
      </c>
      <c r="M67" s="41">
        <v>110</v>
      </c>
      <c r="N67" s="41">
        <v>750</v>
      </c>
      <c r="O67" s="42" t="s">
        <v>34</v>
      </c>
      <c r="P67" s="41" t="s">
        <v>560</v>
      </c>
      <c r="Q67" s="34"/>
    </row>
    <row r="68" spans="1:29" x14ac:dyDescent="0.2">
      <c r="A68" s="34" t="s">
        <v>24</v>
      </c>
      <c r="B68" s="41">
        <v>1</v>
      </c>
      <c r="C68" s="42">
        <v>2018</v>
      </c>
      <c r="D68" s="41" t="s">
        <v>329</v>
      </c>
      <c r="E68" s="43" t="s">
        <v>330</v>
      </c>
      <c r="F68" s="34" t="s">
        <v>27</v>
      </c>
      <c r="G68" s="34" t="s">
        <v>28</v>
      </c>
      <c r="H68" s="34" t="s">
        <v>29</v>
      </c>
      <c r="I68" s="34" t="s">
        <v>30</v>
      </c>
      <c r="J68" s="34" t="s">
        <v>31</v>
      </c>
      <c r="K68" s="34" t="s">
        <v>331</v>
      </c>
      <c r="L68" s="34" t="s">
        <v>330</v>
      </c>
      <c r="M68" s="41">
        <v>100</v>
      </c>
      <c r="N68" s="41">
        <v>750</v>
      </c>
      <c r="O68" s="42" t="s">
        <v>34</v>
      </c>
      <c r="P68" s="41" t="s">
        <v>560</v>
      </c>
      <c r="Q68" s="34"/>
    </row>
    <row r="69" spans="1:29" x14ac:dyDescent="0.2">
      <c r="A69" s="34" t="s">
        <v>24</v>
      </c>
      <c r="B69" s="41">
        <v>1</v>
      </c>
      <c r="C69" s="42">
        <v>2018</v>
      </c>
      <c r="D69" s="41" t="s">
        <v>154</v>
      </c>
      <c r="E69" s="43" t="s">
        <v>155</v>
      </c>
      <c r="F69" s="34" t="s">
        <v>156</v>
      </c>
      <c r="G69" s="34" t="s">
        <v>28</v>
      </c>
      <c r="H69" s="34" t="s">
        <v>29</v>
      </c>
      <c r="I69" s="34" t="s">
        <v>30</v>
      </c>
      <c r="J69" s="34" t="s">
        <v>31</v>
      </c>
      <c r="K69" s="34" t="s">
        <v>221</v>
      </c>
      <c r="L69" s="34" t="s">
        <v>157</v>
      </c>
      <c r="M69" s="41">
        <v>100</v>
      </c>
      <c r="N69" s="41">
        <v>750</v>
      </c>
      <c r="O69" s="42" t="s">
        <v>34</v>
      </c>
      <c r="P69" s="41" t="s">
        <v>537</v>
      </c>
      <c r="Q69" s="34"/>
    </row>
    <row r="70" spans="1:29" x14ac:dyDescent="0.2">
      <c r="A70" s="34" t="s">
        <v>24</v>
      </c>
      <c r="B70" s="41">
        <v>1</v>
      </c>
      <c r="C70" s="42">
        <v>2018</v>
      </c>
      <c r="D70" s="41" t="s">
        <v>355</v>
      </c>
      <c r="E70" s="43" t="s">
        <v>356</v>
      </c>
      <c r="F70" s="34" t="s">
        <v>27</v>
      </c>
      <c r="G70" s="34" t="s">
        <v>28</v>
      </c>
      <c r="H70" s="34" t="s">
        <v>29</v>
      </c>
      <c r="I70" s="34" t="s">
        <v>30</v>
      </c>
      <c r="J70" s="34" t="s">
        <v>31</v>
      </c>
      <c r="L70" s="43" t="s">
        <v>356</v>
      </c>
      <c r="M70" s="41">
        <v>210</v>
      </c>
      <c r="N70" s="41">
        <v>750</v>
      </c>
      <c r="O70" s="42" t="s">
        <v>34</v>
      </c>
      <c r="P70" s="41" t="s">
        <v>537</v>
      </c>
      <c r="Q70" s="34"/>
    </row>
    <row r="71" spans="1:29" x14ac:dyDescent="0.2">
      <c r="A71" s="34" t="s">
        <v>24</v>
      </c>
      <c r="B71" s="41">
        <v>4</v>
      </c>
      <c r="C71" s="42">
        <v>2018</v>
      </c>
      <c r="D71" s="41" t="s">
        <v>154</v>
      </c>
      <c r="E71" s="43" t="s">
        <v>327</v>
      </c>
      <c r="F71" s="34" t="s">
        <v>27</v>
      </c>
      <c r="G71" s="34" t="s">
        <v>28</v>
      </c>
      <c r="H71" s="34" t="s">
        <v>29</v>
      </c>
      <c r="I71" s="34" t="s">
        <v>30</v>
      </c>
      <c r="J71" s="34" t="s">
        <v>31</v>
      </c>
      <c r="K71" s="34" t="s">
        <v>186</v>
      </c>
      <c r="M71" s="41">
        <v>100</v>
      </c>
      <c r="N71" s="41">
        <v>750</v>
      </c>
      <c r="O71" s="42" t="s">
        <v>34</v>
      </c>
      <c r="P71" s="41" t="s">
        <v>441</v>
      </c>
      <c r="Q71" s="34"/>
    </row>
    <row r="72" spans="1:29" x14ac:dyDescent="0.2">
      <c r="A72" s="34" t="s">
        <v>24</v>
      </c>
      <c r="B72" s="41">
        <v>1</v>
      </c>
      <c r="C72" s="42">
        <v>2018</v>
      </c>
      <c r="D72" s="41" t="s">
        <v>329</v>
      </c>
      <c r="E72" s="43" t="s">
        <v>330</v>
      </c>
      <c r="F72" s="34" t="s">
        <v>27</v>
      </c>
      <c r="G72" s="34" t="s">
        <v>28</v>
      </c>
      <c r="H72" s="34" t="s">
        <v>29</v>
      </c>
      <c r="I72" s="34" t="s">
        <v>30</v>
      </c>
      <c r="J72" s="34" t="s">
        <v>31</v>
      </c>
      <c r="K72" s="34" t="s">
        <v>331</v>
      </c>
      <c r="L72" s="34" t="s">
        <v>330</v>
      </c>
      <c r="M72" s="41">
        <v>100</v>
      </c>
      <c r="N72" s="41">
        <v>750</v>
      </c>
      <c r="O72" s="42" t="s">
        <v>34</v>
      </c>
      <c r="P72" s="41" t="s">
        <v>441</v>
      </c>
      <c r="Q72" s="34"/>
    </row>
    <row r="73" spans="1:29" x14ac:dyDescent="0.2">
      <c r="A73" s="34" t="s">
        <v>24</v>
      </c>
      <c r="B73" s="41">
        <v>1</v>
      </c>
      <c r="C73" s="42">
        <v>2018</v>
      </c>
      <c r="D73" s="43" t="s">
        <v>352</v>
      </c>
      <c r="E73" s="34" t="s">
        <v>353</v>
      </c>
      <c r="F73" s="34" t="s">
        <v>74</v>
      </c>
      <c r="G73" s="34" t="s">
        <v>41</v>
      </c>
      <c r="H73" s="34" t="s">
        <v>75</v>
      </c>
      <c r="I73" s="34" t="s">
        <v>76</v>
      </c>
      <c r="J73" s="34" t="s">
        <v>354</v>
      </c>
      <c r="M73" s="41">
        <v>110</v>
      </c>
      <c r="N73" s="41">
        <v>750</v>
      </c>
      <c r="O73" s="42" t="s">
        <v>34</v>
      </c>
      <c r="P73" s="41" t="s">
        <v>526</v>
      </c>
      <c r="Q73" s="34"/>
    </row>
    <row r="74" spans="1:29" x14ac:dyDescent="0.2">
      <c r="A74" s="34" t="s">
        <v>24</v>
      </c>
      <c r="B74" s="41">
        <v>2</v>
      </c>
      <c r="C74" s="42">
        <v>2018</v>
      </c>
      <c r="D74" s="41" t="s">
        <v>254</v>
      </c>
      <c r="E74" s="43" t="s">
        <v>374</v>
      </c>
      <c r="F74" s="34" t="s">
        <v>139</v>
      </c>
      <c r="G74" s="34" t="s">
        <v>28</v>
      </c>
      <c r="H74" s="34" t="s">
        <v>58</v>
      </c>
      <c r="M74" s="41">
        <v>57</v>
      </c>
      <c r="N74" s="41">
        <v>750</v>
      </c>
      <c r="O74" s="42" t="s">
        <v>34</v>
      </c>
      <c r="P74" s="41" t="s">
        <v>566</v>
      </c>
      <c r="Q74" s="34"/>
    </row>
    <row r="75" spans="1:29" x14ac:dyDescent="0.2">
      <c r="A75" s="34" t="s">
        <v>24</v>
      </c>
      <c r="B75" s="41">
        <v>3</v>
      </c>
      <c r="C75" s="42">
        <v>2019</v>
      </c>
      <c r="D75" s="41" t="s">
        <v>313</v>
      </c>
      <c r="E75" s="43" t="s">
        <v>530</v>
      </c>
      <c r="F75" s="34" t="s">
        <v>27</v>
      </c>
      <c r="G75" s="34" t="s">
        <v>28</v>
      </c>
      <c r="H75" s="34" t="s">
        <v>29</v>
      </c>
      <c r="I75" s="34" t="s">
        <v>30</v>
      </c>
      <c r="J75" s="34" t="s">
        <v>31</v>
      </c>
      <c r="K75" s="34" t="s">
        <v>32</v>
      </c>
      <c r="L75" s="34" t="s">
        <v>567</v>
      </c>
      <c r="M75" s="41">
        <v>250</v>
      </c>
      <c r="N75" s="41">
        <v>750</v>
      </c>
      <c r="O75" s="42" t="s">
        <v>34</v>
      </c>
      <c r="P75" s="41" t="s">
        <v>441</v>
      </c>
      <c r="Q75" s="34"/>
    </row>
    <row r="76" spans="1:29" x14ac:dyDescent="0.2">
      <c r="A76" s="34" t="s">
        <v>24</v>
      </c>
      <c r="B76" s="41">
        <v>5</v>
      </c>
      <c r="C76" s="42">
        <v>2019</v>
      </c>
      <c r="D76" s="41" t="s">
        <v>386</v>
      </c>
      <c r="E76" s="43" t="s">
        <v>387</v>
      </c>
      <c r="F76" s="34" t="s">
        <v>191</v>
      </c>
      <c r="G76" s="34" t="s">
        <v>28</v>
      </c>
      <c r="H76" s="34" t="s">
        <v>29</v>
      </c>
      <c r="I76" s="34" t="s">
        <v>30</v>
      </c>
      <c r="J76" s="34" t="s">
        <v>130</v>
      </c>
      <c r="M76" s="41">
        <v>60</v>
      </c>
      <c r="N76" s="41">
        <v>750</v>
      </c>
      <c r="O76" s="42" t="s">
        <v>34</v>
      </c>
      <c r="P76" s="41" t="s">
        <v>568</v>
      </c>
      <c r="Q76" s="34"/>
    </row>
    <row r="77" spans="1:29" x14ac:dyDescent="0.2">
      <c r="A77" s="34" t="s">
        <v>44</v>
      </c>
      <c r="B77" s="41">
        <v>1</v>
      </c>
      <c r="C77" s="42" t="s">
        <v>75</v>
      </c>
      <c r="D77" s="41" t="s">
        <v>103</v>
      </c>
      <c r="E77" s="43" t="s">
        <v>569</v>
      </c>
      <c r="F77" s="34" t="s">
        <v>27</v>
      </c>
      <c r="G77" s="34" t="s">
        <v>28</v>
      </c>
      <c r="H77" s="34" t="s">
        <v>29</v>
      </c>
      <c r="I77" s="34" t="s">
        <v>30</v>
      </c>
      <c r="J77" s="41"/>
      <c r="K77" s="41"/>
      <c r="L77" s="41"/>
      <c r="M77" s="41">
        <v>90</v>
      </c>
      <c r="N77" s="41">
        <v>1500</v>
      </c>
      <c r="O77" s="42" t="s">
        <v>34</v>
      </c>
      <c r="P77" s="41" t="s">
        <v>523</v>
      </c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spans="1:29" x14ac:dyDescent="0.2">
      <c r="A78" s="34" t="s">
        <v>44</v>
      </c>
      <c r="B78" s="41">
        <v>1</v>
      </c>
      <c r="C78" s="42" t="s">
        <v>75</v>
      </c>
      <c r="D78" s="41" t="s">
        <v>557</v>
      </c>
      <c r="E78" s="43" t="s">
        <v>570</v>
      </c>
      <c r="F78" s="34" t="s">
        <v>40</v>
      </c>
      <c r="G78" s="34" t="s">
        <v>28</v>
      </c>
      <c r="H78" s="34" t="s">
        <v>29</v>
      </c>
      <c r="I78" s="34" t="s">
        <v>30</v>
      </c>
      <c r="J78" s="41"/>
      <c r="K78" s="41"/>
      <c r="L78" s="41"/>
      <c r="M78" s="41">
        <v>120</v>
      </c>
      <c r="N78" s="41">
        <v>750</v>
      </c>
      <c r="O78" s="42" t="s">
        <v>34</v>
      </c>
      <c r="P78" s="41" t="s">
        <v>529</v>
      </c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spans="1:29" x14ac:dyDescent="0.2">
      <c r="A79" s="34" t="s">
        <v>24</v>
      </c>
      <c r="B79" s="41">
        <v>1</v>
      </c>
      <c r="C79" s="42"/>
      <c r="D79" s="41" t="s">
        <v>229</v>
      </c>
      <c r="E79" s="43" t="s">
        <v>571</v>
      </c>
      <c r="F79" s="34" t="s">
        <v>40</v>
      </c>
      <c r="G79" s="34" t="s">
        <v>28</v>
      </c>
      <c r="H79" s="34" t="s">
        <v>29</v>
      </c>
      <c r="I79" s="34" t="s">
        <v>30</v>
      </c>
      <c r="J79" s="41" t="s">
        <v>31</v>
      </c>
      <c r="M79" s="41">
        <v>70</v>
      </c>
      <c r="N79" s="41">
        <v>750</v>
      </c>
      <c r="O79" s="42" t="s">
        <v>34</v>
      </c>
      <c r="P79" s="41">
        <v>8</v>
      </c>
      <c r="Q79" s="34"/>
    </row>
    <row r="80" spans="1:29" x14ac:dyDescent="0.2">
      <c r="A80" s="34" t="s">
        <v>24</v>
      </c>
      <c r="B80" s="41">
        <v>1</v>
      </c>
      <c r="C80" s="42">
        <v>1995</v>
      </c>
      <c r="D80" s="41" t="s">
        <v>25</v>
      </c>
      <c r="E80" s="43" t="s">
        <v>114</v>
      </c>
      <c r="F80" s="34" t="s">
        <v>27</v>
      </c>
      <c r="G80" s="34" t="s">
        <v>28</v>
      </c>
      <c r="H80" s="34" t="s">
        <v>29</v>
      </c>
      <c r="I80" s="34" t="s">
        <v>30</v>
      </c>
      <c r="J80" s="34" t="s">
        <v>31</v>
      </c>
      <c r="K80" s="34" t="s">
        <v>32</v>
      </c>
      <c r="L80" s="34" t="s">
        <v>115</v>
      </c>
      <c r="M80" s="41">
        <v>120</v>
      </c>
      <c r="N80" s="41">
        <v>750</v>
      </c>
      <c r="O80" s="42" t="s">
        <v>47</v>
      </c>
      <c r="P80" s="41" t="s">
        <v>526</v>
      </c>
      <c r="Q80" s="34"/>
    </row>
    <row r="81" spans="1:17" x14ac:dyDescent="0.2">
      <c r="A81" s="34" t="s">
        <v>24</v>
      </c>
      <c r="B81" s="41">
        <v>1</v>
      </c>
      <c r="C81" s="42">
        <v>2006</v>
      </c>
      <c r="D81" s="41" t="s">
        <v>471</v>
      </c>
      <c r="E81" s="43" t="s">
        <v>144</v>
      </c>
      <c r="F81" s="34" t="s">
        <v>74</v>
      </c>
      <c r="G81" s="34" t="s">
        <v>41</v>
      </c>
      <c r="H81" s="34" t="s">
        <v>75</v>
      </c>
      <c r="I81" s="34" t="s">
        <v>76</v>
      </c>
      <c r="J81" s="34" t="s">
        <v>224</v>
      </c>
      <c r="M81" s="41">
        <v>150</v>
      </c>
      <c r="N81" s="41">
        <v>750</v>
      </c>
      <c r="O81" s="42" t="s">
        <v>47</v>
      </c>
      <c r="P81" s="41" t="s">
        <v>526</v>
      </c>
      <c r="Q81" s="34"/>
    </row>
    <row r="82" spans="1:17" x14ac:dyDescent="0.2">
      <c r="A82" s="34" t="s">
        <v>24</v>
      </c>
      <c r="B82" s="41">
        <v>0</v>
      </c>
      <c r="C82" s="42">
        <v>2007</v>
      </c>
      <c r="D82" s="41" t="s">
        <v>572</v>
      </c>
      <c r="E82" s="43" t="s">
        <v>573</v>
      </c>
      <c r="F82" s="34" t="s">
        <v>27</v>
      </c>
      <c r="G82" s="34" t="s">
        <v>28</v>
      </c>
      <c r="H82" s="34" t="s">
        <v>58</v>
      </c>
      <c r="I82" s="34" t="s">
        <v>59</v>
      </c>
      <c r="J82" s="34" t="s">
        <v>256</v>
      </c>
      <c r="K82" s="34" t="s">
        <v>60</v>
      </c>
      <c r="L82" s="34" t="s">
        <v>573</v>
      </c>
      <c r="M82" s="41">
        <v>120</v>
      </c>
      <c r="N82" s="41">
        <v>750</v>
      </c>
      <c r="O82" s="42" t="s">
        <v>47</v>
      </c>
      <c r="P82" s="41" t="s">
        <v>110</v>
      </c>
      <c r="Q82" s="34" t="s">
        <v>574</v>
      </c>
    </row>
    <row r="83" spans="1:17" x14ac:dyDescent="0.2">
      <c r="A83" s="34" t="s">
        <v>24</v>
      </c>
      <c r="B83" s="44">
        <v>0</v>
      </c>
      <c r="C83" s="42">
        <v>2008</v>
      </c>
      <c r="D83" s="41" t="s">
        <v>575</v>
      </c>
      <c r="E83" s="43" t="s">
        <v>119</v>
      </c>
      <c r="F83" s="34" t="s">
        <v>89</v>
      </c>
      <c r="G83" s="34" t="s">
        <v>82</v>
      </c>
      <c r="H83" s="34" t="s">
        <v>90</v>
      </c>
      <c r="I83" s="34" t="s">
        <v>92</v>
      </c>
      <c r="J83" s="34" t="s">
        <v>91</v>
      </c>
      <c r="L83" s="34" t="s">
        <v>93</v>
      </c>
      <c r="M83" s="41">
        <v>40</v>
      </c>
      <c r="N83" s="41">
        <v>750</v>
      </c>
      <c r="O83" s="42" t="s">
        <v>47</v>
      </c>
      <c r="P83" s="41" t="s">
        <v>549</v>
      </c>
      <c r="Q83" s="34" t="s">
        <v>576</v>
      </c>
    </row>
    <row r="84" spans="1:17" x14ac:dyDescent="0.2">
      <c r="A84" s="34" t="s">
        <v>24</v>
      </c>
      <c r="B84" s="41">
        <v>1</v>
      </c>
      <c r="C84" s="42">
        <v>2012</v>
      </c>
      <c r="D84" s="41" t="s">
        <v>127</v>
      </c>
      <c r="E84" s="43" t="s">
        <v>285</v>
      </c>
      <c r="F84" s="34" t="s">
        <v>129</v>
      </c>
      <c r="G84" s="34" t="s">
        <v>28</v>
      </c>
      <c r="H84" s="34" t="s">
        <v>29</v>
      </c>
      <c r="I84" s="34" t="s">
        <v>212</v>
      </c>
      <c r="J84" s="34" t="s">
        <v>248</v>
      </c>
      <c r="L84" s="34" t="s">
        <v>286</v>
      </c>
      <c r="M84" s="41">
        <v>40</v>
      </c>
      <c r="N84" s="41">
        <v>750</v>
      </c>
      <c r="O84" s="42" t="s">
        <v>47</v>
      </c>
      <c r="P84" s="41" t="s">
        <v>151</v>
      </c>
      <c r="Q84" s="34"/>
    </row>
    <row r="85" spans="1:17" x14ac:dyDescent="0.2">
      <c r="A85" s="34" t="s">
        <v>44</v>
      </c>
      <c r="B85" s="41">
        <v>0</v>
      </c>
      <c r="C85" s="42">
        <v>2012</v>
      </c>
      <c r="D85" s="41" t="s">
        <v>103</v>
      </c>
      <c r="E85" s="43" t="s">
        <v>577</v>
      </c>
      <c r="F85" s="34" t="s">
        <v>40</v>
      </c>
      <c r="G85" s="34" t="s">
        <v>28</v>
      </c>
      <c r="H85" s="34" t="s">
        <v>29</v>
      </c>
      <c r="I85" s="34" t="s">
        <v>30</v>
      </c>
      <c r="M85" s="41">
        <v>60</v>
      </c>
      <c r="N85" s="41">
        <v>750</v>
      </c>
      <c r="O85" s="42" t="s">
        <v>47</v>
      </c>
      <c r="P85" s="41">
        <v>5</v>
      </c>
      <c r="Q85" s="34"/>
    </row>
    <row r="86" spans="1:17" x14ac:dyDescent="0.2">
      <c r="A86" s="34" t="s">
        <v>44</v>
      </c>
      <c r="B86" s="41">
        <v>1</v>
      </c>
      <c r="C86" s="42">
        <v>2013</v>
      </c>
      <c r="D86" s="41" t="s">
        <v>103</v>
      </c>
      <c r="E86" s="43" t="s">
        <v>538</v>
      </c>
      <c r="F86" s="34" t="s">
        <v>40</v>
      </c>
      <c r="G86" s="34" t="s">
        <v>28</v>
      </c>
      <c r="H86" s="34" t="s">
        <v>29</v>
      </c>
      <c r="I86" s="34" t="s">
        <v>30</v>
      </c>
      <c r="M86" s="41">
        <v>45</v>
      </c>
      <c r="N86" s="41">
        <v>750</v>
      </c>
      <c r="O86" s="42" t="s">
        <v>47</v>
      </c>
      <c r="P86" s="41">
        <v>5</v>
      </c>
      <c r="Q86" s="34"/>
    </row>
    <row r="87" spans="1:17" x14ac:dyDescent="0.2">
      <c r="A87" s="34" t="s">
        <v>24</v>
      </c>
      <c r="B87" s="44">
        <v>2</v>
      </c>
      <c r="C87" s="45">
        <v>2014</v>
      </c>
      <c r="D87" s="46" t="s">
        <v>163</v>
      </c>
      <c r="E87" s="46" t="s">
        <v>164</v>
      </c>
      <c r="F87" s="34" t="s">
        <v>74</v>
      </c>
      <c r="G87" s="34" t="s">
        <v>28</v>
      </c>
      <c r="H87" s="34" t="s">
        <v>58</v>
      </c>
      <c r="I87" s="34" t="s">
        <v>59</v>
      </c>
      <c r="J87" s="34" t="s">
        <v>165</v>
      </c>
      <c r="K87" s="34" t="s">
        <v>165</v>
      </c>
      <c r="L87" s="34" t="s">
        <v>166</v>
      </c>
      <c r="M87" s="44">
        <v>110</v>
      </c>
      <c r="N87" s="41">
        <v>750</v>
      </c>
      <c r="O87" s="42" t="s">
        <v>47</v>
      </c>
      <c r="P87" s="46" t="s">
        <v>523</v>
      </c>
      <c r="Q87" s="34"/>
    </row>
    <row r="88" spans="1:17" x14ac:dyDescent="0.2">
      <c r="A88" s="34" t="s">
        <v>44</v>
      </c>
      <c r="B88" s="41">
        <v>2</v>
      </c>
      <c r="C88" s="42">
        <v>2014</v>
      </c>
      <c r="D88" s="41" t="s">
        <v>103</v>
      </c>
      <c r="E88" s="43" t="s">
        <v>578</v>
      </c>
      <c r="F88" s="34" t="s">
        <v>40</v>
      </c>
      <c r="G88" s="34" t="s">
        <v>28</v>
      </c>
      <c r="H88" s="34" t="s">
        <v>29</v>
      </c>
      <c r="I88" s="34" t="s">
        <v>30</v>
      </c>
      <c r="J88" s="41" t="s">
        <v>31</v>
      </c>
      <c r="K88" s="34" t="s">
        <v>75</v>
      </c>
      <c r="M88" s="41">
        <v>42</v>
      </c>
      <c r="N88" s="41">
        <v>750</v>
      </c>
      <c r="O88" s="42" t="s">
        <v>47</v>
      </c>
      <c r="P88" s="41">
        <v>4</v>
      </c>
      <c r="Q88" s="34"/>
    </row>
    <row r="89" spans="1:17" x14ac:dyDescent="0.2">
      <c r="A89" s="34" t="s">
        <v>44</v>
      </c>
      <c r="B89" s="41">
        <v>1</v>
      </c>
      <c r="C89" s="42">
        <v>2014</v>
      </c>
      <c r="D89" s="41" t="s">
        <v>103</v>
      </c>
      <c r="E89" s="43" t="s">
        <v>538</v>
      </c>
      <c r="F89" s="34" t="s">
        <v>40</v>
      </c>
      <c r="G89" s="34" t="s">
        <v>28</v>
      </c>
      <c r="H89" s="34" t="s">
        <v>29</v>
      </c>
      <c r="I89" s="34" t="s">
        <v>30</v>
      </c>
      <c r="J89" s="41" t="s">
        <v>31</v>
      </c>
      <c r="K89" s="34" t="s">
        <v>75</v>
      </c>
      <c r="M89" s="41">
        <v>45</v>
      </c>
      <c r="N89" s="41">
        <v>750</v>
      </c>
      <c r="O89" s="42" t="s">
        <v>47</v>
      </c>
      <c r="P89" s="41">
        <v>4</v>
      </c>
      <c r="Q89" s="34"/>
    </row>
    <row r="90" spans="1:17" x14ac:dyDescent="0.2">
      <c r="A90" s="34" t="s">
        <v>24</v>
      </c>
      <c r="B90" s="41">
        <v>0</v>
      </c>
      <c r="C90" s="42">
        <v>2014</v>
      </c>
      <c r="D90" s="41" t="s">
        <v>579</v>
      </c>
      <c r="E90" s="43" t="s">
        <v>580</v>
      </c>
      <c r="F90" s="34" t="s">
        <v>145</v>
      </c>
      <c r="G90" s="34" t="s">
        <v>41</v>
      </c>
      <c r="H90" s="34" t="s">
        <v>75</v>
      </c>
      <c r="I90" s="34" t="s">
        <v>76</v>
      </c>
      <c r="J90" s="34" t="s">
        <v>147</v>
      </c>
      <c r="M90" s="41">
        <v>75</v>
      </c>
      <c r="N90" s="41">
        <v>750</v>
      </c>
      <c r="O90" s="42" t="s">
        <v>47</v>
      </c>
      <c r="P90" s="41" t="s">
        <v>110</v>
      </c>
      <c r="Q90" s="34" t="s">
        <v>581</v>
      </c>
    </row>
    <row r="91" spans="1:17" x14ac:dyDescent="0.2">
      <c r="A91" s="34" t="s">
        <v>24</v>
      </c>
      <c r="B91" s="41">
        <v>1</v>
      </c>
      <c r="C91" s="42">
        <v>2016</v>
      </c>
      <c r="D91" s="41" t="s">
        <v>99</v>
      </c>
      <c r="E91" s="43" t="s">
        <v>582</v>
      </c>
      <c r="F91" s="34" t="s">
        <v>156</v>
      </c>
      <c r="G91" s="34" t="s">
        <v>28</v>
      </c>
      <c r="H91" s="34" t="s">
        <v>29</v>
      </c>
      <c r="I91" s="34" t="s">
        <v>30</v>
      </c>
      <c r="J91" s="41" t="s">
        <v>31</v>
      </c>
      <c r="K91" s="34" t="s">
        <v>75</v>
      </c>
      <c r="M91" s="41">
        <v>75</v>
      </c>
      <c r="N91" s="41">
        <v>750</v>
      </c>
      <c r="O91" s="42" t="s">
        <v>47</v>
      </c>
      <c r="P91" s="34">
        <v>1</v>
      </c>
      <c r="Q91" s="34"/>
    </row>
    <row r="92" spans="1:17" x14ac:dyDescent="0.2">
      <c r="A92" s="34" t="s">
        <v>24</v>
      </c>
      <c r="B92" s="41">
        <v>1</v>
      </c>
      <c r="C92" s="42">
        <v>2016</v>
      </c>
      <c r="D92" s="41" t="s">
        <v>197</v>
      </c>
      <c r="E92" s="43" t="s">
        <v>583</v>
      </c>
      <c r="F92" s="34" t="s">
        <v>129</v>
      </c>
      <c r="G92" s="34" t="s">
        <v>28</v>
      </c>
      <c r="H92" s="34" t="s">
        <v>29</v>
      </c>
      <c r="I92" s="34" t="s">
        <v>30</v>
      </c>
      <c r="J92" s="41" t="s">
        <v>31</v>
      </c>
      <c r="K92" s="34" t="s">
        <v>75</v>
      </c>
      <c r="M92" s="41">
        <v>45</v>
      </c>
      <c r="N92" s="41">
        <v>750</v>
      </c>
      <c r="O92" s="42" t="s">
        <v>47</v>
      </c>
      <c r="P92" s="41">
        <v>3</v>
      </c>
      <c r="Q92" s="34"/>
    </row>
    <row r="93" spans="1:17" x14ac:dyDescent="0.2">
      <c r="A93" s="34" t="s">
        <v>24</v>
      </c>
      <c r="B93" s="41">
        <v>1</v>
      </c>
      <c r="C93" s="42">
        <v>2016</v>
      </c>
      <c r="D93" s="41" t="s">
        <v>205</v>
      </c>
      <c r="E93" s="43" t="s">
        <v>280</v>
      </c>
      <c r="F93" s="34" t="s">
        <v>156</v>
      </c>
      <c r="G93" s="34" t="s">
        <v>28</v>
      </c>
      <c r="H93" s="34" t="s">
        <v>29</v>
      </c>
      <c r="I93" s="34" t="s">
        <v>30</v>
      </c>
      <c r="J93" s="41" t="s">
        <v>31</v>
      </c>
      <c r="K93" s="34" t="s">
        <v>281</v>
      </c>
      <c r="M93" s="41">
        <v>50</v>
      </c>
      <c r="N93" s="41">
        <v>750</v>
      </c>
      <c r="O93" s="42" t="s">
        <v>47</v>
      </c>
      <c r="P93" s="41">
        <v>3</v>
      </c>
      <c r="Q93" s="34"/>
    </row>
    <row r="94" spans="1:17" x14ac:dyDescent="0.2">
      <c r="A94" s="34" t="s">
        <v>24</v>
      </c>
      <c r="B94" s="41">
        <v>3</v>
      </c>
      <c r="C94" s="42">
        <v>2016</v>
      </c>
      <c r="D94" s="41" t="s">
        <v>197</v>
      </c>
      <c r="E94" s="41" t="s">
        <v>235</v>
      </c>
      <c r="F94" s="34" t="s">
        <v>235</v>
      </c>
      <c r="G94" s="34" t="s">
        <v>28</v>
      </c>
      <c r="H94" s="34" t="s">
        <v>29</v>
      </c>
      <c r="I94" s="34" t="s">
        <v>30</v>
      </c>
      <c r="J94" s="34" t="s">
        <v>31</v>
      </c>
      <c r="M94" s="41">
        <v>48</v>
      </c>
      <c r="N94" s="41">
        <v>750</v>
      </c>
      <c r="O94" s="42" t="s">
        <v>47</v>
      </c>
      <c r="Q94" s="34"/>
    </row>
    <row r="95" spans="1:17" x14ac:dyDescent="0.2">
      <c r="A95" s="34" t="s">
        <v>24</v>
      </c>
      <c r="B95" s="41">
        <v>1</v>
      </c>
      <c r="C95" s="42">
        <v>2016</v>
      </c>
      <c r="D95" s="41" t="s">
        <v>170</v>
      </c>
      <c r="E95" s="41" t="s">
        <v>584</v>
      </c>
      <c r="F95" s="34" t="s">
        <v>585</v>
      </c>
      <c r="G95" s="34" t="s">
        <v>28</v>
      </c>
      <c r="H95" s="34" t="s">
        <v>29</v>
      </c>
      <c r="I95" s="34" t="s">
        <v>30</v>
      </c>
      <c r="J95" s="34" t="s">
        <v>31</v>
      </c>
      <c r="M95" s="41">
        <v>65</v>
      </c>
      <c r="N95" s="41">
        <v>750</v>
      </c>
      <c r="O95" s="42" t="s">
        <v>47</v>
      </c>
      <c r="Q95" s="34"/>
    </row>
    <row r="96" spans="1:17" x14ac:dyDescent="0.2">
      <c r="A96" s="34" t="s">
        <v>24</v>
      </c>
      <c r="B96" s="41">
        <v>1</v>
      </c>
      <c r="C96" s="42">
        <v>2016</v>
      </c>
      <c r="D96" s="41" t="s">
        <v>205</v>
      </c>
      <c r="E96" s="41" t="s">
        <v>415</v>
      </c>
      <c r="F96" s="34" t="s">
        <v>40</v>
      </c>
      <c r="G96" s="34" t="s">
        <v>28</v>
      </c>
      <c r="H96" s="34" t="s">
        <v>29</v>
      </c>
      <c r="I96" s="34" t="s">
        <v>30</v>
      </c>
      <c r="J96" s="34" t="s">
        <v>31</v>
      </c>
      <c r="M96" s="41">
        <v>25</v>
      </c>
      <c r="N96" s="41">
        <v>750</v>
      </c>
      <c r="O96" s="42" t="s">
        <v>47</v>
      </c>
      <c r="P96" s="41"/>
      <c r="Q96" s="34"/>
    </row>
    <row r="97" spans="1:29" x14ac:dyDescent="0.2">
      <c r="A97" s="34" t="s">
        <v>24</v>
      </c>
      <c r="B97" s="41">
        <v>1</v>
      </c>
      <c r="C97" s="42">
        <v>2016</v>
      </c>
      <c r="D97" s="41" t="s">
        <v>205</v>
      </c>
      <c r="E97" s="41" t="s">
        <v>206</v>
      </c>
      <c r="F97" s="34" t="s">
        <v>40</v>
      </c>
      <c r="G97" s="34" t="s">
        <v>28</v>
      </c>
      <c r="H97" s="34" t="s">
        <v>29</v>
      </c>
      <c r="I97" s="34" t="s">
        <v>30</v>
      </c>
      <c r="J97" s="34" t="s">
        <v>31</v>
      </c>
      <c r="M97" s="41">
        <v>30</v>
      </c>
      <c r="N97" s="41">
        <v>750</v>
      </c>
      <c r="O97" s="42" t="s">
        <v>47</v>
      </c>
      <c r="P97" s="41"/>
      <c r="Q97" s="34"/>
    </row>
    <row r="98" spans="1:29" x14ac:dyDescent="0.2">
      <c r="A98" s="34" t="s">
        <v>24</v>
      </c>
      <c r="B98" s="41">
        <v>1</v>
      </c>
      <c r="C98" s="42">
        <v>2016</v>
      </c>
      <c r="D98" s="41" t="s">
        <v>56</v>
      </c>
      <c r="E98" s="43" t="s">
        <v>586</v>
      </c>
      <c r="F98" s="34" t="s">
        <v>191</v>
      </c>
      <c r="G98" s="34" t="s">
        <v>28</v>
      </c>
      <c r="H98" s="34" t="s">
        <v>237</v>
      </c>
      <c r="J98" s="34" t="s">
        <v>238</v>
      </c>
      <c r="L98" s="34" t="s">
        <v>239</v>
      </c>
      <c r="M98" s="41">
        <v>33</v>
      </c>
      <c r="N98" s="41">
        <v>750</v>
      </c>
      <c r="O98" s="42" t="s">
        <v>47</v>
      </c>
      <c r="P98" s="41">
        <v>26</v>
      </c>
      <c r="Q98" s="34"/>
    </row>
    <row r="99" spans="1:29" x14ac:dyDescent="0.2">
      <c r="A99" s="34" t="s">
        <v>44</v>
      </c>
      <c r="B99" s="41">
        <v>1</v>
      </c>
      <c r="C99" s="42">
        <v>2016</v>
      </c>
      <c r="D99" s="41" t="s">
        <v>189</v>
      </c>
      <c r="E99" s="43" t="s">
        <v>250</v>
      </c>
      <c r="F99" s="34" t="s">
        <v>40</v>
      </c>
      <c r="G99" s="34" t="s">
        <v>28</v>
      </c>
      <c r="H99" s="34" t="s">
        <v>29</v>
      </c>
      <c r="I99" s="34" t="s">
        <v>30</v>
      </c>
      <c r="M99" s="41">
        <v>65</v>
      </c>
      <c r="N99" s="41">
        <v>750</v>
      </c>
      <c r="O99" s="42" t="s">
        <v>47</v>
      </c>
      <c r="P99" s="41">
        <v>6</v>
      </c>
      <c r="Q99" s="34"/>
    </row>
    <row r="100" spans="1:29" x14ac:dyDescent="0.2">
      <c r="A100" s="34" t="s">
        <v>24</v>
      </c>
      <c r="B100" s="41">
        <v>2</v>
      </c>
      <c r="C100" s="42">
        <v>2016</v>
      </c>
      <c r="D100" s="41" t="s">
        <v>103</v>
      </c>
      <c r="E100" s="43" t="s">
        <v>267</v>
      </c>
      <c r="F100" s="34" t="s">
        <v>191</v>
      </c>
      <c r="G100" s="34" t="s">
        <v>28</v>
      </c>
      <c r="H100" s="34" t="s">
        <v>29</v>
      </c>
      <c r="I100" s="34" t="s">
        <v>30</v>
      </c>
      <c r="M100" s="41">
        <v>60</v>
      </c>
      <c r="N100" s="41">
        <v>750</v>
      </c>
      <c r="O100" s="42" t="s">
        <v>47</v>
      </c>
      <c r="P100" s="41">
        <v>9</v>
      </c>
      <c r="Q100" s="34"/>
    </row>
    <row r="101" spans="1:29" x14ac:dyDescent="0.2">
      <c r="A101" s="34" t="s">
        <v>24</v>
      </c>
      <c r="B101" s="41">
        <v>2</v>
      </c>
      <c r="C101" s="42">
        <v>2016</v>
      </c>
      <c r="D101" s="41" t="s">
        <v>64</v>
      </c>
      <c r="E101" s="43" t="s">
        <v>587</v>
      </c>
      <c r="F101" s="34" t="s">
        <v>27</v>
      </c>
      <c r="G101" s="34" t="s">
        <v>28</v>
      </c>
      <c r="H101" s="34" t="s">
        <v>29</v>
      </c>
      <c r="I101" s="34" t="s">
        <v>30</v>
      </c>
      <c r="J101" s="41"/>
      <c r="K101" s="41"/>
      <c r="L101" s="41"/>
      <c r="M101" s="41">
        <v>60</v>
      </c>
      <c r="N101" s="41"/>
      <c r="O101" s="42" t="s">
        <v>47</v>
      </c>
      <c r="P101" s="41">
        <v>23</v>
      </c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:29" x14ac:dyDescent="0.2">
      <c r="A102" s="34" t="s">
        <v>24</v>
      </c>
      <c r="B102" s="44">
        <v>1</v>
      </c>
      <c r="C102" s="45">
        <v>2017</v>
      </c>
      <c r="D102" s="46" t="s">
        <v>368</v>
      </c>
      <c r="E102" s="46" t="s">
        <v>369</v>
      </c>
      <c r="F102" s="34" t="s">
        <v>27</v>
      </c>
      <c r="G102" s="34" t="s">
        <v>28</v>
      </c>
      <c r="H102" s="34" t="s">
        <v>29</v>
      </c>
      <c r="I102" s="34" t="s">
        <v>30</v>
      </c>
      <c r="J102" s="34" t="s">
        <v>31</v>
      </c>
      <c r="L102" s="34" t="s">
        <v>370</v>
      </c>
      <c r="M102" s="44">
        <v>60</v>
      </c>
      <c r="N102" s="41">
        <v>750</v>
      </c>
      <c r="O102" s="42" t="s">
        <v>47</v>
      </c>
      <c r="P102" s="46" t="s">
        <v>549</v>
      </c>
      <c r="Q102" s="34"/>
    </row>
    <row r="103" spans="1:29" x14ac:dyDescent="0.2">
      <c r="A103" s="34" t="s">
        <v>24</v>
      </c>
      <c r="B103" s="41">
        <v>3</v>
      </c>
      <c r="C103" s="42">
        <v>2017</v>
      </c>
      <c r="D103" s="41" t="s">
        <v>588</v>
      </c>
      <c r="E103" s="43" t="s">
        <v>589</v>
      </c>
      <c r="F103" s="34" t="s">
        <v>191</v>
      </c>
      <c r="G103" s="34" t="s">
        <v>28</v>
      </c>
      <c r="H103" s="34" t="s">
        <v>29</v>
      </c>
      <c r="I103" s="34" t="s">
        <v>30</v>
      </c>
      <c r="J103" s="41"/>
      <c r="K103" s="41"/>
      <c r="L103" s="41"/>
      <c r="M103" s="41">
        <v>55</v>
      </c>
      <c r="N103" s="41"/>
      <c r="O103" s="42" t="s">
        <v>47</v>
      </c>
      <c r="P103" s="41">
        <v>23</v>
      </c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:29" x14ac:dyDescent="0.2">
      <c r="A104" s="34" t="s">
        <v>24</v>
      </c>
      <c r="B104" s="41">
        <v>1</v>
      </c>
      <c r="C104" s="42">
        <v>2017</v>
      </c>
      <c r="D104" s="41" t="s">
        <v>64</v>
      </c>
      <c r="E104" s="43" t="s">
        <v>590</v>
      </c>
      <c r="F104" s="34" t="s">
        <v>235</v>
      </c>
      <c r="G104" s="34" t="s">
        <v>28</v>
      </c>
      <c r="H104" s="34" t="s">
        <v>29</v>
      </c>
      <c r="I104" s="34" t="s">
        <v>30</v>
      </c>
      <c r="J104" s="41"/>
      <c r="K104" s="41"/>
      <c r="L104" s="41"/>
      <c r="M104" s="41">
        <v>40</v>
      </c>
      <c r="N104" s="41"/>
      <c r="O104" s="42" t="s">
        <v>47</v>
      </c>
      <c r="P104" s="41">
        <v>23</v>
      </c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:29" x14ac:dyDescent="0.2">
      <c r="A105" s="34" t="s">
        <v>24</v>
      </c>
      <c r="B105" s="41">
        <v>1</v>
      </c>
      <c r="C105" s="42">
        <v>2018</v>
      </c>
      <c r="D105" s="41" t="s">
        <v>188</v>
      </c>
      <c r="E105" s="43" t="s">
        <v>334</v>
      </c>
      <c r="F105" s="34" t="s">
        <v>191</v>
      </c>
      <c r="G105" s="34" t="s">
        <v>28</v>
      </c>
      <c r="H105" s="34" t="s">
        <v>29</v>
      </c>
      <c r="I105" s="34" t="s">
        <v>130</v>
      </c>
      <c r="L105" s="34" t="s">
        <v>334</v>
      </c>
      <c r="M105" s="41">
        <v>45</v>
      </c>
      <c r="N105" s="41">
        <v>750</v>
      </c>
      <c r="O105" s="42" t="s">
        <v>47</v>
      </c>
      <c r="P105" s="41" t="s">
        <v>549</v>
      </c>
      <c r="Q105" s="34"/>
    </row>
    <row r="106" spans="1:29" x14ac:dyDescent="0.2">
      <c r="A106" s="34" t="s">
        <v>24</v>
      </c>
      <c r="B106" s="41">
        <v>1</v>
      </c>
      <c r="C106" s="42">
        <v>2018</v>
      </c>
      <c r="D106" s="41" t="s">
        <v>64</v>
      </c>
      <c r="E106" s="41" t="s">
        <v>591</v>
      </c>
      <c r="F106" s="34" t="s">
        <v>40</v>
      </c>
      <c r="G106" s="34" t="s">
        <v>28</v>
      </c>
      <c r="H106" s="34" t="s">
        <v>29</v>
      </c>
      <c r="J106" s="41"/>
      <c r="L106" s="34" t="s">
        <v>592</v>
      </c>
      <c r="M106" s="41">
        <v>25</v>
      </c>
      <c r="N106" s="41">
        <v>750</v>
      </c>
      <c r="O106" s="42" t="s">
        <v>47</v>
      </c>
      <c r="Q106" s="34"/>
    </row>
    <row r="107" spans="1:29" x14ac:dyDescent="0.2">
      <c r="A107" s="34" t="s">
        <v>24</v>
      </c>
      <c r="B107" s="41">
        <v>1</v>
      </c>
      <c r="C107" s="42">
        <v>2018</v>
      </c>
      <c r="D107" s="41" t="s">
        <v>170</v>
      </c>
      <c r="E107" s="43" t="s">
        <v>593</v>
      </c>
      <c r="F107" s="34" t="s">
        <v>40</v>
      </c>
      <c r="G107" s="34" t="s">
        <v>28</v>
      </c>
      <c r="H107" s="34" t="s">
        <v>29</v>
      </c>
      <c r="I107" s="34" t="s">
        <v>30</v>
      </c>
      <c r="J107" s="41"/>
      <c r="K107" s="41"/>
      <c r="L107" s="41"/>
      <c r="M107" s="41">
        <v>25</v>
      </c>
      <c r="N107" s="41"/>
      <c r="O107" s="42" t="s">
        <v>47</v>
      </c>
      <c r="P107" s="41">
        <v>23</v>
      </c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spans="1:29" x14ac:dyDescent="0.2">
      <c r="A108" s="34" t="s">
        <v>24</v>
      </c>
      <c r="B108" s="41">
        <v>1</v>
      </c>
      <c r="C108" s="42">
        <v>2006</v>
      </c>
      <c r="D108" s="41" t="s">
        <v>531</v>
      </c>
      <c r="E108" s="43" t="s">
        <v>594</v>
      </c>
      <c r="F108" s="34" t="s">
        <v>74</v>
      </c>
      <c r="G108" s="34" t="s">
        <v>41</v>
      </c>
      <c r="H108" s="34" t="s">
        <v>75</v>
      </c>
      <c r="I108" s="34" t="s">
        <v>76</v>
      </c>
      <c r="J108" s="34" t="s">
        <v>224</v>
      </c>
      <c r="M108" s="41">
        <v>60</v>
      </c>
      <c r="N108" s="41">
        <v>750</v>
      </c>
      <c r="O108" s="42" t="s">
        <v>105</v>
      </c>
      <c r="P108" s="41">
        <v>28</v>
      </c>
      <c r="Q108" s="34"/>
    </row>
    <row r="109" spans="1:29" x14ac:dyDescent="0.2">
      <c r="A109" s="34" t="s">
        <v>24</v>
      </c>
      <c r="B109" s="41">
        <v>1</v>
      </c>
      <c r="C109" s="42">
        <v>2013</v>
      </c>
      <c r="D109" s="41" t="s">
        <v>56</v>
      </c>
      <c r="E109" s="43" t="s">
        <v>57</v>
      </c>
      <c r="F109" s="34" t="s">
        <v>40</v>
      </c>
      <c r="G109" s="34" t="s">
        <v>28</v>
      </c>
      <c r="H109" s="34" t="s">
        <v>58</v>
      </c>
      <c r="I109" s="41"/>
      <c r="J109" s="41" t="s">
        <v>59</v>
      </c>
      <c r="K109" s="41" t="s">
        <v>60</v>
      </c>
      <c r="L109" s="41" t="s">
        <v>61</v>
      </c>
      <c r="M109" s="41">
        <v>34</v>
      </c>
      <c r="N109" s="41"/>
      <c r="O109" s="42" t="s">
        <v>105</v>
      </c>
      <c r="P109" s="41">
        <v>24</v>
      </c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</row>
    <row r="110" spans="1:29" x14ac:dyDescent="0.2">
      <c r="A110" s="34" t="s">
        <v>24</v>
      </c>
      <c r="B110" s="41">
        <v>1</v>
      </c>
      <c r="C110" s="42">
        <v>2013</v>
      </c>
      <c r="D110" s="41" t="s">
        <v>99</v>
      </c>
      <c r="E110" s="43" t="s">
        <v>126</v>
      </c>
      <c r="F110" s="34" t="s">
        <v>27</v>
      </c>
      <c r="G110" s="34" t="s">
        <v>28</v>
      </c>
      <c r="H110" s="34" t="s">
        <v>29</v>
      </c>
      <c r="I110" s="34" t="s">
        <v>30</v>
      </c>
      <c r="J110" s="41" t="s">
        <v>31</v>
      </c>
      <c r="K110" s="34" t="s">
        <v>126</v>
      </c>
      <c r="M110" s="41">
        <v>55</v>
      </c>
      <c r="N110" s="41">
        <v>750</v>
      </c>
      <c r="O110" s="42" t="s">
        <v>105</v>
      </c>
      <c r="P110" s="34">
        <v>1</v>
      </c>
      <c r="Q110" s="34"/>
    </row>
    <row r="111" spans="1:29" x14ac:dyDescent="0.2">
      <c r="A111" s="34" t="s">
        <v>24</v>
      </c>
      <c r="B111" s="41">
        <v>1</v>
      </c>
      <c r="C111" s="42">
        <v>2013</v>
      </c>
      <c r="D111" s="41" t="s">
        <v>205</v>
      </c>
      <c r="E111" s="43" t="s">
        <v>123</v>
      </c>
      <c r="F111" s="34" t="s">
        <v>27</v>
      </c>
      <c r="G111" s="34" t="s">
        <v>28</v>
      </c>
      <c r="H111" s="34" t="s">
        <v>29</v>
      </c>
      <c r="I111" s="34" t="s">
        <v>30</v>
      </c>
      <c r="J111" s="41" t="s">
        <v>31</v>
      </c>
      <c r="K111" s="34" t="s">
        <v>32</v>
      </c>
      <c r="L111" s="34" t="s">
        <v>124</v>
      </c>
      <c r="M111" s="41">
        <v>90</v>
      </c>
      <c r="N111" s="41">
        <v>750</v>
      </c>
      <c r="O111" s="42" t="s">
        <v>105</v>
      </c>
      <c r="P111" s="41">
        <v>2</v>
      </c>
      <c r="Q111" s="34"/>
    </row>
    <row r="112" spans="1:29" x14ac:dyDescent="0.2">
      <c r="A112" s="34" t="s">
        <v>24</v>
      </c>
      <c r="B112" s="41">
        <v>3</v>
      </c>
      <c r="C112" s="42">
        <v>2013</v>
      </c>
      <c r="D112" s="41" t="s">
        <v>95</v>
      </c>
      <c r="E112" s="43" t="s">
        <v>168</v>
      </c>
      <c r="F112" s="34" t="s">
        <v>74</v>
      </c>
      <c r="G112" s="34" t="s">
        <v>28</v>
      </c>
      <c r="H112" s="34" t="s">
        <v>29</v>
      </c>
      <c r="I112" s="34" t="s">
        <v>30</v>
      </c>
      <c r="J112" s="41" t="s">
        <v>31</v>
      </c>
      <c r="M112" s="41">
        <v>50</v>
      </c>
      <c r="N112" s="41">
        <v>750</v>
      </c>
      <c r="O112" s="42" t="s">
        <v>105</v>
      </c>
      <c r="P112" s="41">
        <v>7</v>
      </c>
      <c r="Q112" s="34"/>
    </row>
    <row r="113" spans="1:17" x14ac:dyDescent="0.2">
      <c r="A113" s="34" t="s">
        <v>24</v>
      </c>
      <c r="B113" s="41">
        <v>1</v>
      </c>
      <c r="C113" s="42">
        <v>2013</v>
      </c>
      <c r="D113" s="41" t="s">
        <v>595</v>
      </c>
      <c r="E113" s="43" t="s">
        <v>96</v>
      </c>
      <c r="F113" s="34" t="s">
        <v>74</v>
      </c>
      <c r="G113" s="34" t="s">
        <v>28</v>
      </c>
      <c r="H113" s="34" t="s">
        <v>29</v>
      </c>
      <c r="I113" s="34" t="s">
        <v>30</v>
      </c>
      <c r="J113" s="34" t="s">
        <v>31</v>
      </c>
      <c r="M113" s="41">
        <v>75</v>
      </c>
      <c r="N113" s="41">
        <v>750</v>
      </c>
      <c r="O113" s="42" t="s">
        <v>105</v>
      </c>
      <c r="P113" s="41">
        <v>28</v>
      </c>
      <c r="Q113" s="34"/>
    </row>
    <row r="114" spans="1:17" x14ac:dyDescent="0.2">
      <c r="A114" s="34" t="s">
        <v>24</v>
      </c>
      <c r="B114" s="41">
        <v>1</v>
      </c>
      <c r="C114" s="42">
        <v>2013</v>
      </c>
      <c r="D114" s="41" t="s">
        <v>127</v>
      </c>
      <c r="E114" s="43" t="s">
        <v>128</v>
      </c>
      <c r="F114" s="34" t="s">
        <v>129</v>
      </c>
      <c r="G114" s="34" t="s">
        <v>28</v>
      </c>
      <c r="H114" s="34" t="s">
        <v>29</v>
      </c>
      <c r="I114" s="34" t="s">
        <v>30</v>
      </c>
      <c r="J114" s="34" t="s">
        <v>130</v>
      </c>
      <c r="L114" s="34" t="s">
        <v>131</v>
      </c>
      <c r="M114" s="41">
        <v>50</v>
      </c>
      <c r="N114" s="41">
        <v>750</v>
      </c>
      <c r="O114" s="42" t="s">
        <v>105</v>
      </c>
      <c r="P114" s="41" t="s">
        <v>151</v>
      </c>
      <c r="Q114" s="34"/>
    </row>
    <row r="115" spans="1:17" x14ac:dyDescent="0.2">
      <c r="A115" s="34" t="s">
        <v>44</v>
      </c>
      <c r="B115" s="41">
        <v>1</v>
      </c>
      <c r="C115" s="42">
        <v>2013</v>
      </c>
      <c r="D115" s="41" t="s">
        <v>103</v>
      </c>
      <c r="E115" s="43" t="s">
        <v>104</v>
      </c>
      <c r="F115" s="34" t="s">
        <v>40</v>
      </c>
      <c r="G115" s="34" t="s">
        <v>28</v>
      </c>
      <c r="H115" s="34" t="s">
        <v>29</v>
      </c>
      <c r="I115" s="34" t="s">
        <v>30</v>
      </c>
      <c r="M115" s="41">
        <v>115</v>
      </c>
      <c r="N115" s="41">
        <v>750</v>
      </c>
      <c r="O115" s="42" t="s">
        <v>105</v>
      </c>
      <c r="P115" s="41">
        <v>5</v>
      </c>
      <c r="Q115" s="34"/>
    </row>
    <row r="116" spans="1:17" x14ac:dyDescent="0.2">
      <c r="A116" s="34" t="s">
        <v>24</v>
      </c>
      <c r="B116" s="41">
        <v>1</v>
      </c>
      <c r="C116" s="42">
        <v>2014</v>
      </c>
      <c r="D116" s="41" t="s">
        <v>84</v>
      </c>
      <c r="E116" s="43" t="s">
        <v>201</v>
      </c>
      <c r="F116" s="34" t="s">
        <v>27</v>
      </c>
      <c r="G116" s="34" t="s">
        <v>28</v>
      </c>
      <c r="H116" s="34" t="s">
        <v>29</v>
      </c>
      <c r="I116" s="34" t="s">
        <v>30</v>
      </c>
      <c r="J116" s="41" t="s">
        <v>31</v>
      </c>
      <c r="K116" s="34" t="s">
        <v>75</v>
      </c>
      <c r="M116" s="41">
        <v>80</v>
      </c>
      <c r="N116" s="41">
        <v>750</v>
      </c>
      <c r="O116" s="42" t="s">
        <v>105</v>
      </c>
      <c r="P116" s="34">
        <v>1</v>
      </c>
      <c r="Q116" s="34"/>
    </row>
    <row r="117" spans="1:17" x14ac:dyDescent="0.2">
      <c r="A117" s="34" t="s">
        <v>24</v>
      </c>
      <c r="B117" s="41">
        <v>2</v>
      </c>
      <c r="C117" s="42">
        <v>2014</v>
      </c>
      <c r="D117" s="41" t="s">
        <v>205</v>
      </c>
      <c r="E117" s="43" t="s">
        <v>280</v>
      </c>
      <c r="F117" s="34" t="s">
        <v>156</v>
      </c>
      <c r="G117" s="34" t="s">
        <v>28</v>
      </c>
      <c r="H117" s="34" t="s">
        <v>29</v>
      </c>
      <c r="I117" s="34" t="s">
        <v>30</v>
      </c>
      <c r="J117" s="41" t="s">
        <v>31</v>
      </c>
      <c r="K117" s="34" t="s">
        <v>281</v>
      </c>
      <c r="M117" s="41">
        <v>55</v>
      </c>
      <c r="N117" s="41">
        <v>750</v>
      </c>
      <c r="O117" s="42" t="s">
        <v>105</v>
      </c>
      <c r="P117" s="41">
        <v>2</v>
      </c>
      <c r="Q117" s="34"/>
    </row>
    <row r="118" spans="1:17" x14ac:dyDescent="0.2">
      <c r="A118" s="34" t="s">
        <v>24</v>
      </c>
      <c r="B118" s="41">
        <v>1</v>
      </c>
      <c r="C118" s="42">
        <v>2014</v>
      </c>
      <c r="D118" s="41" t="s">
        <v>205</v>
      </c>
      <c r="E118" s="43" t="s">
        <v>552</v>
      </c>
      <c r="F118" s="34" t="s">
        <v>235</v>
      </c>
      <c r="G118" s="34" t="s">
        <v>28</v>
      </c>
      <c r="H118" s="34" t="s">
        <v>29</v>
      </c>
      <c r="I118" s="34" t="s">
        <v>30</v>
      </c>
      <c r="J118" s="41" t="s">
        <v>31</v>
      </c>
      <c r="K118" s="34" t="s">
        <v>281</v>
      </c>
      <c r="M118" s="41">
        <v>35</v>
      </c>
      <c r="N118" s="41">
        <v>750</v>
      </c>
      <c r="O118" s="42" t="s">
        <v>105</v>
      </c>
      <c r="P118" s="41">
        <v>3</v>
      </c>
      <c r="Q118" s="34"/>
    </row>
    <row r="119" spans="1:17" x14ac:dyDescent="0.2">
      <c r="A119" s="34" t="s">
        <v>44</v>
      </c>
      <c r="B119" s="41">
        <v>1</v>
      </c>
      <c r="C119" s="42">
        <v>2014</v>
      </c>
      <c r="D119" s="41" t="s">
        <v>103</v>
      </c>
      <c r="E119" s="43" t="s">
        <v>578</v>
      </c>
      <c r="F119" s="34" t="s">
        <v>40</v>
      </c>
      <c r="G119" s="34" t="s">
        <v>28</v>
      </c>
      <c r="H119" s="34" t="s">
        <v>29</v>
      </c>
      <c r="I119" s="34" t="s">
        <v>30</v>
      </c>
      <c r="M119" s="41">
        <v>42</v>
      </c>
      <c r="N119" s="41">
        <v>750</v>
      </c>
      <c r="O119" s="42" t="s">
        <v>105</v>
      </c>
      <c r="P119" s="41">
        <v>5</v>
      </c>
      <c r="Q119" s="34"/>
    </row>
    <row r="120" spans="1:17" x14ac:dyDescent="0.2">
      <c r="A120" s="34" t="s">
        <v>24</v>
      </c>
      <c r="B120" s="41">
        <v>1</v>
      </c>
      <c r="C120" s="42">
        <v>2015</v>
      </c>
      <c r="D120" s="41" t="s">
        <v>596</v>
      </c>
      <c r="E120" s="43" t="s">
        <v>597</v>
      </c>
      <c r="F120" s="34" t="s">
        <v>74</v>
      </c>
      <c r="G120" s="34" t="s">
        <v>41</v>
      </c>
      <c r="H120" s="34" t="s">
        <v>75</v>
      </c>
      <c r="I120" s="34" t="s">
        <v>76</v>
      </c>
      <c r="J120" s="34" t="s">
        <v>76</v>
      </c>
      <c r="M120" s="41">
        <v>75</v>
      </c>
      <c r="N120" s="41">
        <v>750</v>
      </c>
      <c r="O120" s="42" t="s">
        <v>105</v>
      </c>
      <c r="P120" s="41" t="s">
        <v>110</v>
      </c>
      <c r="Q120" s="34"/>
    </row>
    <row r="121" spans="1:17" x14ac:dyDescent="0.2">
      <c r="A121" s="34" t="s">
        <v>24</v>
      </c>
      <c r="B121" s="41">
        <v>2</v>
      </c>
      <c r="C121" s="42">
        <v>2015</v>
      </c>
      <c r="D121" s="41" t="s">
        <v>205</v>
      </c>
      <c r="E121" s="43" t="s">
        <v>280</v>
      </c>
      <c r="F121" s="34" t="s">
        <v>156</v>
      </c>
      <c r="G121" s="34" t="s">
        <v>28</v>
      </c>
      <c r="H121" s="34" t="s">
        <v>29</v>
      </c>
      <c r="I121" s="34" t="s">
        <v>30</v>
      </c>
      <c r="J121" s="41" t="s">
        <v>31</v>
      </c>
      <c r="K121" s="34" t="s">
        <v>281</v>
      </c>
      <c r="M121" s="41">
        <v>50</v>
      </c>
      <c r="N121" s="41">
        <v>750</v>
      </c>
      <c r="O121" s="42" t="s">
        <v>105</v>
      </c>
      <c r="P121" s="41">
        <v>2</v>
      </c>
      <c r="Q121" s="34"/>
    </row>
    <row r="122" spans="1:17" x14ac:dyDescent="0.2">
      <c r="A122" s="34" t="s">
        <v>24</v>
      </c>
      <c r="B122" s="41">
        <v>2</v>
      </c>
      <c r="C122" s="42">
        <v>2015</v>
      </c>
      <c r="D122" s="41" t="s">
        <v>205</v>
      </c>
      <c r="E122" s="43" t="s">
        <v>598</v>
      </c>
      <c r="F122" s="34" t="s">
        <v>27</v>
      </c>
      <c r="G122" s="34" t="s">
        <v>28</v>
      </c>
      <c r="H122" s="34" t="s">
        <v>29</v>
      </c>
      <c r="I122" s="34" t="s">
        <v>30</v>
      </c>
      <c r="J122" s="41" t="s">
        <v>31</v>
      </c>
      <c r="K122" s="34" t="s">
        <v>281</v>
      </c>
      <c r="M122" s="41">
        <v>45</v>
      </c>
      <c r="N122" s="41">
        <v>750</v>
      </c>
      <c r="O122" s="42" t="s">
        <v>105</v>
      </c>
      <c r="P122" s="41">
        <v>2</v>
      </c>
      <c r="Q122" s="34"/>
    </row>
    <row r="123" spans="1:17" x14ac:dyDescent="0.2">
      <c r="A123" s="34" t="s">
        <v>24</v>
      </c>
      <c r="B123" s="41">
        <v>1</v>
      </c>
      <c r="C123" s="42">
        <v>2015</v>
      </c>
      <c r="D123" s="41" t="s">
        <v>170</v>
      </c>
      <c r="E123" s="43" t="s">
        <v>126</v>
      </c>
      <c r="F123" s="34" t="s">
        <v>27</v>
      </c>
      <c r="G123" s="34" t="s">
        <v>28</v>
      </c>
      <c r="H123" s="34" t="s">
        <v>29</v>
      </c>
      <c r="I123" s="34" t="s">
        <v>30</v>
      </c>
      <c r="J123" s="41" t="s">
        <v>31</v>
      </c>
      <c r="K123" s="34" t="s">
        <v>126</v>
      </c>
      <c r="M123" s="41">
        <v>72</v>
      </c>
      <c r="N123" s="41">
        <v>750</v>
      </c>
      <c r="O123" s="42" t="s">
        <v>105</v>
      </c>
      <c r="P123" s="41">
        <v>3</v>
      </c>
      <c r="Q123" s="34"/>
    </row>
    <row r="124" spans="1:17" x14ac:dyDescent="0.2">
      <c r="A124" s="34" t="s">
        <v>24</v>
      </c>
      <c r="B124" s="41">
        <v>1</v>
      </c>
      <c r="C124" s="42">
        <v>2015</v>
      </c>
      <c r="D124" s="41" t="s">
        <v>197</v>
      </c>
      <c r="E124" s="43" t="s">
        <v>599</v>
      </c>
      <c r="F124" s="34" t="s">
        <v>27</v>
      </c>
      <c r="G124" s="34" t="s">
        <v>28</v>
      </c>
      <c r="H124" s="34" t="s">
        <v>29</v>
      </c>
      <c r="I124" s="34" t="s">
        <v>30</v>
      </c>
      <c r="J124" s="41" t="s">
        <v>31</v>
      </c>
      <c r="K124" s="34" t="s">
        <v>126</v>
      </c>
      <c r="M124" s="41">
        <v>75</v>
      </c>
      <c r="N124" s="41">
        <v>750</v>
      </c>
      <c r="O124" s="42" t="s">
        <v>105</v>
      </c>
      <c r="P124" s="41">
        <v>3</v>
      </c>
      <c r="Q124" s="34"/>
    </row>
    <row r="125" spans="1:17" x14ac:dyDescent="0.2">
      <c r="A125" s="34" t="s">
        <v>24</v>
      </c>
      <c r="B125" s="41">
        <v>1</v>
      </c>
      <c r="C125" s="42">
        <v>2015</v>
      </c>
      <c r="D125" s="41" t="s">
        <v>197</v>
      </c>
      <c r="E125" s="43" t="s">
        <v>583</v>
      </c>
      <c r="F125" s="34" t="s">
        <v>129</v>
      </c>
      <c r="G125" s="34" t="s">
        <v>28</v>
      </c>
      <c r="H125" s="34" t="s">
        <v>29</v>
      </c>
      <c r="I125" s="34" t="s">
        <v>30</v>
      </c>
      <c r="J125" s="41" t="s">
        <v>31</v>
      </c>
      <c r="K125" s="34" t="s">
        <v>75</v>
      </c>
      <c r="M125" s="41">
        <v>45</v>
      </c>
      <c r="N125" s="41">
        <v>750</v>
      </c>
      <c r="O125" s="42" t="s">
        <v>105</v>
      </c>
      <c r="P125" s="41">
        <v>3</v>
      </c>
      <c r="Q125" s="34"/>
    </row>
    <row r="126" spans="1:17" x14ac:dyDescent="0.2">
      <c r="A126" s="34" t="s">
        <v>24</v>
      </c>
      <c r="B126" s="41">
        <v>1</v>
      </c>
      <c r="C126" s="42">
        <v>2015</v>
      </c>
      <c r="D126" s="41" t="s">
        <v>205</v>
      </c>
      <c r="E126" s="43" t="s">
        <v>598</v>
      </c>
      <c r="F126" s="34" t="s">
        <v>40</v>
      </c>
      <c r="G126" s="34" t="s">
        <v>28</v>
      </c>
      <c r="H126" s="34" t="s">
        <v>29</v>
      </c>
      <c r="I126" s="34" t="s">
        <v>30</v>
      </c>
      <c r="J126" s="41" t="s">
        <v>31</v>
      </c>
      <c r="K126" s="34" t="s">
        <v>281</v>
      </c>
      <c r="M126" s="41">
        <v>45</v>
      </c>
      <c r="N126" s="41">
        <v>750</v>
      </c>
      <c r="O126" s="42" t="s">
        <v>105</v>
      </c>
      <c r="P126" s="41">
        <v>3</v>
      </c>
      <c r="Q126" s="34"/>
    </row>
    <row r="127" spans="1:17" x14ac:dyDescent="0.2">
      <c r="A127" s="34" t="s">
        <v>44</v>
      </c>
      <c r="B127" s="41">
        <v>1</v>
      </c>
      <c r="C127" s="42">
        <v>2015</v>
      </c>
      <c r="D127" s="41" t="s">
        <v>103</v>
      </c>
      <c r="E127" s="43" t="s">
        <v>578</v>
      </c>
      <c r="F127" s="34" t="s">
        <v>40</v>
      </c>
      <c r="G127" s="34" t="s">
        <v>28</v>
      </c>
      <c r="H127" s="34" t="s">
        <v>29</v>
      </c>
      <c r="I127" s="34" t="s">
        <v>30</v>
      </c>
      <c r="J127" s="41" t="s">
        <v>31</v>
      </c>
      <c r="K127" s="34" t="s">
        <v>75</v>
      </c>
      <c r="M127" s="41">
        <v>42</v>
      </c>
      <c r="N127" s="41">
        <v>750</v>
      </c>
      <c r="O127" s="42" t="s">
        <v>105</v>
      </c>
      <c r="P127" s="41">
        <v>4</v>
      </c>
      <c r="Q127" s="34"/>
    </row>
    <row r="128" spans="1:17" x14ac:dyDescent="0.2">
      <c r="A128" s="34" t="s">
        <v>24</v>
      </c>
      <c r="B128" s="41">
        <v>1</v>
      </c>
      <c r="C128" s="42">
        <v>2015</v>
      </c>
      <c r="D128" s="41" t="s">
        <v>84</v>
      </c>
      <c r="E128" s="43">
        <v>1873</v>
      </c>
      <c r="F128" s="34" t="s">
        <v>27</v>
      </c>
      <c r="G128" s="34" t="s">
        <v>28</v>
      </c>
      <c r="H128" s="34" t="s">
        <v>29</v>
      </c>
      <c r="I128" s="34" t="s">
        <v>30</v>
      </c>
      <c r="J128" s="41" t="s">
        <v>31</v>
      </c>
      <c r="M128" s="41">
        <v>85</v>
      </c>
      <c r="N128" s="41">
        <v>750</v>
      </c>
      <c r="O128" s="42" t="s">
        <v>105</v>
      </c>
      <c r="P128" s="41">
        <v>8</v>
      </c>
      <c r="Q128" s="34"/>
    </row>
    <row r="129" spans="1:29" x14ac:dyDescent="0.2">
      <c r="A129" s="34" t="s">
        <v>24</v>
      </c>
      <c r="B129" s="41">
        <v>1</v>
      </c>
      <c r="C129" s="42">
        <v>2015</v>
      </c>
      <c r="D129" s="41" t="s">
        <v>205</v>
      </c>
      <c r="E129" s="43" t="s">
        <v>600</v>
      </c>
      <c r="F129" s="34" t="s">
        <v>40</v>
      </c>
      <c r="G129" s="34" t="s">
        <v>28</v>
      </c>
      <c r="H129" s="34" t="s">
        <v>29</v>
      </c>
      <c r="I129" s="34" t="s">
        <v>30</v>
      </c>
      <c r="J129" s="41" t="s">
        <v>31</v>
      </c>
      <c r="M129" s="41">
        <v>34</v>
      </c>
      <c r="N129" s="41">
        <v>750</v>
      </c>
      <c r="O129" s="42" t="s">
        <v>105</v>
      </c>
      <c r="P129" s="41">
        <v>8</v>
      </c>
      <c r="Q129" s="34"/>
    </row>
    <row r="130" spans="1:29" x14ac:dyDescent="0.2">
      <c r="A130" s="34" t="s">
        <v>24</v>
      </c>
      <c r="B130" s="41">
        <v>1</v>
      </c>
      <c r="C130" s="42">
        <v>2015</v>
      </c>
      <c r="D130" s="41" t="s">
        <v>601</v>
      </c>
      <c r="E130" s="43" t="s">
        <v>602</v>
      </c>
      <c r="F130" s="34" t="s">
        <v>350</v>
      </c>
      <c r="G130" s="34" t="s">
        <v>28</v>
      </c>
      <c r="H130" s="34" t="s">
        <v>29</v>
      </c>
      <c r="I130" s="34" t="s">
        <v>30</v>
      </c>
      <c r="J130" s="34" t="s">
        <v>31</v>
      </c>
      <c r="M130" s="41">
        <v>60</v>
      </c>
      <c r="N130" s="41">
        <v>750</v>
      </c>
      <c r="O130" s="42" t="s">
        <v>105</v>
      </c>
      <c r="P130" s="41">
        <v>26</v>
      </c>
      <c r="Q130" s="34"/>
    </row>
    <row r="131" spans="1:29" x14ac:dyDescent="0.2">
      <c r="A131" s="34" t="s">
        <v>24</v>
      </c>
      <c r="B131" s="41">
        <v>1</v>
      </c>
      <c r="C131" s="42">
        <v>2016</v>
      </c>
      <c r="D131" s="41" t="s">
        <v>205</v>
      </c>
      <c r="E131" s="43" t="s">
        <v>603</v>
      </c>
      <c r="F131" s="34" t="s">
        <v>235</v>
      </c>
      <c r="G131" s="34" t="s">
        <v>28</v>
      </c>
      <c r="H131" s="34" t="s">
        <v>29</v>
      </c>
      <c r="I131" s="34" t="s">
        <v>30</v>
      </c>
      <c r="J131" s="41" t="s">
        <v>31</v>
      </c>
      <c r="K131" s="34" t="s">
        <v>550</v>
      </c>
      <c r="M131" s="41">
        <v>60</v>
      </c>
      <c r="N131" s="41">
        <v>750</v>
      </c>
      <c r="O131" s="42" t="s">
        <v>105</v>
      </c>
      <c r="P131" s="41">
        <v>2</v>
      </c>
      <c r="Q131" s="34"/>
    </row>
    <row r="132" spans="1:29" x14ac:dyDescent="0.2">
      <c r="A132" s="34" t="s">
        <v>24</v>
      </c>
      <c r="B132" s="41">
        <v>2</v>
      </c>
      <c r="C132" s="42">
        <v>2016</v>
      </c>
      <c r="D132" s="41" t="s">
        <v>205</v>
      </c>
      <c r="E132" s="43" t="s">
        <v>604</v>
      </c>
      <c r="F132" s="34" t="s">
        <v>390</v>
      </c>
      <c r="G132" s="34" t="s">
        <v>28</v>
      </c>
      <c r="H132" s="34" t="s">
        <v>29</v>
      </c>
      <c r="I132" s="34" t="s">
        <v>30</v>
      </c>
      <c r="J132" s="41" t="s">
        <v>31</v>
      </c>
      <c r="K132" s="34" t="s">
        <v>605</v>
      </c>
      <c r="M132" s="41">
        <v>45</v>
      </c>
      <c r="N132" s="41">
        <v>750</v>
      </c>
      <c r="O132" s="42" t="s">
        <v>105</v>
      </c>
      <c r="P132" s="41">
        <v>3</v>
      </c>
      <c r="Q132" s="34"/>
    </row>
    <row r="133" spans="1:29" x14ac:dyDescent="0.2">
      <c r="A133" s="34" t="s">
        <v>24</v>
      </c>
      <c r="B133" s="41">
        <v>1</v>
      </c>
      <c r="C133" s="42">
        <v>2016</v>
      </c>
      <c r="D133" s="41" t="s">
        <v>229</v>
      </c>
      <c r="E133" s="43" t="s">
        <v>606</v>
      </c>
      <c r="F133" s="34" t="s">
        <v>350</v>
      </c>
      <c r="G133" s="34" t="s">
        <v>28</v>
      </c>
      <c r="H133" s="34" t="s">
        <v>29</v>
      </c>
      <c r="I133" s="34" t="s">
        <v>30</v>
      </c>
      <c r="J133" s="41" t="s">
        <v>31</v>
      </c>
      <c r="M133" s="41">
        <v>60</v>
      </c>
      <c r="N133" s="41">
        <v>750</v>
      </c>
      <c r="O133" s="42" t="s">
        <v>105</v>
      </c>
      <c r="P133" s="41">
        <v>8</v>
      </c>
      <c r="Q133" s="34"/>
    </row>
    <row r="134" spans="1:29" x14ac:dyDescent="0.2">
      <c r="A134" s="34" t="s">
        <v>24</v>
      </c>
      <c r="B134" s="41">
        <v>1</v>
      </c>
      <c r="C134" s="42">
        <v>2016</v>
      </c>
      <c r="D134" s="41" t="s">
        <v>84</v>
      </c>
      <c r="E134" s="43" t="s">
        <v>270</v>
      </c>
      <c r="F134" s="34" t="s">
        <v>27</v>
      </c>
      <c r="G134" s="34" t="s">
        <v>28</v>
      </c>
      <c r="H134" s="34" t="s">
        <v>29</v>
      </c>
      <c r="I134" s="34" t="s">
        <v>30</v>
      </c>
      <c r="J134" s="41" t="s">
        <v>31</v>
      </c>
      <c r="M134" s="41">
        <v>70</v>
      </c>
      <c r="N134" s="41">
        <v>750</v>
      </c>
      <c r="O134" s="42" t="s">
        <v>105</v>
      </c>
      <c r="P134" s="41">
        <v>8</v>
      </c>
      <c r="Q134" s="34"/>
    </row>
    <row r="135" spans="1:29" x14ac:dyDescent="0.2">
      <c r="A135" s="34" t="s">
        <v>24</v>
      </c>
      <c r="B135" s="41">
        <v>1</v>
      </c>
      <c r="C135" s="42">
        <v>2016</v>
      </c>
      <c r="D135" s="41" t="s">
        <v>84</v>
      </c>
      <c r="E135" s="41" t="s">
        <v>551</v>
      </c>
      <c r="F135" s="34" t="s">
        <v>27</v>
      </c>
      <c r="G135" s="34" t="s">
        <v>28</v>
      </c>
      <c r="H135" s="34" t="s">
        <v>29</v>
      </c>
      <c r="I135" s="34" t="s">
        <v>30</v>
      </c>
      <c r="J135" s="34" t="s">
        <v>31</v>
      </c>
      <c r="K135" s="34" t="s">
        <v>186</v>
      </c>
      <c r="M135" s="41">
        <v>85</v>
      </c>
      <c r="N135" s="41">
        <v>750</v>
      </c>
      <c r="O135" s="42" t="s">
        <v>105</v>
      </c>
      <c r="Q135" s="34"/>
    </row>
    <row r="136" spans="1:29" x14ac:dyDescent="0.2">
      <c r="A136" s="34" t="s">
        <v>24</v>
      </c>
      <c r="B136" s="41">
        <v>1</v>
      </c>
      <c r="C136" s="42">
        <v>2016</v>
      </c>
      <c r="D136" s="41" t="s">
        <v>170</v>
      </c>
      <c r="E136" s="43" t="s">
        <v>607</v>
      </c>
      <c r="F136" s="34" t="s">
        <v>350</v>
      </c>
      <c r="G136" s="34" t="s">
        <v>28</v>
      </c>
      <c r="H136" s="34" t="s">
        <v>29</v>
      </c>
      <c r="I136" s="34" t="s">
        <v>30</v>
      </c>
      <c r="J136" s="34" t="s">
        <v>31</v>
      </c>
      <c r="M136" s="41">
        <v>97</v>
      </c>
      <c r="N136" s="41">
        <v>750</v>
      </c>
      <c r="O136" s="42" t="s">
        <v>105</v>
      </c>
      <c r="P136" s="41">
        <v>26</v>
      </c>
      <c r="Q136" s="34"/>
    </row>
    <row r="137" spans="1:29" x14ac:dyDescent="0.2">
      <c r="A137" s="34" t="s">
        <v>24</v>
      </c>
      <c r="B137" s="41">
        <v>1</v>
      </c>
      <c r="C137" s="42">
        <v>2016</v>
      </c>
      <c r="D137" s="41" t="s">
        <v>205</v>
      </c>
      <c r="E137" s="43" t="s">
        <v>598</v>
      </c>
      <c r="F137" s="34" t="s">
        <v>40</v>
      </c>
      <c r="G137" s="34" t="s">
        <v>28</v>
      </c>
      <c r="H137" s="34" t="s">
        <v>29</v>
      </c>
      <c r="I137" s="34" t="s">
        <v>30</v>
      </c>
      <c r="J137" s="41" t="s">
        <v>31</v>
      </c>
      <c r="K137" s="41" t="s">
        <v>207</v>
      </c>
      <c r="L137" s="41" t="s">
        <v>251</v>
      </c>
      <c r="M137" s="41">
        <v>50</v>
      </c>
      <c r="N137" s="41">
        <v>750</v>
      </c>
      <c r="O137" s="42" t="s">
        <v>105</v>
      </c>
      <c r="P137" s="41" t="s">
        <v>608</v>
      </c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</row>
    <row r="138" spans="1:29" x14ac:dyDescent="0.2">
      <c r="A138" s="34" t="s">
        <v>24</v>
      </c>
      <c r="B138" s="41">
        <v>1</v>
      </c>
      <c r="C138" s="42">
        <v>2016</v>
      </c>
      <c r="D138" s="41" t="s">
        <v>154</v>
      </c>
      <c r="E138" s="43" t="s">
        <v>232</v>
      </c>
      <c r="F138" s="34" t="s">
        <v>27</v>
      </c>
      <c r="G138" s="34" t="s">
        <v>28</v>
      </c>
      <c r="H138" s="34" t="s">
        <v>29</v>
      </c>
      <c r="I138" s="34" t="s">
        <v>30</v>
      </c>
      <c r="J138" s="34" t="s">
        <v>31</v>
      </c>
      <c r="M138" s="41">
        <v>450</v>
      </c>
      <c r="N138" s="41">
        <v>750</v>
      </c>
      <c r="O138" s="42" t="s">
        <v>105</v>
      </c>
      <c r="P138" s="41" t="s">
        <v>441</v>
      </c>
      <c r="Q138" s="34"/>
    </row>
    <row r="139" spans="1:29" x14ac:dyDescent="0.2">
      <c r="A139" s="34" t="s">
        <v>24</v>
      </c>
      <c r="B139" s="41">
        <v>1</v>
      </c>
      <c r="C139" s="42">
        <v>2016</v>
      </c>
      <c r="D139" s="41" t="s">
        <v>189</v>
      </c>
      <c r="E139" s="43" t="s">
        <v>190</v>
      </c>
      <c r="F139" s="34" t="s">
        <v>191</v>
      </c>
      <c r="G139" s="34" t="s">
        <v>28</v>
      </c>
      <c r="H139" s="34" t="s">
        <v>29</v>
      </c>
      <c r="I139" s="34" t="s">
        <v>30</v>
      </c>
      <c r="J139" s="34" t="s">
        <v>130</v>
      </c>
      <c r="L139" s="34" t="s">
        <v>192</v>
      </c>
      <c r="M139" s="41">
        <v>86</v>
      </c>
      <c r="N139" s="41">
        <v>750</v>
      </c>
      <c r="O139" s="42" t="s">
        <v>105</v>
      </c>
      <c r="P139" s="41">
        <v>6</v>
      </c>
      <c r="Q139" s="34"/>
    </row>
    <row r="140" spans="1:29" x14ac:dyDescent="0.2">
      <c r="A140" s="34" t="s">
        <v>37</v>
      </c>
      <c r="B140" s="41">
        <v>1</v>
      </c>
      <c r="C140" s="42">
        <v>2016</v>
      </c>
      <c r="D140" s="41" t="s">
        <v>301</v>
      </c>
      <c r="E140" s="43" t="s">
        <v>609</v>
      </c>
      <c r="F140" s="34" t="s">
        <v>350</v>
      </c>
      <c r="G140" s="34" t="s">
        <v>28</v>
      </c>
      <c r="H140" s="34" t="s">
        <v>29</v>
      </c>
      <c r="I140" s="34" t="s">
        <v>30</v>
      </c>
      <c r="J140" s="34" t="s">
        <v>130</v>
      </c>
      <c r="M140" s="41">
        <v>55</v>
      </c>
      <c r="N140" s="41">
        <v>750</v>
      </c>
      <c r="O140" s="42" t="s">
        <v>105</v>
      </c>
      <c r="P140" s="41">
        <v>6</v>
      </c>
      <c r="Q140" s="34"/>
    </row>
    <row r="141" spans="1:29" x14ac:dyDescent="0.2">
      <c r="A141" s="34" t="s">
        <v>24</v>
      </c>
      <c r="B141" s="41">
        <v>2</v>
      </c>
      <c r="C141" s="42">
        <v>2016</v>
      </c>
      <c r="D141" s="41" t="s">
        <v>301</v>
      </c>
      <c r="E141" s="43" t="s">
        <v>610</v>
      </c>
      <c r="F141" s="34" t="s">
        <v>191</v>
      </c>
      <c r="G141" s="34" t="s">
        <v>28</v>
      </c>
      <c r="H141" s="34" t="s">
        <v>29</v>
      </c>
      <c r="I141" s="34" t="s">
        <v>30</v>
      </c>
      <c r="J141" s="34" t="s">
        <v>130</v>
      </c>
      <c r="M141" s="41">
        <v>45</v>
      </c>
      <c r="N141" s="41">
        <v>750</v>
      </c>
      <c r="O141" s="42" t="s">
        <v>105</v>
      </c>
      <c r="P141" s="41">
        <v>6</v>
      </c>
      <c r="Q141" s="34"/>
    </row>
    <row r="142" spans="1:29" x14ac:dyDescent="0.2">
      <c r="A142" s="34" t="s">
        <v>24</v>
      </c>
      <c r="B142" s="41">
        <v>1</v>
      </c>
      <c r="C142" s="42">
        <v>2016</v>
      </c>
      <c r="D142" s="41" t="s">
        <v>103</v>
      </c>
      <c r="E142" s="41" t="s">
        <v>296</v>
      </c>
      <c r="F142" s="34" t="s">
        <v>191</v>
      </c>
      <c r="G142" s="34" t="s">
        <v>28</v>
      </c>
      <c r="H142" s="34" t="s">
        <v>29</v>
      </c>
      <c r="I142" s="34" t="s">
        <v>30</v>
      </c>
      <c r="M142" s="41">
        <v>59</v>
      </c>
      <c r="N142" s="41">
        <v>750</v>
      </c>
      <c r="O142" s="42" t="s">
        <v>105</v>
      </c>
      <c r="P142" s="41">
        <v>9</v>
      </c>
      <c r="Q142" s="34"/>
    </row>
    <row r="143" spans="1:29" x14ac:dyDescent="0.2">
      <c r="A143" s="34" t="s">
        <v>24</v>
      </c>
      <c r="B143" s="41">
        <v>1</v>
      </c>
      <c r="C143" s="42">
        <v>2016</v>
      </c>
      <c r="D143" s="43" t="s">
        <v>611</v>
      </c>
      <c r="E143" s="41" t="s">
        <v>612</v>
      </c>
      <c r="F143" s="34" t="s">
        <v>74</v>
      </c>
      <c r="G143" s="34" t="s">
        <v>108</v>
      </c>
      <c r="H143" s="34" t="s">
        <v>75</v>
      </c>
      <c r="I143" s="34" t="s">
        <v>613</v>
      </c>
      <c r="J143" s="41"/>
      <c r="M143" s="41">
        <v>50</v>
      </c>
      <c r="N143" s="41">
        <v>750</v>
      </c>
      <c r="O143" s="42" t="s">
        <v>105</v>
      </c>
      <c r="Q143" s="34"/>
    </row>
    <row r="144" spans="1:29" x14ac:dyDescent="0.2">
      <c r="A144" s="34" t="s">
        <v>24</v>
      </c>
      <c r="B144" s="41">
        <v>1</v>
      </c>
      <c r="C144" s="42">
        <v>2017</v>
      </c>
      <c r="D144" s="41" t="s">
        <v>243</v>
      </c>
      <c r="E144" s="43" t="s">
        <v>26</v>
      </c>
      <c r="F144" s="34" t="s">
        <v>27</v>
      </c>
      <c r="G144" s="34" t="s">
        <v>28</v>
      </c>
      <c r="H144" s="34" t="s">
        <v>29</v>
      </c>
      <c r="I144" s="34" t="s">
        <v>30</v>
      </c>
      <c r="J144" s="34" t="s">
        <v>31</v>
      </c>
      <c r="M144" s="41">
        <v>155</v>
      </c>
      <c r="N144" s="41">
        <v>750</v>
      </c>
      <c r="O144" s="42" t="s">
        <v>105</v>
      </c>
      <c r="P144" s="41" t="s">
        <v>560</v>
      </c>
      <c r="Q144" s="34"/>
    </row>
    <row r="145" spans="1:28" x14ac:dyDescent="0.2">
      <c r="A145" s="34" t="s">
        <v>24</v>
      </c>
      <c r="B145" s="41">
        <v>1</v>
      </c>
      <c r="C145" s="42">
        <v>2017</v>
      </c>
      <c r="D145" s="41" t="s">
        <v>243</v>
      </c>
      <c r="E145" s="43" t="s">
        <v>244</v>
      </c>
      <c r="F145" s="34" t="s">
        <v>74</v>
      </c>
      <c r="G145" s="34" t="s">
        <v>28</v>
      </c>
      <c r="H145" s="34" t="s">
        <v>29</v>
      </c>
      <c r="I145" s="34" t="s">
        <v>30</v>
      </c>
      <c r="J145" s="34" t="s">
        <v>31</v>
      </c>
      <c r="M145" s="41">
        <v>170</v>
      </c>
      <c r="N145" s="41">
        <v>750</v>
      </c>
      <c r="O145" s="42" t="s">
        <v>105</v>
      </c>
      <c r="P145" s="41" t="s">
        <v>560</v>
      </c>
      <c r="Q145" s="34"/>
    </row>
    <row r="146" spans="1:28" x14ac:dyDescent="0.2">
      <c r="A146" s="34" t="s">
        <v>24</v>
      </c>
      <c r="B146" s="41">
        <v>1</v>
      </c>
      <c r="C146" s="42">
        <v>2017</v>
      </c>
      <c r="D146" s="41" t="s">
        <v>240</v>
      </c>
      <c r="E146" s="43" t="s">
        <v>614</v>
      </c>
      <c r="F146" s="34" t="s">
        <v>235</v>
      </c>
      <c r="G146" s="34" t="s">
        <v>28</v>
      </c>
      <c r="H146" s="34" t="s">
        <v>29</v>
      </c>
      <c r="I146" s="34" t="s">
        <v>30</v>
      </c>
      <c r="J146" s="34" t="s">
        <v>31</v>
      </c>
      <c r="M146" s="41">
        <v>46</v>
      </c>
      <c r="N146" s="41">
        <v>750</v>
      </c>
      <c r="O146" s="42" t="s">
        <v>105</v>
      </c>
      <c r="P146" s="41" t="s">
        <v>560</v>
      </c>
      <c r="Q146" s="34"/>
    </row>
    <row r="147" spans="1:28" x14ac:dyDescent="0.2">
      <c r="A147" s="34" t="s">
        <v>24</v>
      </c>
      <c r="B147" s="41">
        <v>1</v>
      </c>
      <c r="C147" s="42">
        <v>2017</v>
      </c>
      <c r="D147" s="41" t="s">
        <v>240</v>
      </c>
      <c r="E147" s="43" t="s">
        <v>615</v>
      </c>
      <c r="F147" s="34" t="s">
        <v>390</v>
      </c>
      <c r="G147" s="34" t="s">
        <v>28</v>
      </c>
      <c r="H147" s="34" t="s">
        <v>29</v>
      </c>
      <c r="I147" s="34" t="s">
        <v>30</v>
      </c>
      <c r="J147" s="34" t="s">
        <v>31</v>
      </c>
      <c r="M147" s="41">
        <v>40</v>
      </c>
      <c r="N147" s="41">
        <v>750</v>
      </c>
      <c r="O147" s="42" t="s">
        <v>105</v>
      </c>
      <c r="P147" s="41" t="s">
        <v>560</v>
      </c>
      <c r="Q147" s="34"/>
    </row>
    <row r="148" spans="1:28" x14ac:dyDescent="0.2">
      <c r="A148" s="34" t="s">
        <v>24</v>
      </c>
      <c r="B148" s="41">
        <v>1</v>
      </c>
      <c r="C148" s="42">
        <v>2017</v>
      </c>
      <c r="D148" s="41" t="s">
        <v>202</v>
      </c>
      <c r="E148" s="43" t="s">
        <v>203</v>
      </c>
      <c r="F148" s="34" t="s">
        <v>27</v>
      </c>
      <c r="G148" s="34" t="s">
        <v>28</v>
      </c>
      <c r="H148" s="34" t="s">
        <v>29</v>
      </c>
      <c r="I148" s="34" t="s">
        <v>30</v>
      </c>
      <c r="J148" s="34" t="s">
        <v>31</v>
      </c>
      <c r="M148" s="41">
        <v>110</v>
      </c>
      <c r="N148" s="41">
        <v>750</v>
      </c>
      <c r="O148" s="42" t="s">
        <v>105</v>
      </c>
      <c r="P148" s="41" t="s">
        <v>560</v>
      </c>
      <c r="Q148" s="34"/>
    </row>
    <row r="149" spans="1:28" x14ac:dyDescent="0.2">
      <c r="A149" s="34" t="s">
        <v>24</v>
      </c>
      <c r="B149" s="41">
        <v>1</v>
      </c>
      <c r="C149" s="42">
        <v>2017</v>
      </c>
      <c r="D149" s="41" t="s">
        <v>154</v>
      </c>
      <c r="E149" s="43" t="s">
        <v>295</v>
      </c>
      <c r="F149" s="34" t="s">
        <v>27</v>
      </c>
      <c r="G149" s="34" t="s">
        <v>28</v>
      </c>
      <c r="H149" s="34" t="s">
        <v>29</v>
      </c>
      <c r="I149" s="34" t="s">
        <v>30</v>
      </c>
      <c r="J149" s="34" t="s">
        <v>31</v>
      </c>
      <c r="L149" s="34" t="s">
        <v>294</v>
      </c>
      <c r="M149" s="41">
        <v>450</v>
      </c>
      <c r="N149" s="41">
        <v>750</v>
      </c>
      <c r="O149" s="42" t="s">
        <v>105</v>
      </c>
      <c r="P149" s="41" t="s">
        <v>537</v>
      </c>
      <c r="Q149" s="34"/>
    </row>
    <row r="150" spans="1:28" x14ac:dyDescent="0.2">
      <c r="A150" s="34" t="s">
        <v>24</v>
      </c>
      <c r="B150" s="41">
        <v>1</v>
      </c>
      <c r="C150" s="42">
        <v>2018</v>
      </c>
      <c r="D150" s="41" t="s">
        <v>517</v>
      </c>
      <c r="E150" s="43" t="s">
        <v>518</v>
      </c>
      <c r="F150" s="34" t="s">
        <v>40</v>
      </c>
      <c r="G150" s="34" t="s">
        <v>41</v>
      </c>
      <c r="H150" s="34"/>
      <c r="J150" s="34" t="s">
        <v>616</v>
      </c>
      <c r="K150" s="34" t="s">
        <v>617</v>
      </c>
      <c r="L150" s="34"/>
      <c r="M150" s="41"/>
      <c r="N150" s="41">
        <v>1500</v>
      </c>
      <c r="O150" s="42" t="s">
        <v>105</v>
      </c>
      <c r="P150" s="41" t="s">
        <v>529</v>
      </c>
      <c r="Q150" s="34"/>
    </row>
    <row r="151" spans="1:28" x14ac:dyDescent="0.2">
      <c r="A151" s="34" t="s">
        <v>24</v>
      </c>
      <c r="B151" s="41">
        <v>4</v>
      </c>
      <c r="C151" s="42">
        <v>2019</v>
      </c>
      <c r="D151" s="41" t="s">
        <v>329</v>
      </c>
      <c r="E151" s="43" t="s">
        <v>367</v>
      </c>
      <c r="F151" s="34" t="s">
        <v>27</v>
      </c>
      <c r="G151" s="34" t="s">
        <v>28</v>
      </c>
      <c r="H151" s="34" t="s">
        <v>29</v>
      </c>
      <c r="I151" s="34" t="s">
        <v>30</v>
      </c>
      <c r="J151" s="34" t="s">
        <v>31</v>
      </c>
      <c r="M151" s="41">
        <v>100</v>
      </c>
      <c r="N151" s="41">
        <v>750</v>
      </c>
      <c r="O151" s="42" t="s">
        <v>105</v>
      </c>
      <c r="P151" s="41" t="s">
        <v>441</v>
      </c>
      <c r="Q151" s="34"/>
    </row>
    <row r="152" spans="1:28" x14ac:dyDescent="0.2">
      <c r="A152" s="34" t="s">
        <v>44</v>
      </c>
      <c r="B152" s="41">
        <v>2</v>
      </c>
      <c r="C152" s="42" t="s">
        <v>75</v>
      </c>
      <c r="D152" s="41" t="s">
        <v>103</v>
      </c>
      <c r="E152" s="43" t="s">
        <v>391</v>
      </c>
      <c r="F152" s="34" t="s">
        <v>40</v>
      </c>
      <c r="G152" s="34" t="s">
        <v>28</v>
      </c>
      <c r="H152" s="34" t="s">
        <v>29</v>
      </c>
      <c r="I152" s="34" t="s">
        <v>30</v>
      </c>
      <c r="M152" s="41">
        <v>40</v>
      </c>
      <c r="N152" s="41">
        <v>750</v>
      </c>
      <c r="O152" s="42" t="s">
        <v>105</v>
      </c>
      <c r="P152" s="41">
        <v>11</v>
      </c>
      <c r="Q152" s="34"/>
    </row>
    <row r="153" spans="1:28" x14ac:dyDescent="0.2">
      <c r="A153" s="34" t="s">
        <v>24</v>
      </c>
      <c r="B153" s="41">
        <v>1</v>
      </c>
      <c r="C153" s="42" t="s">
        <v>566</v>
      </c>
      <c r="D153" s="41" t="s">
        <v>335</v>
      </c>
      <c r="E153" s="43" t="s">
        <v>336</v>
      </c>
      <c r="F153" s="34" t="s">
        <v>191</v>
      </c>
      <c r="G153" s="34" t="s">
        <v>28</v>
      </c>
      <c r="H153" s="34" t="s">
        <v>29</v>
      </c>
      <c r="I153" s="34" t="s">
        <v>30</v>
      </c>
      <c r="J153" s="34" t="s">
        <v>338</v>
      </c>
      <c r="L153" s="34" t="s">
        <v>339</v>
      </c>
      <c r="M153" s="41">
        <v>40</v>
      </c>
      <c r="N153" s="41">
        <v>750</v>
      </c>
      <c r="O153" s="42" t="s">
        <v>105</v>
      </c>
      <c r="P153" s="41" t="s">
        <v>151</v>
      </c>
      <c r="Q153" s="34"/>
    </row>
    <row r="154" spans="1:28" x14ac:dyDescent="0.2">
      <c r="A154" s="34" t="s">
        <v>24</v>
      </c>
      <c r="B154" s="34">
        <v>1</v>
      </c>
      <c r="C154" s="34">
        <v>2018</v>
      </c>
      <c r="D154" s="34" t="s">
        <v>343</v>
      </c>
      <c r="E154" s="34" t="s">
        <v>344</v>
      </c>
      <c r="F154" s="34" t="s">
        <v>27</v>
      </c>
      <c r="G154" s="34" t="s">
        <v>28</v>
      </c>
      <c r="H154" s="34" t="s">
        <v>29</v>
      </c>
      <c r="I154" s="34" t="s">
        <v>30</v>
      </c>
      <c r="J154" s="34" t="s">
        <v>31</v>
      </c>
      <c r="K154" s="34" t="s">
        <v>32</v>
      </c>
      <c r="M154" s="34">
        <v>185</v>
      </c>
      <c r="N154" s="34">
        <v>750</v>
      </c>
      <c r="O154" s="42" t="s">
        <v>53</v>
      </c>
      <c r="Q154" s="34"/>
    </row>
    <row r="155" spans="1:28" x14ac:dyDescent="0.2">
      <c r="A155" s="34" t="s">
        <v>24</v>
      </c>
      <c r="B155" s="34">
        <v>1</v>
      </c>
      <c r="C155" s="34">
        <v>2018</v>
      </c>
      <c r="D155" s="34" t="s">
        <v>317</v>
      </c>
      <c r="E155" s="34" t="s">
        <v>318</v>
      </c>
      <c r="F155" s="34" t="s">
        <v>27</v>
      </c>
      <c r="G155" s="34" t="s">
        <v>28</v>
      </c>
      <c r="H155" s="34" t="s">
        <v>29</v>
      </c>
      <c r="I155" s="34" t="s">
        <v>30</v>
      </c>
      <c r="J155" s="34" t="s">
        <v>31</v>
      </c>
      <c r="M155" s="34">
        <v>255</v>
      </c>
      <c r="N155" s="34">
        <v>750</v>
      </c>
      <c r="O155" s="42" t="s">
        <v>53</v>
      </c>
      <c r="Q155" s="34"/>
    </row>
    <row r="156" spans="1:28" x14ac:dyDescent="0.2">
      <c r="A156" s="34" t="s">
        <v>24</v>
      </c>
      <c r="B156" s="34">
        <v>2</v>
      </c>
      <c r="C156" s="34">
        <v>2018</v>
      </c>
      <c r="D156" s="34" t="s">
        <v>317</v>
      </c>
      <c r="E156" s="34" t="s">
        <v>156</v>
      </c>
      <c r="F156" s="34" t="s">
        <v>156</v>
      </c>
      <c r="G156" s="34" t="s">
        <v>28</v>
      </c>
      <c r="H156" s="34" t="s">
        <v>29</v>
      </c>
      <c r="I156" s="34" t="s">
        <v>30</v>
      </c>
      <c r="J156" s="34" t="s">
        <v>31</v>
      </c>
      <c r="M156" s="34">
        <v>80</v>
      </c>
      <c r="N156" s="34">
        <v>750</v>
      </c>
      <c r="O156" s="42" t="s">
        <v>34</v>
      </c>
      <c r="Q156" s="34"/>
    </row>
    <row r="157" spans="1:28" x14ac:dyDescent="0.2">
      <c r="A157" s="34" t="s">
        <v>24</v>
      </c>
      <c r="B157" s="34">
        <v>1</v>
      </c>
      <c r="C157" s="34">
        <v>2016</v>
      </c>
      <c r="D157" s="34" t="s">
        <v>240</v>
      </c>
      <c r="E157" s="34" t="s">
        <v>156</v>
      </c>
      <c r="F157" s="34" t="s">
        <v>156</v>
      </c>
      <c r="G157" s="34" t="s">
        <v>28</v>
      </c>
      <c r="H157" s="34" t="s">
        <v>29</v>
      </c>
      <c r="I157" s="34" t="s">
        <v>30</v>
      </c>
      <c r="J157" s="34" t="s">
        <v>31</v>
      </c>
      <c r="K157" s="34" t="s">
        <v>241</v>
      </c>
      <c r="M157" s="34">
        <v>120</v>
      </c>
      <c r="N157" s="34">
        <v>1500</v>
      </c>
      <c r="O157" s="42" t="s">
        <v>53</v>
      </c>
      <c r="Q157" s="34"/>
    </row>
    <row r="158" spans="1:28" x14ac:dyDescent="0.2">
      <c r="A158" s="34" t="s">
        <v>24</v>
      </c>
      <c r="B158" s="41">
        <v>0</v>
      </c>
      <c r="C158" s="42">
        <v>2015</v>
      </c>
      <c r="D158" s="41" t="s">
        <v>618</v>
      </c>
      <c r="E158" s="43" t="s">
        <v>619</v>
      </c>
      <c r="F158" s="34" t="s">
        <v>235</v>
      </c>
      <c r="G158" s="34" t="s">
        <v>28</v>
      </c>
      <c r="H158" s="34" t="s">
        <v>29</v>
      </c>
      <c r="I158" s="34" t="s">
        <v>30</v>
      </c>
      <c r="J158" s="34" t="s">
        <v>31</v>
      </c>
      <c r="K158" s="41"/>
      <c r="L158" s="41"/>
      <c r="M158" s="41">
        <v>60</v>
      </c>
      <c r="N158" s="41">
        <v>750</v>
      </c>
      <c r="O158" s="42" t="s">
        <v>34</v>
      </c>
      <c r="P158" s="41">
        <v>19</v>
      </c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pans="1:28" x14ac:dyDescent="0.2">
      <c r="A159" s="34" t="s">
        <v>24</v>
      </c>
      <c r="B159" s="41">
        <v>1</v>
      </c>
      <c r="C159" s="42">
        <v>2015</v>
      </c>
      <c r="D159" s="41" t="s">
        <v>99</v>
      </c>
      <c r="E159" s="43" t="s">
        <v>620</v>
      </c>
      <c r="F159" s="34" t="s">
        <v>156</v>
      </c>
      <c r="G159" s="34" t="s">
        <v>28</v>
      </c>
      <c r="H159" s="34" t="s">
        <v>29</v>
      </c>
      <c r="I159" s="34" t="s">
        <v>30</v>
      </c>
      <c r="J159" s="34" t="s">
        <v>31</v>
      </c>
      <c r="K159" s="41" t="s">
        <v>176</v>
      </c>
      <c r="L159" s="41"/>
      <c r="M159" s="41">
        <v>60</v>
      </c>
      <c r="N159" s="41">
        <v>750</v>
      </c>
      <c r="O159" s="42" t="s">
        <v>47</v>
      </c>
      <c r="P159" s="41">
        <v>19</v>
      </c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x14ac:dyDescent="0.2">
      <c r="A160" s="34" t="s">
        <v>24</v>
      </c>
      <c r="B160" s="41">
        <v>1</v>
      </c>
      <c r="C160" s="42">
        <v>2013</v>
      </c>
      <c r="D160" s="41" t="s">
        <v>99</v>
      </c>
      <c r="E160" s="43" t="s">
        <v>269</v>
      </c>
      <c r="F160" s="34" t="s">
        <v>27</v>
      </c>
      <c r="G160" s="34" t="s">
        <v>28</v>
      </c>
      <c r="H160" s="34" t="s">
        <v>29</v>
      </c>
      <c r="I160" s="34" t="s">
        <v>30</v>
      </c>
      <c r="J160" s="34" t="s">
        <v>31</v>
      </c>
      <c r="K160" s="41"/>
      <c r="L160" s="41"/>
      <c r="M160" s="41">
        <v>85</v>
      </c>
      <c r="N160" s="41">
        <v>750</v>
      </c>
      <c r="O160" s="42" t="s">
        <v>105</v>
      </c>
      <c r="P160" s="41">
        <v>19</v>
      </c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x14ac:dyDescent="0.2">
      <c r="A161" s="34" t="s">
        <v>24</v>
      </c>
      <c r="B161" s="41">
        <v>1</v>
      </c>
      <c r="C161" s="42">
        <v>2013</v>
      </c>
      <c r="D161" s="41" t="s">
        <v>99</v>
      </c>
      <c r="E161" s="43" t="s">
        <v>117</v>
      </c>
      <c r="F161" s="34" t="s">
        <v>27</v>
      </c>
      <c r="G161" s="34" t="s">
        <v>28</v>
      </c>
      <c r="H161" s="34" t="s">
        <v>29</v>
      </c>
      <c r="I161" s="34" t="s">
        <v>30</v>
      </c>
      <c r="J161" s="34" t="s">
        <v>31</v>
      </c>
      <c r="K161" s="41"/>
      <c r="L161" s="41"/>
      <c r="M161" s="41">
        <v>100</v>
      </c>
      <c r="N161" s="41">
        <v>750</v>
      </c>
      <c r="O161" s="42" t="s">
        <v>105</v>
      </c>
      <c r="P161" s="41">
        <v>19</v>
      </c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pans="1:28" x14ac:dyDescent="0.2">
      <c r="A162" s="34" t="s">
        <v>24</v>
      </c>
      <c r="B162" s="41">
        <v>1</v>
      </c>
      <c r="C162" s="42">
        <v>2013</v>
      </c>
      <c r="D162" s="41" t="s">
        <v>99</v>
      </c>
      <c r="E162" s="43" t="s">
        <v>111</v>
      </c>
      <c r="F162" s="34" t="s">
        <v>27</v>
      </c>
      <c r="G162" s="34" t="s">
        <v>28</v>
      </c>
      <c r="H162" s="34" t="s">
        <v>29</v>
      </c>
      <c r="I162" s="34" t="s">
        <v>30</v>
      </c>
      <c r="J162" s="34" t="s">
        <v>31</v>
      </c>
      <c r="K162" s="41" t="s">
        <v>112</v>
      </c>
      <c r="L162" s="41" t="s">
        <v>113</v>
      </c>
      <c r="M162" s="41">
        <v>140</v>
      </c>
      <c r="N162" s="41">
        <v>750</v>
      </c>
      <c r="O162" s="42" t="s">
        <v>53</v>
      </c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x14ac:dyDescent="0.2">
      <c r="A163" s="34" t="s">
        <v>24</v>
      </c>
      <c r="B163" s="41">
        <v>1</v>
      </c>
      <c r="C163" s="42">
        <v>2013</v>
      </c>
      <c r="D163" s="41" t="s">
        <v>99</v>
      </c>
      <c r="E163" s="43" t="s">
        <v>100</v>
      </c>
      <c r="F163" s="34" t="s">
        <v>27</v>
      </c>
      <c r="G163" s="34" t="s">
        <v>28</v>
      </c>
      <c r="H163" s="34" t="s">
        <v>29</v>
      </c>
      <c r="I163" s="34" t="s">
        <v>30</v>
      </c>
      <c r="J163" s="34" t="s">
        <v>31</v>
      </c>
      <c r="K163" s="41" t="s">
        <v>101</v>
      </c>
      <c r="L163" s="41" t="s">
        <v>102</v>
      </c>
      <c r="M163" s="41">
        <v>140</v>
      </c>
      <c r="N163" s="41">
        <v>750</v>
      </c>
      <c r="O163" s="42" t="s">
        <v>53</v>
      </c>
      <c r="P163" s="41">
        <v>19</v>
      </c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spans="1:28" x14ac:dyDescent="0.2">
      <c r="A164" s="34" t="s">
        <v>24</v>
      </c>
      <c r="B164" s="41">
        <v>1</v>
      </c>
      <c r="C164" s="42">
        <v>2015</v>
      </c>
      <c r="D164" s="41" t="s">
        <v>172</v>
      </c>
      <c r="E164" s="43" t="s">
        <v>185</v>
      </c>
      <c r="F164" s="34" t="s">
        <v>27</v>
      </c>
      <c r="G164" s="34" t="s">
        <v>28</v>
      </c>
      <c r="H164" s="34" t="s">
        <v>29</v>
      </c>
      <c r="I164" s="34" t="s">
        <v>30</v>
      </c>
      <c r="J164" s="34" t="s">
        <v>31</v>
      </c>
      <c r="K164" s="41" t="s">
        <v>186</v>
      </c>
      <c r="L164" s="41" t="s">
        <v>187</v>
      </c>
      <c r="M164" s="41">
        <v>121</v>
      </c>
      <c r="N164" s="41">
        <v>750</v>
      </c>
      <c r="O164" s="42" t="s">
        <v>34</v>
      </c>
      <c r="P164" s="41">
        <v>20</v>
      </c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spans="1:28" x14ac:dyDescent="0.2">
      <c r="A165" s="34" t="s">
        <v>24</v>
      </c>
      <c r="B165" s="41">
        <v>1</v>
      </c>
      <c r="C165" s="42">
        <v>2015</v>
      </c>
      <c r="D165" s="41" t="s">
        <v>84</v>
      </c>
      <c r="E165" s="43">
        <v>1873</v>
      </c>
      <c r="F165" s="34" t="s">
        <v>27</v>
      </c>
      <c r="G165" s="34" t="s">
        <v>28</v>
      </c>
      <c r="H165" s="34" t="s">
        <v>29</v>
      </c>
      <c r="I165" s="34" t="s">
        <v>30</v>
      </c>
      <c r="J165" s="34" t="s">
        <v>31</v>
      </c>
      <c r="K165" s="41"/>
      <c r="L165" s="41"/>
      <c r="M165" s="41">
        <v>85</v>
      </c>
      <c r="N165" s="41">
        <v>750</v>
      </c>
      <c r="O165" s="42" t="s">
        <v>47</v>
      </c>
      <c r="P165" s="41">
        <v>20</v>
      </c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spans="1:28" x14ac:dyDescent="0.2">
      <c r="A166" s="34" t="s">
        <v>24</v>
      </c>
      <c r="B166" s="41">
        <v>1</v>
      </c>
      <c r="C166" s="42">
        <v>2014</v>
      </c>
      <c r="D166" s="41" t="s">
        <v>84</v>
      </c>
      <c r="E166" s="43" t="s">
        <v>152</v>
      </c>
      <c r="F166" s="34" t="s">
        <v>27</v>
      </c>
      <c r="G166" s="34" t="s">
        <v>28</v>
      </c>
      <c r="H166" s="34" t="s">
        <v>29</v>
      </c>
      <c r="I166" s="34" t="s">
        <v>30</v>
      </c>
      <c r="J166" s="34" t="s">
        <v>31</v>
      </c>
      <c r="K166" s="41"/>
      <c r="L166" s="41"/>
      <c r="M166" s="41">
        <v>150</v>
      </c>
      <c r="N166" s="41">
        <v>750</v>
      </c>
      <c r="O166" s="42" t="s">
        <v>34</v>
      </c>
      <c r="P166" s="41">
        <v>20</v>
      </c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spans="1:28" x14ac:dyDescent="0.2">
      <c r="A167" s="34" t="s">
        <v>24</v>
      </c>
      <c r="B167" s="41">
        <v>1</v>
      </c>
      <c r="C167" s="42">
        <v>2015</v>
      </c>
      <c r="D167" s="41" t="s">
        <v>84</v>
      </c>
      <c r="E167" s="43" t="s">
        <v>266</v>
      </c>
      <c r="F167" s="34" t="s">
        <v>27</v>
      </c>
      <c r="G167" s="34" t="s">
        <v>28</v>
      </c>
      <c r="H167" s="34" t="s">
        <v>29</v>
      </c>
      <c r="I167" s="34" t="s">
        <v>30</v>
      </c>
      <c r="J167" s="34" t="s">
        <v>31</v>
      </c>
      <c r="K167" s="41"/>
      <c r="L167" s="41"/>
      <c r="M167" s="41">
        <v>70</v>
      </c>
      <c r="N167" s="41">
        <v>750</v>
      </c>
      <c r="O167" s="42" t="s">
        <v>47</v>
      </c>
      <c r="P167" s="41">
        <v>20</v>
      </c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pans="1:28" x14ac:dyDescent="0.2">
      <c r="A168" s="34" t="s">
        <v>24</v>
      </c>
      <c r="B168" s="41">
        <v>1</v>
      </c>
      <c r="C168" s="42">
        <v>2016</v>
      </c>
      <c r="D168" s="41" t="s">
        <v>84</v>
      </c>
      <c r="E168" s="43" t="s">
        <v>201</v>
      </c>
      <c r="F168" s="34" t="s">
        <v>27</v>
      </c>
      <c r="G168" s="34" t="s">
        <v>28</v>
      </c>
      <c r="H168" s="34" t="s">
        <v>29</v>
      </c>
      <c r="I168" s="34" t="s">
        <v>30</v>
      </c>
      <c r="J168" s="34" t="s">
        <v>31</v>
      </c>
      <c r="K168" s="41"/>
      <c r="L168" s="41"/>
      <c r="M168" s="41">
        <v>80</v>
      </c>
      <c r="N168" s="41">
        <v>750</v>
      </c>
      <c r="O168" s="42" t="s">
        <v>53</v>
      </c>
      <c r="P168" s="41">
        <v>20</v>
      </c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pans="1:28" x14ac:dyDescent="0.2">
      <c r="A169" s="34" t="s">
        <v>24</v>
      </c>
      <c r="B169" s="41">
        <v>1</v>
      </c>
      <c r="C169" s="42">
        <v>2016</v>
      </c>
      <c r="D169" s="41" t="s">
        <v>84</v>
      </c>
      <c r="E169" s="43" t="s">
        <v>222</v>
      </c>
      <c r="F169" s="34" t="s">
        <v>27</v>
      </c>
      <c r="G169" s="34" t="s">
        <v>28</v>
      </c>
      <c r="H169" s="34" t="s">
        <v>29</v>
      </c>
      <c r="I169" s="34" t="s">
        <v>30</v>
      </c>
      <c r="J169" s="34" t="s">
        <v>31</v>
      </c>
      <c r="K169" s="41"/>
      <c r="L169" s="41"/>
      <c r="M169" s="41">
        <v>165</v>
      </c>
      <c r="N169" s="41">
        <v>750</v>
      </c>
      <c r="O169" s="42" t="s">
        <v>34</v>
      </c>
      <c r="P169" s="41">
        <v>20</v>
      </c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spans="1:28" x14ac:dyDescent="0.2">
      <c r="A170" s="34" t="s">
        <v>24</v>
      </c>
      <c r="B170" s="41">
        <v>1</v>
      </c>
      <c r="C170" s="42">
        <v>2015</v>
      </c>
      <c r="D170" s="41" t="s">
        <v>84</v>
      </c>
      <c r="E170" s="43" t="s">
        <v>184</v>
      </c>
      <c r="F170" s="34" t="s">
        <v>27</v>
      </c>
      <c r="G170" s="34" t="s">
        <v>28</v>
      </c>
      <c r="H170" s="34" t="s">
        <v>29</v>
      </c>
      <c r="I170" s="34" t="s">
        <v>30</v>
      </c>
      <c r="J170" s="34" t="s">
        <v>31</v>
      </c>
      <c r="K170" s="41"/>
      <c r="L170" s="41"/>
      <c r="M170" s="41">
        <v>180</v>
      </c>
      <c r="N170" s="41">
        <v>750</v>
      </c>
      <c r="O170" s="42" t="s">
        <v>53</v>
      </c>
      <c r="P170" s="41">
        <v>20</v>
      </c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pans="1:28" x14ac:dyDescent="0.2">
      <c r="Q171" s="34"/>
    </row>
    <row r="172" spans="1:28" x14ac:dyDescent="0.2">
      <c r="Q172" s="34"/>
    </row>
    <row r="173" spans="1:28" x14ac:dyDescent="0.2">
      <c r="Q173" s="34"/>
    </row>
    <row r="174" spans="1:28" x14ac:dyDescent="0.2">
      <c r="Q174" s="34"/>
    </row>
    <row r="175" spans="1:28" x14ac:dyDescent="0.2">
      <c r="Q175" s="34"/>
    </row>
    <row r="176" spans="1:28" x14ac:dyDescent="0.2">
      <c r="Q176" s="34"/>
    </row>
    <row r="177" spans="17:17" x14ac:dyDescent="0.2">
      <c r="Q177" s="34"/>
    </row>
    <row r="178" spans="17:17" x14ac:dyDescent="0.2">
      <c r="Q178" s="34"/>
    </row>
    <row r="179" spans="17:17" x14ac:dyDescent="0.2">
      <c r="Q179" s="34"/>
    </row>
    <row r="180" spans="17:17" x14ac:dyDescent="0.2">
      <c r="Q180" s="34"/>
    </row>
    <row r="181" spans="17:17" x14ac:dyDescent="0.2">
      <c r="Q181" s="34"/>
    </row>
    <row r="182" spans="17:17" x14ac:dyDescent="0.2">
      <c r="Q182" s="34"/>
    </row>
    <row r="183" spans="17:17" x14ac:dyDescent="0.2">
      <c r="Q183" s="34"/>
    </row>
    <row r="184" spans="17:17" x14ac:dyDescent="0.2">
      <c r="Q184" s="34"/>
    </row>
    <row r="185" spans="17:17" x14ac:dyDescent="0.2">
      <c r="Q185" s="34"/>
    </row>
    <row r="186" spans="17:17" x14ac:dyDescent="0.2">
      <c r="Q186" s="34"/>
    </row>
    <row r="187" spans="17:17" x14ac:dyDescent="0.2">
      <c r="Q187" s="34"/>
    </row>
    <row r="188" spans="17:17" x14ac:dyDescent="0.2">
      <c r="Q188" s="34"/>
    </row>
    <row r="189" spans="17:17" x14ac:dyDescent="0.2">
      <c r="Q189" s="34"/>
    </row>
    <row r="190" spans="17:17" x14ac:dyDescent="0.2">
      <c r="Q190" s="34"/>
    </row>
    <row r="191" spans="17:17" x14ac:dyDescent="0.2">
      <c r="Q191" s="34"/>
    </row>
    <row r="192" spans="17:17" x14ac:dyDescent="0.2">
      <c r="Q192" s="34"/>
    </row>
    <row r="193" spans="17:17" x14ac:dyDescent="0.2">
      <c r="Q193" s="34"/>
    </row>
    <row r="194" spans="17:17" x14ac:dyDescent="0.2">
      <c r="Q194" s="34"/>
    </row>
    <row r="195" spans="17:17" x14ac:dyDescent="0.2">
      <c r="Q195" s="34"/>
    </row>
    <row r="196" spans="17:17" x14ac:dyDescent="0.2">
      <c r="Q196" s="34"/>
    </row>
    <row r="197" spans="17:17" x14ac:dyDescent="0.2">
      <c r="Q197" s="34"/>
    </row>
    <row r="198" spans="17:17" x14ac:dyDescent="0.2">
      <c r="Q198" s="34"/>
    </row>
    <row r="199" spans="17:17" x14ac:dyDescent="0.2">
      <c r="Q199" s="34"/>
    </row>
    <row r="200" spans="17:17" x14ac:dyDescent="0.2">
      <c r="Q200" s="34"/>
    </row>
    <row r="201" spans="17:17" x14ac:dyDescent="0.2">
      <c r="Q201" s="34"/>
    </row>
    <row r="202" spans="17:17" x14ac:dyDescent="0.2">
      <c r="Q202" s="34"/>
    </row>
    <row r="203" spans="17:17" x14ac:dyDescent="0.2">
      <c r="Q203" s="34"/>
    </row>
    <row r="204" spans="17:17" x14ac:dyDescent="0.2">
      <c r="Q204" s="34"/>
    </row>
    <row r="205" spans="17:17" x14ac:dyDescent="0.2">
      <c r="Q205" s="34"/>
    </row>
    <row r="206" spans="17:17" x14ac:dyDescent="0.2">
      <c r="Q206" s="34"/>
    </row>
    <row r="207" spans="17:17" x14ac:dyDescent="0.2">
      <c r="Q207" s="34"/>
    </row>
    <row r="208" spans="17:17" x14ac:dyDescent="0.2">
      <c r="Q208" s="34"/>
    </row>
    <row r="209" spans="17:17" x14ac:dyDescent="0.2">
      <c r="Q209" s="34"/>
    </row>
    <row r="210" spans="17:17" x14ac:dyDescent="0.2">
      <c r="Q210" s="34"/>
    </row>
    <row r="211" spans="17:17" x14ac:dyDescent="0.2">
      <c r="Q211" s="34"/>
    </row>
    <row r="212" spans="17:17" x14ac:dyDescent="0.2">
      <c r="Q212" s="34"/>
    </row>
    <row r="213" spans="17:17" x14ac:dyDescent="0.2">
      <c r="Q213" s="34"/>
    </row>
    <row r="214" spans="17:17" x14ac:dyDescent="0.2">
      <c r="Q214" s="34"/>
    </row>
    <row r="215" spans="17:17" x14ac:dyDescent="0.2">
      <c r="Q215" s="34"/>
    </row>
    <row r="216" spans="17:17" x14ac:dyDescent="0.2">
      <c r="Q216" s="34"/>
    </row>
    <row r="217" spans="17:17" x14ac:dyDescent="0.2">
      <c r="Q217" s="34"/>
    </row>
    <row r="218" spans="17:17" x14ac:dyDescent="0.2">
      <c r="Q218" s="34"/>
    </row>
    <row r="219" spans="17:17" x14ac:dyDescent="0.2">
      <c r="Q219" s="34"/>
    </row>
    <row r="220" spans="17:17" x14ac:dyDescent="0.2">
      <c r="Q220" s="34"/>
    </row>
    <row r="221" spans="17:17" x14ac:dyDescent="0.2">
      <c r="Q221" s="34"/>
    </row>
    <row r="222" spans="17:17" x14ac:dyDescent="0.2">
      <c r="Q222" s="34"/>
    </row>
    <row r="223" spans="17:17" x14ac:dyDescent="0.2">
      <c r="Q223" s="34"/>
    </row>
    <row r="224" spans="17:17" x14ac:dyDescent="0.2">
      <c r="Q224" s="34"/>
    </row>
    <row r="225" spans="17:17" x14ac:dyDescent="0.2">
      <c r="Q225" s="34"/>
    </row>
    <row r="226" spans="17:17" x14ac:dyDescent="0.2">
      <c r="Q226" s="34"/>
    </row>
    <row r="227" spans="17:17" x14ac:dyDescent="0.2">
      <c r="Q227" s="34"/>
    </row>
    <row r="228" spans="17:17" x14ac:dyDescent="0.2">
      <c r="Q228" s="34"/>
    </row>
    <row r="229" spans="17:17" x14ac:dyDescent="0.2">
      <c r="Q229" s="34"/>
    </row>
    <row r="230" spans="17:17" x14ac:dyDescent="0.2">
      <c r="Q230" s="34"/>
    </row>
    <row r="231" spans="17:17" x14ac:dyDescent="0.2">
      <c r="Q231" s="34"/>
    </row>
    <row r="232" spans="17:17" x14ac:dyDescent="0.2">
      <c r="Q232" s="34"/>
    </row>
    <row r="233" spans="17:17" x14ac:dyDescent="0.2">
      <c r="Q233" s="34"/>
    </row>
    <row r="234" spans="17:17" x14ac:dyDescent="0.2">
      <c r="Q234" s="34"/>
    </row>
    <row r="235" spans="17:17" x14ac:dyDescent="0.2">
      <c r="Q235" s="34"/>
    </row>
    <row r="236" spans="17:17" x14ac:dyDescent="0.2">
      <c r="Q236" s="34"/>
    </row>
    <row r="237" spans="17:17" x14ac:dyDescent="0.2">
      <c r="Q237" s="34"/>
    </row>
    <row r="238" spans="17:17" x14ac:dyDescent="0.2">
      <c r="Q238" s="34"/>
    </row>
    <row r="239" spans="17:17" x14ac:dyDescent="0.2">
      <c r="Q239" s="34"/>
    </row>
    <row r="240" spans="17:17" x14ac:dyDescent="0.2">
      <c r="Q240" s="34"/>
    </row>
    <row r="241" spans="17:17" x14ac:dyDescent="0.2">
      <c r="Q241" s="34"/>
    </row>
    <row r="242" spans="17:17" x14ac:dyDescent="0.2">
      <c r="Q242" s="34"/>
    </row>
    <row r="243" spans="17:17" x14ac:dyDescent="0.2">
      <c r="Q243" s="34"/>
    </row>
    <row r="244" spans="17:17" x14ac:dyDescent="0.2">
      <c r="Q244" s="34"/>
    </row>
    <row r="245" spans="17:17" x14ac:dyDescent="0.2">
      <c r="Q245" s="34"/>
    </row>
    <row r="246" spans="17:17" x14ac:dyDescent="0.2">
      <c r="Q246" s="34"/>
    </row>
    <row r="247" spans="17:17" x14ac:dyDescent="0.2">
      <c r="Q247" s="34"/>
    </row>
    <row r="248" spans="17:17" x14ac:dyDescent="0.2">
      <c r="Q248" s="34"/>
    </row>
    <row r="249" spans="17:17" x14ac:dyDescent="0.2">
      <c r="Q249" s="34"/>
    </row>
    <row r="250" spans="17:17" x14ac:dyDescent="0.2">
      <c r="Q250" s="34"/>
    </row>
    <row r="251" spans="17:17" x14ac:dyDescent="0.2">
      <c r="Q251" s="34"/>
    </row>
    <row r="252" spans="17:17" x14ac:dyDescent="0.2">
      <c r="Q252" s="34"/>
    </row>
    <row r="253" spans="17:17" x14ac:dyDescent="0.2">
      <c r="Q253" s="34"/>
    </row>
    <row r="254" spans="17:17" x14ac:dyDescent="0.2">
      <c r="Q254" s="34"/>
    </row>
    <row r="255" spans="17:17" x14ac:dyDescent="0.2">
      <c r="Q255" s="34"/>
    </row>
    <row r="256" spans="17:17" x14ac:dyDescent="0.2">
      <c r="Q256" s="34"/>
    </row>
    <row r="257" spans="17:17" x14ac:dyDescent="0.2">
      <c r="Q257" s="34"/>
    </row>
    <row r="258" spans="17:17" x14ac:dyDescent="0.2">
      <c r="Q258" s="34"/>
    </row>
    <row r="259" spans="17:17" x14ac:dyDescent="0.2">
      <c r="Q259" s="34"/>
    </row>
    <row r="260" spans="17:17" x14ac:dyDescent="0.2">
      <c r="Q260" s="34"/>
    </row>
    <row r="261" spans="17:17" x14ac:dyDescent="0.2">
      <c r="Q261" s="34"/>
    </row>
    <row r="262" spans="17:17" x14ac:dyDescent="0.2">
      <c r="Q262" s="34"/>
    </row>
    <row r="263" spans="17:17" x14ac:dyDescent="0.2">
      <c r="Q263" s="34"/>
    </row>
    <row r="264" spans="17:17" x14ac:dyDescent="0.2">
      <c r="Q264" s="34"/>
    </row>
    <row r="265" spans="17:17" x14ac:dyDescent="0.2">
      <c r="Q265" s="34"/>
    </row>
    <row r="266" spans="17:17" x14ac:dyDescent="0.2">
      <c r="Q266" s="34"/>
    </row>
    <row r="267" spans="17:17" x14ac:dyDescent="0.2">
      <c r="Q267" s="34"/>
    </row>
    <row r="268" spans="17:17" x14ac:dyDescent="0.2">
      <c r="Q268" s="34"/>
    </row>
    <row r="269" spans="17:17" x14ac:dyDescent="0.2">
      <c r="Q269" s="34"/>
    </row>
    <row r="270" spans="17:17" x14ac:dyDescent="0.2">
      <c r="Q270" s="34"/>
    </row>
    <row r="271" spans="17:17" x14ac:dyDescent="0.2">
      <c r="Q271" s="34"/>
    </row>
    <row r="272" spans="17:17" x14ac:dyDescent="0.2">
      <c r="Q272" s="34"/>
    </row>
    <row r="273" spans="17:17" x14ac:dyDescent="0.2">
      <c r="Q273" s="34"/>
    </row>
    <row r="274" spans="17:17" x14ac:dyDescent="0.2">
      <c r="Q274" s="34"/>
    </row>
    <row r="275" spans="17:17" x14ac:dyDescent="0.2">
      <c r="Q275" s="34"/>
    </row>
    <row r="276" spans="17:17" x14ac:dyDescent="0.2">
      <c r="Q276" s="34"/>
    </row>
    <row r="277" spans="17:17" x14ac:dyDescent="0.2">
      <c r="Q277" s="34"/>
    </row>
    <row r="278" spans="17:17" x14ac:dyDescent="0.2">
      <c r="Q278" s="34"/>
    </row>
    <row r="279" spans="17:17" x14ac:dyDescent="0.2">
      <c r="Q279" s="34"/>
    </row>
    <row r="280" spans="17:17" x14ac:dyDescent="0.2">
      <c r="Q280" s="34"/>
    </row>
    <row r="281" spans="17:17" x14ac:dyDescent="0.2">
      <c r="Q281" s="34"/>
    </row>
    <row r="282" spans="17:17" x14ac:dyDescent="0.2">
      <c r="Q282" s="34"/>
    </row>
    <row r="283" spans="17:17" x14ac:dyDescent="0.2">
      <c r="Q283" s="34"/>
    </row>
    <row r="284" spans="17:17" x14ac:dyDescent="0.2">
      <c r="Q284" s="34"/>
    </row>
    <row r="285" spans="17:17" x14ac:dyDescent="0.2">
      <c r="Q285" s="34"/>
    </row>
    <row r="286" spans="17:17" x14ac:dyDescent="0.2">
      <c r="Q286" s="34"/>
    </row>
    <row r="287" spans="17:17" x14ac:dyDescent="0.2">
      <c r="Q287" s="34"/>
    </row>
    <row r="288" spans="17:17" x14ac:dyDescent="0.2">
      <c r="Q288" s="34"/>
    </row>
    <row r="289" spans="17:17" x14ac:dyDescent="0.2">
      <c r="Q289" s="34"/>
    </row>
    <row r="290" spans="17:17" x14ac:dyDescent="0.2">
      <c r="Q290" s="34"/>
    </row>
    <row r="291" spans="17:17" x14ac:dyDescent="0.2">
      <c r="Q291" s="34"/>
    </row>
    <row r="292" spans="17:17" x14ac:dyDescent="0.2">
      <c r="Q292" s="34"/>
    </row>
    <row r="293" spans="17:17" x14ac:dyDescent="0.2">
      <c r="Q293" s="34"/>
    </row>
    <row r="294" spans="17:17" x14ac:dyDescent="0.2">
      <c r="Q294" s="34"/>
    </row>
    <row r="295" spans="17:17" x14ac:dyDescent="0.2">
      <c r="Q295" s="34"/>
    </row>
    <row r="296" spans="17:17" x14ac:dyDescent="0.2">
      <c r="Q296" s="34"/>
    </row>
    <row r="297" spans="17:17" x14ac:dyDescent="0.2">
      <c r="Q297" s="34"/>
    </row>
    <row r="298" spans="17:17" x14ac:dyDescent="0.2">
      <c r="Q298" s="34"/>
    </row>
    <row r="299" spans="17:17" x14ac:dyDescent="0.2">
      <c r="Q299" s="34"/>
    </row>
    <row r="300" spans="17:17" x14ac:dyDescent="0.2">
      <c r="Q300" s="34"/>
    </row>
    <row r="301" spans="17:17" x14ac:dyDescent="0.2">
      <c r="Q301" s="34"/>
    </row>
    <row r="302" spans="17:17" x14ac:dyDescent="0.2">
      <c r="Q302" s="34"/>
    </row>
    <row r="303" spans="17:17" x14ac:dyDescent="0.2">
      <c r="Q303" s="34"/>
    </row>
    <row r="304" spans="17:17" x14ac:dyDescent="0.2">
      <c r="Q304" s="34"/>
    </row>
    <row r="305" spans="17:17" x14ac:dyDescent="0.2">
      <c r="Q305" s="34"/>
    </row>
    <row r="306" spans="17:17" x14ac:dyDescent="0.2">
      <c r="Q306" s="34"/>
    </row>
    <row r="307" spans="17:17" x14ac:dyDescent="0.2">
      <c r="Q307" s="34"/>
    </row>
    <row r="308" spans="17:17" x14ac:dyDescent="0.2">
      <c r="Q308" s="34"/>
    </row>
    <row r="309" spans="17:17" x14ac:dyDescent="0.2">
      <c r="Q309" s="34"/>
    </row>
    <row r="310" spans="17:17" x14ac:dyDescent="0.2">
      <c r="Q310" s="34"/>
    </row>
    <row r="311" spans="17:17" x14ac:dyDescent="0.2">
      <c r="Q311" s="34"/>
    </row>
    <row r="312" spans="17:17" x14ac:dyDescent="0.2">
      <c r="Q312" s="34"/>
    </row>
    <row r="313" spans="17:17" x14ac:dyDescent="0.2">
      <c r="Q313" s="34"/>
    </row>
    <row r="314" spans="17:17" x14ac:dyDescent="0.2">
      <c r="Q314" s="34"/>
    </row>
    <row r="315" spans="17:17" x14ac:dyDescent="0.2">
      <c r="Q315" s="34"/>
    </row>
    <row r="316" spans="17:17" x14ac:dyDescent="0.2">
      <c r="Q316" s="34"/>
    </row>
    <row r="317" spans="17:17" x14ac:dyDescent="0.2">
      <c r="Q317" s="34"/>
    </row>
    <row r="318" spans="17:17" x14ac:dyDescent="0.2">
      <c r="Q318" s="34"/>
    </row>
    <row r="319" spans="17:17" x14ac:dyDescent="0.2">
      <c r="Q319" s="34"/>
    </row>
    <row r="320" spans="17:17" x14ac:dyDescent="0.2">
      <c r="Q320" s="34"/>
    </row>
    <row r="321" spans="17:17" x14ac:dyDescent="0.2">
      <c r="Q321" s="34"/>
    </row>
    <row r="322" spans="17:17" x14ac:dyDescent="0.2">
      <c r="Q322" s="34"/>
    </row>
    <row r="323" spans="17:17" x14ac:dyDescent="0.2">
      <c r="Q323" s="34"/>
    </row>
    <row r="324" spans="17:17" x14ac:dyDescent="0.2">
      <c r="Q324" s="34"/>
    </row>
    <row r="325" spans="17:17" x14ac:dyDescent="0.2">
      <c r="Q325" s="34"/>
    </row>
    <row r="326" spans="17:17" x14ac:dyDescent="0.2">
      <c r="Q326" s="34"/>
    </row>
    <row r="327" spans="17:17" x14ac:dyDescent="0.2">
      <c r="Q327" s="34"/>
    </row>
    <row r="328" spans="17:17" x14ac:dyDescent="0.2">
      <c r="Q328" s="34"/>
    </row>
    <row r="329" spans="17:17" x14ac:dyDescent="0.2">
      <c r="Q329" s="34"/>
    </row>
    <row r="330" spans="17:17" x14ac:dyDescent="0.2">
      <c r="Q330" s="34"/>
    </row>
    <row r="331" spans="17:17" x14ac:dyDescent="0.2">
      <c r="Q331" s="34"/>
    </row>
    <row r="332" spans="17:17" x14ac:dyDescent="0.2">
      <c r="Q332" s="34"/>
    </row>
    <row r="333" spans="17:17" x14ac:dyDescent="0.2">
      <c r="Q333" s="34"/>
    </row>
    <row r="334" spans="17:17" x14ac:dyDescent="0.2">
      <c r="Q334" s="34"/>
    </row>
    <row r="335" spans="17:17" x14ac:dyDescent="0.2">
      <c r="Q335" s="34"/>
    </row>
    <row r="336" spans="17:17" x14ac:dyDescent="0.2">
      <c r="Q336" s="34"/>
    </row>
    <row r="337" spans="17:17" x14ac:dyDescent="0.2">
      <c r="Q337" s="34"/>
    </row>
    <row r="338" spans="17:17" x14ac:dyDescent="0.2">
      <c r="Q338" s="34"/>
    </row>
    <row r="339" spans="17:17" x14ac:dyDescent="0.2">
      <c r="Q339" s="34"/>
    </row>
    <row r="340" spans="17:17" x14ac:dyDescent="0.2">
      <c r="Q340" s="34"/>
    </row>
    <row r="341" spans="17:17" x14ac:dyDescent="0.2">
      <c r="Q341" s="34"/>
    </row>
    <row r="342" spans="17:17" x14ac:dyDescent="0.2">
      <c r="Q342" s="34"/>
    </row>
    <row r="343" spans="17:17" x14ac:dyDescent="0.2">
      <c r="Q343" s="34"/>
    </row>
    <row r="344" spans="17:17" x14ac:dyDescent="0.2">
      <c r="Q344" s="34"/>
    </row>
    <row r="345" spans="17:17" x14ac:dyDescent="0.2">
      <c r="Q345" s="34"/>
    </row>
    <row r="346" spans="17:17" x14ac:dyDescent="0.2">
      <c r="Q346" s="34"/>
    </row>
    <row r="347" spans="17:17" x14ac:dyDescent="0.2">
      <c r="Q347" s="34"/>
    </row>
    <row r="348" spans="17:17" x14ac:dyDescent="0.2">
      <c r="Q348" s="34"/>
    </row>
    <row r="349" spans="17:17" x14ac:dyDescent="0.2">
      <c r="Q349" s="34"/>
    </row>
    <row r="350" spans="17:17" x14ac:dyDescent="0.2">
      <c r="Q350" s="34"/>
    </row>
    <row r="351" spans="17:17" x14ac:dyDescent="0.2">
      <c r="Q351" s="34"/>
    </row>
    <row r="352" spans="17:17" x14ac:dyDescent="0.2">
      <c r="Q352" s="34"/>
    </row>
    <row r="353" spans="17:17" x14ac:dyDescent="0.2">
      <c r="Q353" s="34"/>
    </row>
    <row r="354" spans="17:17" x14ac:dyDescent="0.2">
      <c r="Q354" s="34"/>
    </row>
    <row r="355" spans="17:17" x14ac:dyDescent="0.2">
      <c r="Q355" s="34"/>
    </row>
    <row r="356" spans="17:17" x14ac:dyDescent="0.2">
      <c r="Q356" s="34"/>
    </row>
    <row r="357" spans="17:17" x14ac:dyDescent="0.2">
      <c r="Q357" s="34"/>
    </row>
    <row r="358" spans="17:17" x14ac:dyDescent="0.2">
      <c r="Q358" s="34"/>
    </row>
    <row r="359" spans="17:17" x14ac:dyDescent="0.2">
      <c r="Q359" s="34"/>
    </row>
    <row r="360" spans="17:17" x14ac:dyDescent="0.2">
      <c r="Q360" s="34"/>
    </row>
    <row r="361" spans="17:17" x14ac:dyDescent="0.2">
      <c r="Q361" s="34"/>
    </row>
    <row r="362" spans="17:17" x14ac:dyDescent="0.2">
      <c r="Q362" s="34"/>
    </row>
    <row r="363" spans="17:17" x14ac:dyDescent="0.2">
      <c r="Q363" s="34"/>
    </row>
    <row r="364" spans="17:17" x14ac:dyDescent="0.2">
      <c r="Q364" s="34"/>
    </row>
    <row r="365" spans="17:17" x14ac:dyDescent="0.2">
      <c r="Q365" s="34"/>
    </row>
    <row r="366" spans="17:17" x14ac:dyDescent="0.2">
      <c r="Q366" s="34"/>
    </row>
    <row r="367" spans="17:17" x14ac:dyDescent="0.2">
      <c r="Q367" s="34"/>
    </row>
    <row r="368" spans="17:17" x14ac:dyDescent="0.2">
      <c r="Q368" s="34"/>
    </row>
    <row r="369" spans="17:17" x14ac:dyDescent="0.2">
      <c r="Q369" s="34"/>
    </row>
    <row r="370" spans="17:17" x14ac:dyDescent="0.2">
      <c r="Q370" s="34"/>
    </row>
    <row r="371" spans="17:17" x14ac:dyDescent="0.2">
      <c r="Q371" s="34"/>
    </row>
    <row r="372" spans="17:17" x14ac:dyDescent="0.2">
      <c r="Q372" s="34"/>
    </row>
    <row r="373" spans="17:17" x14ac:dyDescent="0.2">
      <c r="Q373" s="34"/>
    </row>
    <row r="374" spans="17:17" x14ac:dyDescent="0.2">
      <c r="Q374" s="34"/>
    </row>
    <row r="375" spans="17:17" x14ac:dyDescent="0.2">
      <c r="Q375" s="34"/>
    </row>
    <row r="376" spans="17:17" x14ac:dyDescent="0.2">
      <c r="Q376" s="34"/>
    </row>
    <row r="377" spans="17:17" x14ac:dyDescent="0.2">
      <c r="Q377" s="34"/>
    </row>
    <row r="378" spans="17:17" x14ac:dyDescent="0.2">
      <c r="Q378" s="34"/>
    </row>
    <row r="379" spans="17:17" x14ac:dyDescent="0.2">
      <c r="Q379" s="34"/>
    </row>
    <row r="380" spans="17:17" x14ac:dyDescent="0.2">
      <c r="Q380" s="34"/>
    </row>
    <row r="381" spans="17:17" x14ac:dyDescent="0.2">
      <c r="Q381" s="34"/>
    </row>
    <row r="382" spans="17:17" x14ac:dyDescent="0.2">
      <c r="Q382" s="34"/>
    </row>
    <row r="383" spans="17:17" x14ac:dyDescent="0.2">
      <c r="Q383" s="34"/>
    </row>
    <row r="384" spans="17:17" x14ac:dyDescent="0.2">
      <c r="Q384" s="34"/>
    </row>
    <row r="385" spans="17:17" x14ac:dyDescent="0.2">
      <c r="Q385" s="34"/>
    </row>
    <row r="386" spans="17:17" x14ac:dyDescent="0.2">
      <c r="Q386" s="34"/>
    </row>
    <row r="387" spans="17:17" x14ac:dyDescent="0.2">
      <c r="Q387" s="34"/>
    </row>
    <row r="388" spans="17:17" x14ac:dyDescent="0.2">
      <c r="Q388" s="34"/>
    </row>
    <row r="389" spans="17:17" x14ac:dyDescent="0.2">
      <c r="Q389" s="34"/>
    </row>
    <row r="390" spans="17:17" x14ac:dyDescent="0.2">
      <c r="Q390" s="34"/>
    </row>
    <row r="391" spans="17:17" x14ac:dyDescent="0.2">
      <c r="Q391" s="34"/>
    </row>
    <row r="392" spans="17:17" x14ac:dyDescent="0.2">
      <c r="Q392" s="34"/>
    </row>
    <row r="393" spans="17:17" x14ac:dyDescent="0.2">
      <c r="Q393" s="34"/>
    </row>
    <row r="394" spans="17:17" x14ac:dyDescent="0.2">
      <c r="Q394" s="34"/>
    </row>
    <row r="395" spans="17:17" x14ac:dyDescent="0.2">
      <c r="Q395" s="34"/>
    </row>
    <row r="396" spans="17:17" x14ac:dyDescent="0.2">
      <c r="Q396" s="34"/>
    </row>
    <row r="397" spans="17:17" x14ac:dyDescent="0.2">
      <c r="Q397" s="34"/>
    </row>
    <row r="398" spans="17:17" x14ac:dyDescent="0.2">
      <c r="Q398" s="34"/>
    </row>
    <row r="399" spans="17:17" x14ac:dyDescent="0.2">
      <c r="Q399" s="34"/>
    </row>
    <row r="400" spans="17:17" x14ac:dyDescent="0.2">
      <c r="Q400" s="34"/>
    </row>
    <row r="401" spans="17:17" x14ac:dyDescent="0.2">
      <c r="Q401" s="34"/>
    </row>
    <row r="402" spans="17:17" x14ac:dyDescent="0.2">
      <c r="Q402" s="34"/>
    </row>
    <row r="403" spans="17:17" x14ac:dyDescent="0.2">
      <c r="Q403" s="34"/>
    </row>
    <row r="404" spans="17:17" x14ac:dyDescent="0.2">
      <c r="Q404" s="34"/>
    </row>
    <row r="405" spans="17:17" x14ac:dyDescent="0.2">
      <c r="Q405" s="34"/>
    </row>
    <row r="406" spans="17:17" x14ac:dyDescent="0.2">
      <c r="Q406" s="34"/>
    </row>
    <row r="407" spans="17:17" x14ac:dyDescent="0.2">
      <c r="Q407" s="34"/>
    </row>
    <row r="408" spans="17:17" x14ac:dyDescent="0.2">
      <c r="Q408" s="34"/>
    </row>
    <row r="409" spans="17:17" x14ac:dyDescent="0.2">
      <c r="Q409" s="34"/>
    </row>
    <row r="410" spans="17:17" x14ac:dyDescent="0.2">
      <c r="Q410" s="34"/>
    </row>
    <row r="411" spans="17:17" x14ac:dyDescent="0.2">
      <c r="Q411" s="34"/>
    </row>
    <row r="412" spans="17:17" x14ac:dyDescent="0.2">
      <c r="Q412" s="34"/>
    </row>
    <row r="413" spans="17:17" x14ac:dyDescent="0.2">
      <c r="Q413" s="34"/>
    </row>
    <row r="414" spans="17:17" x14ac:dyDescent="0.2">
      <c r="Q414" s="34"/>
    </row>
    <row r="415" spans="17:17" x14ac:dyDescent="0.2">
      <c r="Q415" s="34"/>
    </row>
    <row r="416" spans="17:17" x14ac:dyDescent="0.2">
      <c r="Q416" s="34"/>
    </row>
    <row r="417" spans="17:17" x14ac:dyDescent="0.2">
      <c r="Q417" s="34"/>
    </row>
    <row r="418" spans="17:17" x14ac:dyDescent="0.2">
      <c r="Q418" s="34"/>
    </row>
    <row r="419" spans="17:17" x14ac:dyDescent="0.2">
      <c r="Q419" s="34"/>
    </row>
    <row r="420" spans="17:17" x14ac:dyDescent="0.2">
      <c r="Q420" s="34"/>
    </row>
    <row r="421" spans="17:17" x14ac:dyDescent="0.2">
      <c r="Q421" s="34"/>
    </row>
    <row r="422" spans="17:17" x14ac:dyDescent="0.2">
      <c r="Q422" s="34"/>
    </row>
    <row r="423" spans="17:17" x14ac:dyDescent="0.2">
      <c r="Q423" s="34"/>
    </row>
    <row r="424" spans="17:17" x14ac:dyDescent="0.2">
      <c r="Q424" s="34"/>
    </row>
    <row r="425" spans="17:17" x14ac:dyDescent="0.2">
      <c r="Q425" s="34"/>
    </row>
    <row r="426" spans="17:17" x14ac:dyDescent="0.2">
      <c r="Q426" s="34"/>
    </row>
    <row r="427" spans="17:17" x14ac:dyDescent="0.2">
      <c r="Q427" s="34"/>
    </row>
    <row r="428" spans="17:17" x14ac:dyDescent="0.2">
      <c r="Q428" s="34"/>
    </row>
    <row r="429" spans="17:17" x14ac:dyDescent="0.2">
      <c r="Q429" s="34"/>
    </row>
    <row r="430" spans="17:17" x14ac:dyDescent="0.2">
      <c r="Q430" s="34"/>
    </row>
    <row r="431" spans="17:17" x14ac:dyDescent="0.2">
      <c r="Q431" s="34"/>
    </row>
    <row r="432" spans="17:17" x14ac:dyDescent="0.2">
      <c r="Q432" s="34"/>
    </row>
    <row r="433" spans="17:17" x14ac:dyDescent="0.2">
      <c r="Q433" s="34"/>
    </row>
    <row r="434" spans="17:17" x14ac:dyDescent="0.2">
      <c r="Q434" s="34"/>
    </row>
    <row r="435" spans="17:17" x14ac:dyDescent="0.2">
      <c r="Q435" s="34"/>
    </row>
    <row r="436" spans="17:17" x14ac:dyDescent="0.2">
      <c r="Q436" s="34"/>
    </row>
    <row r="437" spans="17:17" x14ac:dyDescent="0.2">
      <c r="Q437" s="34"/>
    </row>
    <row r="438" spans="17:17" x14ac:dyDescent="0.2">
      <c r="Q438" s="34"/>
    </row>
    <row r="439" spans="17:17" x14ac:dyDescent="0.2">
      <c r="Q439" s="34"/>
    </row>
    <row r="440" spans="17:17" x14ac:dyDescent="0.2">
      <c r="Q440" s="34"/>
    </row>
    <row r="441" spans="17:17" x14ac:dyDescent="0.2">
      <c r="Q441" s="34"/>
    </row>
    <row r="442" spans="17:17" x14ac:dyDescent="0.2">
      <c r="Q442" s="34"/>
    </row>
    <row r="443" spans="17:17" x14ac:dyDescent="0.2">
      <c r="Q443" s="34"/>
    </row>
    <row r="444" spans="17:17" x14ac:dyDescent="0.2">
      <c r="Q444" s="34"/>
    </row>
    <row r="445" spans="17:17" x14ac:dyDescent="0.2">
      <c r="Q445" s="34"/>
    </row>
    <row r="446" spans="17:17" x14ac:dyDescent="0.2">
      <c r="Q446" s="34"/>
    </row>
    <row r="447" spans="17:17" x14ac:dyDescent="0.2">
      <c r="Q447" s="34"/>
    </row>
    <row r="448" spans="17:17" x14ac:dyDescent="0.2">
      <c r="Q448" s="34"/>
    </row>
    <row r="449" spans="17:17" x14ac:dyDescent="0.2">
      <c r="Q449" s="34"/>
    </row>
    <row r="450" spans="17:17" x14ac:dyDescent="0.2">
      <c r="Q450" s="34"/>
    </row>
    <row r="451" spans="17:17" x14ac:dyDescent="0.2">
      <c r="Q451" s="34"/>
    </row>
    <row r="452" spans="17:17" x14ac:dyDescent="0.2">
      <c r="Q452" s="34"/>
    </row>
    <row r="453" spans="17:17" x14ac:dyDescent="0.2">
      <c r="Q453" s="34"/>
    </row>
    <row r="454" spans="17:17" x14ac:dyDescent="0.2">
      <c r="Q454" s="34"/>
    </row>
    <row r="455" spans="17:17" x14ac:dyDescent="0.2">
      <c r="Q455" s="34"/>
    </row>
    <row r="456" spans="17:17" x14ac:dyDescent="0.2">
      <c r="Q456" s="34"/>
    </row>
    <row r="457" spans="17:17" x14ac:dyDescent="0.2">
      <c r="Q457" s="34"/>
    </row>
    <row r="458" spans="17:17" x14ac:dyDescent="0.2">
      <c r="Q458" s="34"/>
    </row>
    <row r="459" spans="17:17" x14ac:dyDescent="0.2">
      <c r="Q459" s="34"/>
    </row>
    <row r="460" spans="17:17" x14ac:dyDescent="0.2">
      <c r="Q460" s="34"/>
    </row>
    <row r="461" spans="17:17" x14ac:dyDescent="0.2">
      <c r="Q461" s="34"/>
    </row>
    <row r="462" spans="17:17" x14ac:dyDescent="0.2">
      <c r="Q462" s="34"/>
    </row>
    <row r="463" spans="17:17" x14ac:dyDescent="0.2">
      <c r="Q463" s="34"/>
    </row>
    <row r="464" spans="17:17" x14ac:dyDescent="0.2">
      <c r="Q464" s="34"/>
    </row>
    <row r="465" spans="17:17" x14ac:dyDescent="0.2">
      <c r="Q465" s="34"/>
    </row>
    <row r="466" spans="17:17" x14ac:dyDescent="0.2">
      <c r="Q466" s="34"/>
    </row>
    <row r="467" spans="17:17" x14ac:dyDescent="0.2">
      <c r="Q467" s="34"/>
    </row>
    <row r="468" spans="17:17" x14ac:dyDescent="0.2">
      <c r="Q468" s="34"/>
    </row>
    <row r="469" spans="17:17" x14ac:dyDescent="0.2">
      <c r="Q469" s="34"/>
    </row>
    <row r="470" spans="17:17" x14ac:dyDescent="0.2">
      <c r="Q470" s="34"/>
    </row>
    <row r="471" spans="17:17" x14ac:dyDescent="0.2">
      <c r="Q471" s="34"/>
    </row>
    <row r="472" spans="17:17" x14ac:dyDescent="0.2">
      <c r="Q472" s="34"/>
    </row>
    <row r="473" spans="17:17" x14ac:dyDescent="0.2">
      <c r="Q473" s="34"/>
    </row>
    <row r="474" spans="17:17" x14ac:dyDescent="0.2">
      <c r="Q474" s="34"/>
    </row>
    <row r="475" spans="17:17" x14ac:dyDescent="0.2">
      <c r="Q475" s="34"/>
    </row>
    <row r="476" spans="17:17" x14ac:dyDescent="0.2">
      <c r="Q476" s="34"/>
    </row>
    <row r="477" spans="17:17" x14ac:dyDescent="0.2">
      <c r="Q477" s="34"/>
    </row>
    <row r="478" spans="17:17" x14ac:dyDescent="0.2">
      <c r="Q478" s="34"/>
    </row>
    <row r="479" spans="17:17" x14ac:dyDescent="0.2">
      <c r="Q479" s="34"/>
    </row>
    <row r="480" spans="17:17" x14ac:dyDescent="0.2">
      <c r="Q480" s="34"/>
    </row>
    <row r="481" spans="17:17" x14ac:dyDescent="0.2">
      <c r="Q481" s="34"/>
    </row>
    <row r="482" spans="17:17" x14ac:dyDescent="0.2">
      <c r="Q482" s="34"/>
    </row>
    <row r="483" spans="17:17" x14ac:dyDescent="0.2">
      <c r="Q483" s="34"/>
    </row>
    <row r="484" spans="17:17" x14ac:dyDescent="0.2">
      <c r="Q484" s="34"/>
    </row>
    <row r="485" spans="17:17" x14ac:dyDescent="0.2">
      <c r="Q485" s="34"/>
    </row>
    <row r="486" spans="17:17" x14ac:dyDescent="0.2">
      <c r="Q486" s="34"/>
    </row>
    <row r="487" spans="17:17" x14ac:dyDescent="0.2">
      <c r="Q487" s="34"/>
    </row>
    <row r="488" spans="17:17" x14ac:dyDescent="0.2">
      <c r="Q488" s="34"/>
    </row>
    <row r="489" spans="17:17" x14ac:dyDescent="0.2">
      <c r="Q489" s="34"/>
    </row>
    <row r="490" spans="17:17" x14ac:dyDescent="0.2">
      <c r="Q490" s="34"/>
    </row>
    <row r="491" spans="17:17" x14ac:dyDescent="0.2">
      <c r="Q491" s="34"/>
    </row>
    <row r="492" spans="17:17" x14ac:dyDescent="0.2">
      <c r="Q492" s="34"/>
    </row>
    <row r="493" spans="17:17" x14ac:dyDescent="0.2">
      <c r="Q493" s="34"/>
    </row>
    <row r="494" spans="17:17" x14ac:dyDescent="0.2">
      <c r="Q494" s="34"/>
    </row>
    <row r="495" spans="17:17" x14ac:dyDescent="0.2">
      <c r="Q495" s="34"/>
    </row>
    <row r="496" spans="17:17" x14ac:dyDescent="0.2">
      <c r="Q496" s="34"/>
    </row>
    <row r="497" spans="17:17" x14ac:dyDescent="0.2">
      <c r="Q497" s="34"/>
    </row>
    <row r="498" spans="17:17" x14ac:dyDescent="0.2">
      <c r="Q498" s="34"/>
    </row>
    <row r="499" spans="17:17" x14ac:dyDescent="0.2">
      <c r="Q499" s="34"/>
    </row>
    <row r="500" spans="17:17" x14ac:dyDescent="0.2">
      <c r="Q500" s="34"/>
    </row>
    <row r="501" spans="17:17" x14ac:dyDescent="0.2">
      <c r="Q501" s="34"/>
    </row>
    <row r="502" spans="17:17" x14ac:dyDescent="0.2">
      <c r="Q502" s="34"/>
    </row>
    <row r="503" spans="17:17" x14ac:dyDescent="0.2">
      <c r="Q503" s="34"/>
    </row>
    <row r="504" spans="17:17" x14ac:dyDescent="0.2">
      <c r="Q504" s="34"/>
    </row>
    <row r="505" spans="17:17" x14ac:dyDescent="0.2">
      <c r="Q505" s="34"/>
    </row>
    <row r="506" spans="17:17" x14ac:dyDescent="0.2">
      <c r="Q506" s="34"/>
    </row>
    <row r="507" spans="17:17" x14ac:dyDescent="0.2">
      <c r="Q507" s="34"/>
    </row>
    <row r="508" spans="17:17" x14ac:dyDescent="0.2">
      <c r="Q508" s="34"/>
    </row>
    <row r="509" spans="17:17" x14ac:dyDescent="0.2">
      <c r="Q509" s="34"/>
    </row>
    <row r="510" spans="17:17" x14ac:dyDescent="0.2">
      <c r="Q510" s="34"/>
    </row>
    <row r="511" spans="17:17" x14ac:dyDescent="0.2">
      <c r="Q511" s="34"/>
    </row>
    <row r="512" spans="17:17" x14ac:dyDescent="0.2">
      <c r="Q512" s="34"/>
    </row>
    <row r="513" spans="17:17" x14ac:dyDescent="0.2">
      <c r="Q513" s="34"/>
    </row>
    <row r="514" spans="17:17" x14ac:dyDescent="0.2">
      <c r="Q514" s="34"/>
    </row>
    <row r="515" spans="17:17" x14ac:dyDescent="0.2">
      <c r="Q515" s="34"/>
    </row>
    <row r="516" spans="17:17" x14ac:dyDescent="0.2">
      <c r="Q516" s="34"/>
    </row>
    <row r="517" spans="17:17" x14ac:dyDescent="0.2">
      <c r="Q517" s="34"/>
    </row>
    <row r="518" spans="17:17" x14ac:dyDescent="0.2">
      <c r="Q518" s="34"/>
    </row>
    <row r="519" spans="17:17" x14ac:dyDescent="0.2">
      <c r="Q519" s="34"/>
    </row>
    <row r="520" spans="17:17" x14ac:dyDescent="0.2">
      <c r="Q520" s="34"/>
    </row>
    <row r="521" spans="17:17" x14ac:dyDescent="0.2">
      <c r="Q521" s="34"/>
    </row>
    <row r="522" spans="17:17" x14ac:dyDescent="0.2">
      <c r="Q522" s="34"/>
    </row>
    <row r="523" spans="17:17" x14ac:dyDescent="0.2">
      <c r="Q523" s="34"/>
    </row>
    <row r="524" spans="17:17" x14ac:dyDescent="0.2">
      <c r="Q524" s="34"/>
    </row>
    <row r="525" spans="17:17" x14ac:dyDescent="0.2">
      <c r="Q525" s="34"/>
    </row>
    <row r="526" spans="17:17" x14ac:dyDescent="0.2">
      <c r="Q526" s="34"/>
    </row>
    <row r="527" spans="17:17" x14ac:dyDescent="0.2">
      <c r="Q527" s="34"/>
    </row>
    <row r="528" spans="17:17" x14ac:dyDescent="0.2">
      <c r="Q528" s="34"/>
    </row>
    <row r="529" spans="17:17" x14ac:dyDescent="0.2">
      <c r="Q529" s="34"/>
    </row>
    <row r="530" spans="17:17" x14ac:dyDescent="0.2">
      <c r="Q530" s="34"/>
    </row>
    <row r="531" spans="17:17" x14ac:dyDescent="0.2">
      <c r="Q531" s="34"/>
    </row>
    <row r="532" spans="17:17" x14ac:dyDescent="0.2">
      <c r="Q532" s="34"/>
    </row>
    <row r="533" spans="17:17" x14ac:dyDescent="0.2">
      <c r="Q533" s="34"/>
    </row>
    <row r="534" spans="17:17" x14ac:dyDescent="0.2">
      <c r="Q534" s="34"/>
    </row>
    <row r="535" spans="17:17" x14ac:dyDescent="0.2">
      <c r="Q535" s="34"/>
    </row>
    <row r="536" spans="17:17" x14ac:dyDescent="0.2">
      <c r="Q536" s="34"/>
    </row>
    <row r="537" spans="17:17" x14ac:dyDescent="0.2">
      <c r="Q537" s="34"/>
    </row>
    <row r="538" spans="17:17" x14ac:dyDescent="0.2">
      <c r="Q538" s="34"/>
    </row>
    <row r="539" spans="17:17" x14ac:dyDescent="0.2">
      <c r="Q539" s="34"/>
    </row>
    <row r="540" spans="17:17" x14ac:dyDescent="0.2">
      <c r="Q540" s="34"/>
    </row>
    <row r="541" spans="17:17" x14ac:dyDescent="0.2">
      <c r="Q541" s="34"/>
    </row>
    <row r="542" spans="17:17" x14ac:dyDescent="0.2">
      <c r="Q542" s="34"/>
    </row>
    <row r="543" spans="17:17" x14ac:dyDescent="0.2">
      <c r="Q543" s="34"/>
    </row>
    <row r="544" spans="17:17" x14ac:dyDescent="0.2">
      <c r="Q544" s="34"/>
    </row>
    <row r="545" spans="17:17" x14ac:dyDescent="0.2">
      <c r="Q545" s="34"/>
    </row>
    <row r="546" spans="17:17" x14ac:dyDescent="0.2">
      <c r="Q546" s="34"/>
    </row>
    <row r="547" spans="17:17" x14ac:dyDescent="0.2">
      <c r="Q547" s="34"/>
    </row>
    <row r="548" spans="17:17" x14ac:dyDescent="0.2">
      <c r="Q548" s="34"/>
    </row>
    <row r="549" spans="17:17" x14ac:dyDescent="0.2">
      <c r="Q549" s="34"/>
    </row>
    <row r="550" spans="17:17" x14ac:dyDescent="0.2">
      <c r="Q550" s="34"/>
    </row>
    <row r="551" spans="17:17" x14ac:dyDescent="0.2">
      <c r="Q551" s="34"/>
    </row>
    <row r="552" spans="17:17" x14ac:dyDescent="0.2">
      <c r="Q552" s="34"/>
    </row>
    <row r="553" spans="17:17" x14ac:dyDescent="0.2">
      <c r="Q553" s="34"/>
    </row>
    <row r="554" spans="17:17" x14ac:dyDescent="0.2">
      <c r="Q554" s="34"/>
    </row>
    <row r="555" spans="17:17" x14ac:dyDescent="0.2">
      <c r="Q555" s="34"/>
    </row>
    <row r="556" spans="17:17" x14ac:dyDescent="0.2">
      <c r="Q556" s="34"/>
    </row>
    <row r="557" spans="17:17" x14ac:dyDescent="0.2">
      <c r="Q557" s="34"/>
    </row>
    <row r="558" spans="17:17" x14ac:dyDescent="0.2">
      <c r="Q558" s="34"/>
    </row>
    <row r="559" spans="17:17" x14ac:dyDescent="0.2">
      <c r="Q559" s="34"/>
    </row>
    <row r="560" spans="17:17" x14ac:dyDescent="0.2">
      <c r="Q560" s="34"/>
    </row>
    <row r="561" spans="17:17" x14ac:dyDescent="0.2">
      <c r="Q561" s="34"/>
    </row>
    <row r="562" spans="17:17" x14ac:dyDescent="0.2">
      <c r="Q562" s="34"/>
    </row>
    <row r="563" spans="17:17" x14ac:dyDescent="0.2">
      <c r="Q563" s="34"/>
    </row>
    <row r="564" spans="17:17" x14ac:dyDescent="0.2">
      <c r="Q564" s="34"/>
    </row>
    <row r="565" spans="17:17" x14ac:dyDescent="0.2">
      <c r="Q565" s="34"/>
    </row>
    <row r="566" spans="17:17" x14ac:dyDescent="0.2">
      <c r="Q566" s="34"/>
    </row>
    <row r="567" spans="17:17" x14ac:dyDescent="0.2">
      <c r="Q567" s="34"/>
    </row>
    <row r="568" spans="17:17" x14ac:dyDescent="0.2">
      <c r="Q568" s="34"/>
    </row>
    <row r="569" spans="17:17" x14ac:dyDescent="0.2">
      <c r="Q569" s="34"/>
    </row>
    <row r="570" spans="17:17" x14ac:dyDescent="0.2">
      <c r="Q570" s="34"/>
    </row>
    <row r="571" spans="17:17" x14ac:dyDescent="0.2">
      <c r="Q571" s="34"/>
    </row>
    <row r="572" spans="17:17" x14ac:dyDescent="0.2">
      <c r="Q572" s="34"/>
    </row>
    <row r="573" spans="17:17" x14ac:dyDescent="0.2">
      <c r="Q573" s="34"/>
    </row>
    <row r="574" spans="17:17" x14ac:dyDescent="0.2">
      <c r="Q574" s="34"/>
    </row>
    <row r="575" spans="17:17" x14ac:dyDescent="0.2">
      <c r="Q575" s="34"/>
    </row>
    <row r="576" spans="17:17" x14ac:dyDescent="0.2">
      <c r="Q576" s="34"/>
    </row>
    <row r="577" spans="17:17" x14ac:dyDescent="0.2">
      <c r="Q577" s="34"/>
    </row>
    <row r="578" spans="17:17" x14ac:dyDescent="0.2">
      <c r="Q578" s="34"/>
    </row>
    <row r="579" spans="17:17" x14ac:dyDescent="0.2">
      <c r="Q579" s="34"/>
    </row>
    <row r="580" spans="17:17" x14ac:dyDescent="0.2">
      <c r="Q580" s="34"/>
    </row>
    <row r="581" spans="17:17" x14ac:dyDescent="0.2">
      <c r="Q581" s="34"/>
    </row>
    <row r="582" spans="17:17" x14ac:dyDescent="0.2">
      <c r="Q582" s="34"/>
    </row>
    <row r="583" spans="17:17" x14ac:dyDescent="0.2">
      <c r="Q583" s="34"/>
    </row>
    <row r="584" spans="17:17" x14ac:dyDescent="0.2">
      <c r="Q584" s="34"/>
    </row>
    <row r="585" spans="17:17" x14ac:dyDescent="0.2">
      <c r="Q585" s="34"/>
    </row>
    <row r="586" spans="17:17" x14ac:dyDescent="0.2">
      <c r="Q586" s="34"/>
    </row>
    <row r="587" spans="17:17" x14ac:dyDescent="0.2">
      <c r="Q587" s="34"/>
    </row>
    <row r="588" spans="17:17" x14ac:dyDescent="0.2">
      <c r="Q588" s="34"/>
    </row>
    <row r="589" spans="17:17" x14ac:dyDescent="0.2">
      <c r="Q589" s="34"/>
    </row>
    <row r="590" spans="17:17" x14ac:dyDescent="0.2">
      <c r="Q590" s="34"/>
    </row>
    <row r="591" spans="17:17" x14ac:dyDescent="0.2">
      <c r="Q591" s="34"/>
    </row>
    <row r="592" spans="17:17" x14ac:dyDescent="0.2">
      <c r="Q592" s="34"/>
    </row>
    <row r="593" spans="17:17" x14ac:dyDescent="0.2">
      <c r="Q593" s="34"/>
    </row>
    <row r="594" spans="17:17" x14ac:dyDescent="0.2">
      <c r="Q594" s="34"/>
    </row>
    <row r="595" spans="17:17" x14ac:dyDescent="0.2">
      <c r="Q595" s="34"/>
    </row>
    <row r="596" spans="17:17" x14ac:dyDescent="0.2">
      <c r="Q596" s="34"/>
    </row>
    <row r="597" spans="17:17" x14ac:dyDescent="0.2">
      <c r="Q597" s="34"/>
    </row>
    <row r="598" spans="17:17" x14ac:dyDescent="0.2">
      <c r="Q598" s="34"/>
    </row>
    <row r="599" spans="17:17" x14ac:dyDescent="0.2">
      <c r="Q599" s="34"/>
    </row>
    <row r="600" spans="17:17" x14ac:dyDescent="0.2">
      <c r="Q600" s="34"/>
    </row>
    <row r="601" spans="17:17" x14ac:dyDescent="0.2">
      <c r="Q601" s="34"/>
    </row>
    <row r="602" spans="17:17" x14ac:dyDescent="0.2">
      <c r="Q602" s="34"/>
    </row>
    <row r="603" spans="17:17" x14ac:dyDescent="0.2">
      <c r="Q603" s="34"/>
    </row>
    <row r="604" spans="17:17" x14ac:dyDescent="0.2">
      <c r="Q604" s="34"/>
    </row>
    <row r="605" spans="17:17" x14ac:dyDescent="0.2">
      <c r="Q605" s="34"/>
    </row>
    <row r="606" spans="17:17" x14ac:dyDescent="0.2">
      <c r="Q606" s="34"/>
    </row>
    <row r="607" spans="17:17" x14ac:dyDescent="0.2">
      <c r="Q607" s="34"/>
    </row>
    <row r="608" spans="17:17" x14ac:dyDescent="0.2">
      <c r="Q608" s="34"/>
    </row>
    <row r="609" spans="17:17" x14ac:dyDescent="0.2">
      <c r="Q609" s="34"/>
    </row>
    <row r="610" spans="17:17" x14ac:dyDescent="0.2">
      <c r="Q610" s="34"/>
    </row>
    <row r="611" spans="17:17" x14ac:dyDescent="0.2">
      <c r="Q611" s="34"/>
    </row>
    <row r="612" spans="17:17" x14ac:dyDescent="0.2">
      <c r="Q612" s="34"/>
    </row>
    <row r="613" spans="17:17" x14ac:dyDescent="0.2">
      <c r="Q613" s="34"/>
    </row>
    <row r="614" spans="17:17" x14ac:dyDescent="0.2">
      <c r="Q614" s="34"/>
    </row>
    <row r="615" spans="17:17" x14ac:dyDescent="0.2">
      <c r="Q615" s="34"/>
    </row>
    <row r="616" spans="17:17" x14ac:dyDescent="0.2">
      <c r="Q616" s="34"/>
    </row>
    <row r="617" spans="17:17" x14ac:dyDescent="0.2">
      <c r="Q617" s="34"/>
    </row>
    <row r="618" spans="17:17" x14ac:dyDescent="0.2">
      <c r="Q618" s="34"/>
    </row>
    <row r="619" spans="17:17" x14ac:dyDescent="0.2">
      <c r="Q619" s="34"/>
    </row>
    <row r="620" spans="17:17" x14ac:dyDescent="0.2">
      <c r="Q620" s="34"/>
    </row>
    <row r="621" spans="17:17" x14ac:dyDescent="0.2">
      <c r="Q621" s="34"/>
    </row>
    <row r="622" spans="17:17" x14ac:dyDescent="0.2">
      <c r="Q622" s="34"/>
    </row>
    <row r="623" spans="17:17" x14ac:dyDescent="0.2">
      <c r="Q623" s="34"/>
    </row>
    <row r="624" spans="17:17" x14ac:dyDescent="0.2">
      <c r="Q624" s="34"/>
    </row>
    <row r="625" spans="17:17" x14ac:dyDescent="0.2">
      <c r="Q625" s="34"/>
    </row>
    <row r="626" spans="17:17" x14ac:dyDescent="0.2">
      <c r="Q626" s="34"/>
    </row>
    <row r="627" spans="17:17" x14ac:dyDescent="0.2">
      <c r="Q627" s="34"/>
    </row>
    <row r="628" spans="17:17" x14ac:dyDescent="0.2">
      <c r="Q628" s="34"/>
    </row>
    <row r="629" spans="17:17" x14ac:dyDescent="0.2">
      <c r="Q629" s="34"/>
    </row>
    <row r="630" spans="17:17" x14ac:dyDescent="0.2">
      <c r="Q630" s="34"/>
    </row>
    <row r="631" spans="17:17" x14ac:dyDescent="0.2">
      <c r="Q631" s="34"/>
    </row>
    <row r="632" spans="17:17" x14ac:dyDescent="0.2">
      <c r="Q632" s="34"/>
    </row>
    <row r="633" spans="17:17" x14ac:dyDescent="0.2">
      <c r="Q633" s="34"/>
    </row>
    <row r="634" spans="17:17" x14ac:dyDescent="0.2">
      <c r="Q634" s="34"/>
    </row>
    <row r="635" spans="17:17" x14ac:dyDescent="0.2">
      <c r="Q635" s="34"/>
    </row>
    <row r="636" spans="17:17" x14ac:dyDescent="0.2">
      <c r="Q636" s="34"/>
    </row>
    <row r="637" spans="17:17" x14ac:dyDescent="0.2">
      <c r="Q637" s="34"/>
    </row>
    <row r="638" spans="17:17" x14ac:dyDescent="0.2">
      <c r="Q638" s="34"/>
    </row>
    <row r="639" spans="17:17" x14ac:dyDescent="0.2">
      <c r="Q639" s="34"/>
    </row>
    <row r="640" spans="17:17" x14ac:dyDescent="0.2">
      <c r="Q640" s="34"/>
    </row>
    <row r="641" spans="17:17" x14ac:dyDescent="0.2">
      <c r="Q641" s="34"/>
    </row>
    <row r="642" spans="17:17" x14ac:dyDescent="0.2">
      <c r="Q642" s="34"/>
    </row>
    <row r="643" spans="17:17" x14ac:dyDescent="0.2">
      <c r="Q643" s="34"/>
    </row>
    <row r="644" spans="17:17" x14ac:dyDescent="0.2">
      <c r="Q644" s="34"/>
    </row>
    <row r="645" spans="17:17" x14ac:dyDescent="0.2">
      <c r="Q645" s="34"/>
    </row>
    <row r="646" spans="17:17" x14ac:dyDescent="0.2">
      <c r="Q646" s="34"/>
    </row>
    <row r="647" spans="17:17" x14ac:dyDescent="0.2">
      <c r="Q647" s="34"/>
    </row>
    <row r="648" spans="17:17" x14ac:dyDescent="0.2">
      <c r="Q648" s="34"/>
    </row>
    <row r="649" spans="17:17" x14ac:dyDescent="0.2">
      <c r="Q649" s="34"/>
    </row>
    <row r="650" spans="17:17" x14ac:dyDescent="0.2">
      <c r="Q650" s="34"/>
    </row>
    <row r="651" spans="17:17" x14ac:dyDescent="0.2">
      <c r="Q651" s="34"/>
    </row>
    <row r="652" spans="17:17" x14ac:dyDescent="0.2">
      <c r="Q652" s="34"/>
    </row>
    <row r="653" spans="17:17" x14ac:dyDescent="0.2">
      <c r="Q653" s="34"/>
    </row>
    <row r="654" spans="17:17" x14ac:dyDescent="0.2">
      <c r="Q654" s="34"/>
    </row>
    <row r="655" spans="17:17" x14ac:dyDescent="0.2">
      <c r="Q655" s="34"/>
    </row>
    <row r="656" spans="17:17" x14ac:dyDescent="0.2">
      <c r="Q656" s="34"/>
    </row>
    <row r="657" spans="17:17" x14ac:dyDescent="0.2">
      <c r="Q657" s="34"/>
    </row>
    <row r="658" spans="17:17" x14ac:dyDescent="0.2">
      <c r="Q658" s="34"/>
    </row>
    <row r="659" spans="17:17" x14ac:dyDescent="0.2">
      <c r="Q659" s="34"/>
    </row>
    <row r="660" spans="17:17" x14ac:dyDescent="0.2">
      <c r="Q660" s="34"/>
    </row>
    <row r="661" spans="17:17" x14ac:dyDescent="0.2">
      <c r="Q661" s="34"/>
    </row>
    <row r="662" spans="17:17" x14ac:dyDescent="0.2">
      <c r="Q662" s="34"/>
    </row>
    <row r="663" spans="17:17" x14ac:dyDescent="0.2">
      <c r="Q663" s="34"/>
    </row>
    <row r="664" spans="17:17" x14ac:dyDescent="0.2">
      <c r="Q664" s="34"/>
    </row>
    <row r="665" spans="17:17" x14ac:dyDescent="0.2">
      <c r="Q665" s="34"/>
    </row>
    <row r="666" spans="17:17" x14ac:dyDescent="0.2">
      <c r="Q666" s="34"/>
    </row>
    <row r="667" spans="17:17" x14ac:dyDescent="0.2">
      <c r="Q667" s="34"/>
    </row>
    <row r="668" spans="17:17" x14ac:dyDescent="0.2">
      <c r="Q668" s="34"/>
    </row>
    <row r="669" spans="17:17" x14ac:dyDescent="0.2">
      <c r="Q669" s="34"/>
    </row>
    <row r="670" spans="17:17" x14ac:dyDescent="0.2">
      <c r="Q670" s="34"/>
    </row>
    <row r="671" spans="17:17" x14ac:dyDescent="0.2">
      <c r="Q671" s="34"/>
    </row>
    <row r="672" spans="17:17" x14ac:dyDescent="0.2">
      <c r="Q672" s="34"/>
    </row>
    <row r="673" spans="17:17" x14ac:dyDescent="0.2">
      <c r="Q673" s="34"/>
    </row>
    <row r="674" spans="17:17" x14ac:dyDescent="0.2">
      <c r="Q674" s="34"/>
    </row>
    <row r="675" spans="17:17" x14ac:dyDescent="0.2">
      <c r="Q675" s="34"/>
    </row>
    <row r="676" spans="17:17" x14ac:dyDescent="0.2">
      <c r="Q676" s="34"/>
    </row>
    <row r="677" spans="17:17" x14ac:dyDescent="0.2">
      <c r="Q677" s="34"/>
    </row>
    <row r="678" spans="17:17" x14ac:dyDescent="0.2">
      <c r="Q678" s="34"/>
    </row>
    <row r="679" spans="17:17" x14ac:dyDescent="0.2">
      <c r="Q679" s="34"/>
    </row>
    <row r="680" spans="17:17" x14ac:dyDescent="0.2">
      <c r="Q680" s="34"/>
    </row>
    <row r="681" spans="17:17" x14ac:dyDescent="0.2">
      <c r="Q681" s="34"/>
    </row>
    <row r="682" spans="17:17" x14ac:dyDescent="0.2">
      <c r="Q682" s="34"/>
    </row>
    <row r="683" spans="17:17" x14ac:dyDescent="0.2">
      <c r="Q683" s="34"/>
    </row>
    <row r="684" spans="17:17" x14ac:dyDescent="0.2">
      <c r="Q684" s="34"/>
    </row>
    <row r="685" spans="17:17" x14ac:dyDescent="0.2">
      <c r="Q685" s="34"/>
    </row>
    <row r="686" spans="17:17" x14ac:dyDescent="0.2">
      <c r="Q686" s="34"/>
    </row>
    <row r="687" spans="17:17" x14ac:dyDescent="0.2">
      <c r="Q687" s="34"/>
    </row>
    <row r="688" spans="17:17" x14ac:dyDescent="0.2">
      <c r="Q688" s="34"/>
    </row>
    <row r="689" spans="17:17" x14ac:dyDescent="0.2">
      <c r="Q689" s="34"/>
    </row>
    <row r="690" spans="17:17" x14ac:dyDescent="0.2">
      <c r="Q690" s="34"/>
    </row>
    <row r="691" spans="17:17" x14ac:dyDescent="0.2">
      <c r="Q691" s="34"/>
    </row>
    <row r="692" spans="17:17" x14ac:dyDescent="0.2">
      <c r="Q692" s="34"/>
    </row>
    <row r="693" spans="17:17" x14ac:dyDescent="0.2">
      <c r="Q693" s="34"/>
    </row>
    <row r="694" spans="17:17" x14ac:dyDescent="0.2">
      <c r="Q694" s="34"/>
    </row>
    <row r="695" spans="17:17" x14ac:dyDescent="0.2">
      <c r="Q695" s="34"/>
    </row>
    <row r="696" spans="17:17" x14ac:dyDescent="0.2">
      <c r="Q696" s="34"/>
    </row>
    <row r="697" spans="17:17" x14ac:dyDescent="0.2">
      <c r="Q697" s="34"/>
    </row>
    <row r="698" spans="17:17" x14ac:dyDescent="0.2">
      <c r="Q698" s="34"/>
    </row>
    <row r="699" spans="17:17" x14ac:dyDescent="0.2">
      <c r="Q699" s="34"/>
    </row>
    <row r="700" spans="17:17" x14ac:dyDescent="0.2">
      <c r="Q700" s="34"/>
    </row>
    <row r="701" spans="17:17" x14ac:dyDescent="0.2">
      <c r="Q701" s="34"/>
    </row>
    <row r="702" spans="17:17" x14ac:dyDescent="0.2">
      <c r="Q702" s="34"/>
    </row>
    <row r="703" spans="17:17" x14ac:dyDescent="0.2">
      <c r="Q703" s="34"/>
    </row>
    <row r="704" spans="17:17" x14ac:dyDescent="0.2">
      <c r="Q704" s="34"/>
    </row>
    <row r="705" spans="17:17" x14ac:dyDescent="0.2">
      <c r="Q705" s="34"/>
    </row>
    <row r="706" spans="17:17" x14ac:dyDescent="0.2">
      <c r="Q706" s="34"/>
    </row>
    <row r="707" spans="17:17" x14ac:dyDescent="0.2">
      <c r="Q707" s="34"/>
    </row>
    <row r="708" spans="17:17" x14ac:dyDescent="0.2">
      <c r="Q708" s="34"/>
    </row>
    <row r="709" spans="17:17" x14ac:dyDescent="0.2">
      <c r="Q709" s="34"/>
    </row>
    <row r="710" spans="17:17" x14ac:dyDescent="0.2">
      <c r="Q710" s="34"/>
    </row>
    <row r="711" spans="17:17" x14ac:dyDescent="0.2">
      <c r="Q711" s="34"/>
    </row>
    <row r="712" spans="17:17" x14ac:dyDescent="0.2">
      <c r="Q712" s="34"/>
    </row>
    <row r="713" spans="17:17" x14ac:dyDescent="0.2">
      <c r="Q713" s="34"/>
    </row>
    <row r="714" spans="17:17" x14ac:dyDescent="0.2">
      <c r="Q714" s="34"/>
    </row>
    <row r="715" spans="17:17" x14ac:dyDescent="0.2">
      <c r="Q715" s="34"/>
    </row>
    <row r="716" spans="17:17" x14ac:dyDescent="0.2">
      <c r="Q716" s="34"/>
    </row>
    <row r="717" spans="17:17" x14ac:dyDescent="0.2">
      <c r="Q717" s="34"/>
    </row>
    <row r="718" spans="17:17" x14ac:dyDescent="0.2">
      <c r="Q718" s="34"/>
    </row>
    <row r="719" spans="17:17" x14ac:dyDescent="0.2">
      <c r="Q719" s="34"/>
    </row>
    <row r="720" spans="17:17" x14ac:dyDescent="0.2">
      <c r="Q720" s="34"/>
    </row>
    <row r="721" spans="17:17" x14ac:dyDescent="0.2">
      <c r="Q721" s="34"/>
    </row>
    <row r="722" spans="17:17" x14ac:dyDescent="0.2">
      <c r="Q722" s="34"/>
    </row>
    <row r="723" spans="17:17" x14ac:dyDescent="0.2">
      <c r="Q723" s="34"/>
    </row>
    <row r="724" spans="17:17" x14ac:dyDescent="0.2">
      <c r="Q724" s="34"/>
    </row>
    <row r="725" spans="17:17" x14ac:dyDescent="0.2">
      <c r="Q725" s="34"/>
    </row>
    <row r="726" spans="17:17" x14ac:dyDescent="0.2">
      <c r="Q726" s="34"/>
    </row>
    <row r="727" spans="17:17" x14ac:dyDescent="0.2">
      <c r="Q727" s="34"/>
    </row>
    <row r="728" spans="17:17" x14ac:dyDescent="0.2">
      <c r="Q728" s="34"/>
    </row>
    <row r="729" spans="17:17" x14ac:dyDescent="0.2">
      <c r="Q729" s="34"/>
    </row>
    <row r="730" spans="17:17" x14ac:dyDescent="0.2">
      <c r="Q730" s="34"/>
    </row>
    <row r="731" spans="17:17" x14ac:dyDescent="0.2">
      <c r="Q731" s="34"/>
    </row>
    <row r="732" spans="17:17" x14ac:dyDescent="0.2">
      <c r="Q732" s="34"/>
    </row>
    <row r="733" spans="17:17" x14ac:dyDescent="0.2">
      <c r="Q733" s="34"/>
    </row>
    <row r="734" spans="17:17" x14ac:dyDescent="0.2">
      <c r="Q734" s="34"/>
    </row>
    <row r="735" spans="17:17" x14ac:dyDescent="0.2">
      <c r="Q735" s="34"/>
    </row>
    <row r="736" spans="17:17" x14ac:dyDescent="0.2">
      <c r="Q736" s="34"/>
    </row>
    <row r="737" spans="17:17" x14ac:dyDescent="0.2">
      <c r="Q737" s="34"/>
    </row>
    <row r="738" spans="17:17" x14ac:dyDescent="0.2">
      <c r="Q738" s="34"/>
    </row>
    <row r="739" spans="17:17" x14ac:dyDescent="0.2">
      <c r="Q739" s="34"/>
    </row>
    <row r="740" spans="17:17" x14ac:dyDescent="0.2">
      <c r="Q740" s="34"/>
    </row>
    <row r="741" spans="17:17" x14ac:dyDescent="0.2">
      <c r="Q741" s="34"/>
    </row>
    <row r="742" spans="17:17" x14ac:dyDescent="0.2">
      <c r="Q742" s="34"/>
    </row>
    <row r="743" spans="17:17" x14ac:dyDescent="0.2">
      <c r="Q743" s="34"/>
    </row>
    <row r="744" spans="17:17" x14ac:dyDescent="0.2">
      <c r="Q744" s="34"/>
    </row>
    <row r="745" spans="17:17" x14ac:dyDescent="0.2">
      <c r="Q745" s="34"/>
    </row>
    <row r="746" spans="17:17" x14ac:dyDescent="0.2">
      <c r="Q746" s="34"/>
    </row>
    <row r="747" spans="17:17" x14ac:dyDescent="0.2">
      <c r="Q747" s="34"/>
    </row>
    <row r="748" spans="17:17" x14ac:dyDescent="0.2">
      <c r="Q748" s="34"/>
    </row>
    <row r="749" spans="17:17" x14ac:dyDescent="0.2">
      <c r="Q749" s="34"/>
    </row>
    <row r="750" spans="17:17" x14ac:dyDescent="0.2">
      <c r="Q750" s="34"/>
    </row>
    <row r="751" spans="17:17" x14ac:dyDescent="0.2">
      <c r="Q751" s="34"/>
    </row>
    <row r="752" spans="17:17" x14ac:dyDescent="0.2">
      <c r="Q752" s="34"/>
    </row>
    <row r="753" spans="17:17" x14ac:dyDescent="0.2">
      <c r="Q753" s="34"/>
    </row>
    <row r="754" spans="17:17" x14ac:dyDescent="0.2">
      <c r="Q754" s="34"/>
    </row>
    <row r="755" spans="17:17" x14ac:dyDescent="0.2">
      <c r="Q755" s="34"/>
    </row>
    <row r="756" spans="17:17" x14ac:dyDescent="0.2">
      <c r="Q756" s="34"/>
    </row>
    <row r="757" spans="17:17" x14ac:dyDescent="0.2">
      <c r="Q757" s="34"/>
    </row>
    <row r="758" spans="17:17" x14ac:dyDescent="0.2">
      <c r="Q758" s="34"/>
    </row>
    <row r="759" spans="17:17" x14ac:dyDescent="0.2">
      <c r="Q759" s="34"/>
    </row>
    <row r="760" spans="17:17" x14ac:dyDescent="0.2">
      <c r="Q760" s="34"/>
    </row>
    <row r="761" spans="17:17" x14ac:dyDescent="0.2">
      <c r="Q761" s="34"/>
    </row>
    <row r="762" spans="17:17" x14ac:dyDescent="0.2">
      <c r="Q762" s="34"/>
    </row>
    <row r="763" spans="17:17" x14ac:dyDescent="0.2">
      <c r="Q763" s="34"/>
    </row>
    <row r="764" spans="17:17" x14ac:dyDescent="0.2">
      <c r="Q764" s="34"/>
    </row>
    <row r="765" spans="17:17" x14ac:dyDescent="0.2">
      <c r="Q765" s="34"/>
    </row>
    <row r="766" spans="17:17" x14ac:dyDescent="0.2">
      <c r="Q766" s="34"/>
    </row>
    <row r="767" spans="17:17" x14ac:dyDescent="0.2">
      <c r="Q767" s="34"/>
    </row>
    <row r="768" spans="17:17" x14ac:dyDescent="0.2">
      <c r="Q768" s="34"/>
    </row>
    <row r="769" spans="17:17" x14ac:dyDescent="0.2">
      <c r="Q769" s="34"/>
    </row>
    <row r="770" spans="17:17" x14ac:dyDescent="0.2">
      <c r="Q770" s="34"/>
    </row>
    <row r="771" spans="17:17" x14ac:dyDescent="0.2">
      <c r="Q771" s="34"/>
    </row>
    <row r="772" spans="17:17" x14ac:dyDescent="0.2">
      <c r="Q772" s="34"/>
    </row>
    <row r="773" spans="17:17" x14ac:dyDescent="0.2">
      <c r="Q773" s="34"/>
    </row>
    <row r="774" spans="17:17" x14ac:dyDescent="0.2">
      <c r="Q774" s="34"/>
    </row>
    <row r="775" spans="17:17" x14ac:dyDescent="0.2">
      <c r="Q775" s="34"/>
    </row>
    <row r="776" spans="17:17" x14ac:dyDescent="0.2">
      <c r="Q776" s="34"/>
    </row>
    <row r="777" spans="17:17" x14ac:dyDescent="0.2">
      <c r="Q777" s="34"/>
    </row>
    <row r="778" spans="17:17" x14ac:dyDescent="0.2">
      <c r="Q778" s="34"/>
    </row>
    <row r="779" spans="17:17" x14ac:dyDescent="0.2">
      <c r="Q779" s="34"/>
    </row>
    <row r="780" spans="17:17" x14ac:dyDescent="0.2">
      <c r="Q780" s="34"/>
    </row>
    <row r="781" spans="17:17" x14ac:dyDescent="0.2">
      <c r="Q781" s="34"/>
    </row>
    <row r="782" spans="17:17" x14ac:dyDescent="0.2">
      <c r="Q782" s="34"/>
    </row>
    <row r="783" spans="17:17" x14ac:dyDescent="0.2">
      <c r="Q783" s="34"/>
    </row>
    <row r="784" spans="17:17" x14ac:dyDescent="0.2">
      <c r="Q784" s="34"/>
    </row>
    <row r="785" spans="17:17" x14ac:dyDescent="0.2">
      <c r="Q785" s="34"/>
    </row>
    <row r="786" spans="17:17" x14ac:dyDescent="0.2">
      <c r="Q786" s="34"/>
    </row>
    <row r="787" spans="17:17" x14ac:dyDescent="0.2">
      <c r="Q787" s="34"/>
    </row>
    <row r="788" spans="17:17" x14ac:dyDescent="0.2">
      <c r="Q788" s="34"/>
    </row>
    <row r="789" spans="17:17" x14ac:dyDescent="0.2">
      <c r="Q789" s="34"/>
    </row>
    <row r="790" spans="17:17" x14ac:dyDescent="0.2">
      <c r="Q790" s="34"/>
    </row>
    <row r="791" spans="17:17" x14ac:dyDescent="0.2">
      <c r="Q791" s="34"/>
    </row>
    <row r="792" spans="17:17" x14ac:dyDescent="0.2">
      <c r="Q792" s="34"/>
    </row>
    <row r="793" spans="17:17" x14ac:dyDescent="0.2">
      <c r="Q793" s="34"/>
    </row>
    <row r="794" spans="17:17" x14ac:dyDescent="0.2">
      <c r="Q794" s="34"/>
    </row>
    <row r="795" spans="17:17" x14ac:dyDescent="0.2">
      <c r="Q795" s="34"/>
    </row>
    <row r="796" spans="17:17" x14ac:dyDescent="0.2">
      <c r="Q796" s="34"/>
    </row>
    <row r="797" spans="17:17" x14ac:dyDescent="0.2">
      <c r="Q797" s="34"/>
    </row>
    <row r="798" spans="17:17" x14ac:dyDescent="0.2">
      <c r="Q798" s="34"/>
    </row>
    <row r="799" spans="17:17" x14ac:dyDescent="0.2">
      <c r="Q799" s="34"/>
    </row>
    <row r="800" spans="17:17" x14ac:dyDescent="0.2">
      <c r="Q800" s="34"/>
    </row>
    <row r="801" spans="17:17" x14ac:dyDescent="0.2">
      <c r="Q801" s="34"/>
    </row>
    <row r="802" spans="17:17" x14ac:dyDescent="0.2">
      <c r="Q802" s="34"/>
    </row>
    <row r="803" spans="17:17" x14ac:dyDescent="0.2">
      <c r="Q803" s="34"/>
    </row>
    <row r="804" spans="17:17" x14ac:dyDescent="0.2">
      <c r="Q804" s="34"/>
    </row>
    <row r="805" spans="17:17" x14ac:dyDescent="0.2">
      <c r="Q805" s="34"/>
    </row>
    <row r="806" spans="17:17" x14ac:dyDescent="0.2">
      <c r="Q806" s="34"/>
    </row>
    <row r="807" spans="17:17" x14ac:dyDescent="0.2">
      <c r="Q807" s="34"/>
    </row>
    <row r="808" spans="17:17" x14ac:dyDescent="0.2">
      <c r="Q808" s="34"/>
    </row>
    <row r="809" spans="17:17" x14ac:dyDescent="0.2">
      <c r="Q809" s="34"/>
    </row>
    <row r="810" spans="17:17" x14ac:dyDescent="0.2">
      <c r="Q810" s="34"/>
    </row>
    <row r="811" spans="17:17" x14ac:dyDescent="0.2">
      <c r="Q811" s="34"/>
    </row>
    <row r="812" spans="17:17" x14ac:dyDescent="0.2">
      <c r="Q812" s="34"/>
    </row>
    <row r="813" spans="17:17" x14ac:dyDescent="0.2">
      <c r="Q813" s="34"/>
    </row>
    <row r="814" spans="17:17" x14ac:dyDescent="0.2">
      <c r="Q814" s="34"/>
    </row>
    <row r="815" spans="17:17" x14ac:dyDescent="0.2">
      <c r="Q815" s="34"/>
    </row>
    <row r="816" spans="17:17" x14ac:dyDescent="0.2">
      <c r="Q816" s="34"/>
    </row>
    <row r="817" spans="17:17" x14ac:dyDescent="0.2">
      <c r="Q817" s="34"/>
    </row>
    <row r="818" spans="17:17" x14ac:dyDescent="0.2">
      <c r="Q818" s="34"/>
    </row>
    <row r="819" spans="17:17" x14ac:dyDescent="0.2">
      <c r="Q819" s="34"/>
    </row>
    <row r="820" spans="17:17" x14ac:dyDescent="0.2">
      <c r="Q820" s="34"/>
    </row>
    <row r="821" spans="17:17" x14ac:dyDescent="0.2">
      <c r="Q821" s="34"/>
    </row>
    <row r="822" spans="17:17" x14ac:dyDescent="0.2">
      <c r="Q822" s="34"/>
    </row>
    <row r="823" spans="17:17" x14ac:dyDescent="0.2">
      <c r="Q823" s="34"/>
    </row>
    <row r="824" spans="17:17" x14ac:dyDescent="0.2">
      <c r="Q824" s="34"/>
    </row>
    <row r="825" spans="17:17" x14ac:dyDescent="0.2">
      <c r="Q825" s="34"/>
    </row>
    <row r="826" spans="17:17" x14ac:dyDescent="0.2">
      <c r="Q826" s="34"/>
    </row>
    <row r="827" spans="17:17" x14ac:dyDescent="0.2">
      <c r="Q827" s="34"/>
    </row>
    <row r="828" spans="17:17" x14ac:dyDescent="0.2">
      <c r="Q828" s="34"/>
    </row>
    <row r="829" spans="17:17" x14ac:dyDescent="0.2">
      <c r="Q829" s="34"/>
    </row>
    <row r="830" spans="17:17" x14ac:dyDescent="0.2">
      <c r="Q830" s="34"/>
    </row>
    <row r="831" spans="17:17" x14ac:dyDescent="0.2">
      <c r="Q831" s="34"/>
    </row>
    <row r="832" spans="17:17" x14ac:dyDescent="0.2">
      <c r="Q832" s="34"/>
    </row>
    <row r="833" spans="17:17" x14ac:dyDescent="0.2">
      <c r="Q833" s="34"/>
    </row>
    <row r="834" spans="17:17" x14ac:dyDescent="0.2">
      <c r="Q834" s="34"/>
    </row>
    <row r="835" spans="17:17" x14ac:dyDescent="0.2">
      <c r="Q835" s="34"/>
    </row>
    <row r="836" spans="17:17" x14ac:dyDescent="0.2">
      <c r="Q836" s="34"/>
    </row>
    <row r="837" spans="17:17" x14ac:dyDescent="0.2">
      <c r="Q837" s="34"/>
    </row>
    <row r="838" spans="17:17" x14ac:dyDescent="0.2">
      <c r="Q838" s="34"/>
    </row>
    <row r="839" spans="17:17" x14ac:dyDescent="0.2">
      <c r="Q839" s="34"/>
    </row>
    <row r="840" spans="17:17" x14ac:dyDescent="0.2">
      <c r="Q840" s="34"/>
    </row>
    <row r="841" spans="17:17" x14ac:dyDescent="0.2">
      <c r="Q841" s="34"/>
    </row>
    <row r="842" spans="17:17" x14ac:dyDescent="0.2">
      <c r="Q842" s="34"/>
    </row>
    <row r="843" spans="17:17" x14ac:dyDescent="0.2">
      <c r="Q843" s="34"/>
    </row>
    <row r="844" spans="17:17" x14ac:dyDescent="0.2">
      <c r="Q844" s="34"/>
    </row>
    <row r="845" spans="17:17" x14ac:dyDescent="0.2">
      <c r="Q845" s="34"/>
    </row>
    <row r="846" spans="17:17" x14ac:dyDescent="0.2">
      <c r="Q846" s="34"/>
    </row>
    <row r="847" spans="17:17" x14ac:dyDescent="0.2">
      <c r="Q847" s="34"/>
    </row>
    <row r="848" spans="17:17" x14ac:dyDescent="0.2">
      <c r="Q848" s="34"/>
    </row>
    <row r="849" spans="17:17" x14ac:dyDescent="0.2">
      <c r="Q849" s="34"/>
    </row>
    <row r="850" spans="17:17" x14ac:dyDescent="0.2">
      <c r="Q850" s="34"/>
    </row>
    <row r="851" spans="17:17" x14ac:dyDescent="0.2">
      <c r="Q851" s="34"/>
    </row>
    <row r="852" spans="17:17" x14ac:dyDescent="0.2">
      <c r="Q852" s="34"/>
    </row>
    <row r="853" spans="17:17" x14ac:dyDescent="0.2">
      <c r="Q853" s="34"/>
    </row>
    <row r="854" spans="17:17" x14ac:dyDescent="0.2">
      <c r="Q854" s="34"/>
    </row>
    <row r="855" spans="17:17" x14ac:dyDescent="0.2">
      <c r="Q855" s="34"/>
    </row>
    <row r="856" spans="17:17" x14ac:dyDescent="0.2">
      <c r="Q856" s="34"/>
    </row>
    <row r="857" spans="17:17" x14ac:dyDescent="0.2">
      <c r="Q857" s="34"/>
    </row>
    <row r="858" spans="17:17" x14ac:dyDescent="0.2">
      <c r="Q858" s="34"/>
    </row>
    <row r="859" spans="17:17" x14ac:dyDescent="0.2">
      <c r="Q859" s="34"/>
    </row>
    <row r="860" spans="17:17" x14ac:dyDescent="0.2">
      <c r="Q860" s="34"/>
    </row>
    <row r="861" spans="17:17" x14ac:dyDescent="0.2">
      <c r="Q861" s="34"/>
    </row>
    <row r="862" spans="17:17" x14ac:dyDescent="0.2">
      <c r="Q862" s="34"/>
    </row>
    <row r="863" spans="17:17" x14ac:dyDescent="0.2">
      <c r="Q863" s="34"/>
    </row>
    <row r="864" spans="17:17" x14ac:dyDescent="0.2">
      <c r="Q864" s="34"/>
    </row>
    <row r="865" spans="17:17" x14ac:dyDescent="0.2">
      <c r="Q865" s="34"/>
    </row>
    <row r="866" spans="17:17" x14ac:dyDescent="0.2">
      <c r="Q866" s="34"/>
    </row>
    <row r="867" spans="17:17" x14ac:dyDescent="0.2">
      <c r="Q867" s="34"/>
    </row>
    <row r="868" spans="17:17" x14ac:dyDescent="0.2">
      <c r="Q868" s="34"/>
    </row>
    <row r="869" spans="17:17" x14ac:dyDescent="0.2">
      <c r="Q869" s="34"/>
    </row>
    <row r="870" spans="17:17" x14ac:dyDescent="0.2">
      <c r="Q870" s="34"/>
    </row>
    <row r="871" spans="17:17" x14ac:dyDescent="0.2">
      <c r="Q871" s="34"/>
    </row>
    <row r="872" spans="17:17" x14ac:dyDescent="0.2">
      <c r="Q872" s="34"/>
    </row>
    <row r="873" spans="17:17" x14ac:dyDescent="0.2">
      <c r="Q873" s="34"/>
    </row>
    <row r="874" spans="17:17" x14ac:dyDescent="0.2">
      <c r="Q874" s="34"/>
    </row>
    <row r="875" spans="17:17" x14ac:dyDescent="0.2">
      <c r="Q875" s="34"/>
    </row>
    <row r="876" spans="17:17" x14ac:dyDescent="0.2">
      <c r="Q876" s="34"/>
    </row>
    <row r="877" spans="17:17" x14ac:dyDescent="0.2">
      <c r="Q877" s="34"/>
    </row>
    <row r="878" spans="17:17" x14ac:dyDescent="0.2">
      <c r="Q878" s="34"/>
    </row>
    <row r="879" spans="17:17" x14ac:dyDescent="0.2">
      <c r="Q879" s="34"/>
    </row>
    <row r="880" spans="17:17" x14ac:dyDescent="0.2">
      <c r="Q880" s="34"/>
    </row>
    <row r="881" spans="17:17" x14ac:dyDescent="0.2">
      <c r="Q881" s="34"/>
    </row>
    <row r="882" spans="17:17" x14ac:dyDescent="0.2">
      <c r="Q882" s="34"/>
    </row>
    <row r="883" spans="17:17" x14ac:dyDescent="0.2">
      <c r="Q883" s="34"/>
    </row>
    <row r="884" spans="17:17" x14ac:dyDescent="0.2">
      <c r="Q884" s="34"/>
    </row>
    <row r="885" spans="17:17" x14ac:dyDescent="0.2">
      <c r="Q885" s="34"/>
    </row>
    <row r="886" spans="17:17" x14ac:dyDescent="0.2">
      <c r="Q886" s="34"/>
    </row>
    <row r="887" spans="17:17" x14ac:dyDescent="0.2">
      <c r="Q887" s="34"/>
    </row>
    <row r="888" spans="17:17" x14ac:dyDescent="0.2">
      <c r="Q888" s="34"/>
    </row>
    <row r="889" spans="17:17" x14ac:dyDescent="0.2">
      <c r="Q889" s="34"/>
    </row>
    <row r="890" spans="17:17" x14ac:dyDescent="0.2">
      <c r="Q890" s="34"/>
    </row>
    <row r="891" spans="17:17" x14ac:dyDescent="0.2">
      <c r="Q891" s="34"/>
    </row>
    <row r="892" spans="17:17" x14ac:dyDescent="0.2">
      <c r="Q892" s="34"/>
    </row>
    <row r="893" spans="17:17" x14ac:dyDescent="0.2">
      <c r="Q893" s="34"/>
    </row>
    <row r="894" spans="17:17" x14ac:dyDescent="0.2">
      <c r="Q894" s="34"/>
    </row>
    <row r="895" spans="17:17" x14ac:dyDescent="0.2">
      <c r="Q895" s="34"/>
    </row>
    <row r="896" spans="17:17" x14ac:dyDescent="0.2">
      <c r="Q896" s="34"/>
    </row>
    <row r="897" spans="17:17" x14ac:dyDescent="0.2">
      <c r="Q897" s="34"/>
    </row>
    <row r="898" spans="17:17" x14ac:dyDescent="0.2">
      <c r="Q898" s="34"/>
    </row>
    <row r="899" spans="17:17" x14ac:dyDescent="0.2">
      <c r="Q899" s="34"/>
    </row>
    <row r="900" spans="17:17" x14ac:dyDescent="0.2">
      <c r="Q900" s="34"/>
    </row>
    <row r="901" spans="17:17" x14ac:dyDescent="0.2">
      <c r="Q901" s="34"/>
    </row>
    <row r="902" spans="17:17" x14ac:dyDescent="0.2">
      <c r="Q902" s="34"/>
    </row>
    <row r="903" spans="17:17" x14ac:dyDescent="0.2">
      <c r="Q903" s="34"/>
    </row>
    <row r="904" spans="17:17" x14ac:dyDescent="0.2">
      <c r="Q904" s="34"/>
    </row>
    <row r="905" spans="17:17" x14ac:dyDescent="0.2">
      <c r="Q905" s="34"/>
    </row>
    <row r="906" spans="17:17" x14ac:dyDescent="0.2">
      <c r="Q906" s="34"/>
    </row>
    <row r="907" spans="17:17" x14ac:dyDescent="0.2">
      <c r="Q907" s="34"/>
    </row>
    <row r="908" spans="17:17" x14ac:dyDescent="0.2">
      <c r="Q908" s="34"/>
    </row>
    <row r="909" spans="17:17" x14ac:dyDescent="0.2">
      <c r="Q909" s="34"/>
    </row>
    <row r="910" spans="17:17" x14ac:dyDescent="0.2">
      <c r="Q910" s="34"/>
    </row>
    <row r="911" spans="17:17" x14ac:dyDescent="0.2">
      <c r="Q911" s="34"/>
    </row>
    <row r="912" spans="17:17" x14ac:dyDescent="0.2">
      <c r="Q912" s="34"/>
    </row>
    <row r="913" spans="17:17" x14ac:dyDescent="0.2">
      <c r="Q913" s="34"/>
    </row>
    <row r="914" spans="17:17" x14ac:dyDescent="0.2">
      <c r="Q914" s="34"/>
    </row>
    <row r="915" spans="17:17" x14ac:dyDescent="0.2">
      <c r="Q915" s="34"/>
    </row>
    <row r="916" spans="17:17" x14ac:dyDescent="0.2">
      <c r="Q916" s="34"/>
    </row>
    <row r="917" spans="17:17" x14ac:dyDescent="0.2">
      <c r="Q917" s="34"/>
    </row>
    <row r="918" spans="17:17" x14ac:dyDescent="0.2">
      <c r="Q918" s="34"/>
    </row>
    <row r="919" spans="17:17" x14ac:dyDescent="0.2">
      <c r="Q919" s="34"/>
    </row>
    <row r="920" spans="17:17" x14ac:dyDescent="0.2">
      <c r="Q920" s="34"/>
    </row>
    <row r="921" spans="17:17" x14ac:dyDescent="0.2">
      <c r="Q921" s="34"/>
    </row>
    <row r="922" spans="17:17" x14ac:dyDescent="0.2">
      <c r="Q922" s="34"/>
    </row>
    <row r="923" spans="17:17" x14ac:dyDescent="0.2">
      <c r="Q923" s="34"/>
    </row>
    <row r="924" spans="17:17" x14ac:dyDescent="0.2">
      <c r="Q924" s="34"/>
    </row>
    <row r="925" spans="17:17" x14ac:dyDescent="0.2">
      <c r="Q925" s="34"/>
    </row>
    <row r="926" spans="17:17" x14ac:dyDescent="0.2">
      <c r="Q926" s="34"/>
    </row>
    <row r="927" spans="17:17" x14ac:dyDescent="0.2">
      <c r="Q927" s="34"/>
    </row>
    <row r="928" spans="17:17" x14ac:dyDescent="0.2">
      <c r="Q928" s="34"/>
    </row>
    <row r="929" spans="17:17" x14ac:dyDescent="0.2">
      <c r="Q929" s="34"/>
    </row>
    <row r="930" spans="17:17" x14ac:dyDescent="0.2">
      <c r="Q930" s="34"/>
    </row>
    <row r="931" spans="17:17" x14ac:dyDescent="0.2">
      <c r="Q931" s="34"/>
    </row>
    <row r="932" spans="17:17" x14ac:dyDescent="0.2">
      <c r="Q932" s="34"/>
    </row>
    <row r="933" spans="17:17" x14ac:dyDescent="0.2">
      <c r="Q933" s="34"/>
    </row>
    <row r="934" spans="17:17" x14ac:dyDescent="0.2">
      <c r="Q934" s="34"/>
    </row>
    <row r="935" spans="17:17" x14ac:dyDescent="0.2">
      <c r="Q935" s="34"/>
    </row>
    <row r="936" spans="17:17" x14ac:dyDescent="0.2">
      <c r="Q936" s="34"/>
    </row>
    <row r="937" spans="17:17" x14ac:dyDescent="0.2">
      <c r="Q937" s="34"/>
    </row>
    <row r="938" spans="17:17" x14ac:dyDescent="0.2">
      <c r="Q938" s="34"/>
    </row>
    <row r="939" spans="17:17" x14ac:dyDescent="0.2">
      <c r="Q939" s="34"/>
    </row>
    <row r="940" spans="17:17" x14ac:dyDescent="0.2">
      <c r="Q940" s="34"/>
    </row>
    <row r="941" spans="17:17" x14ac:dyDescent="0.2">
      <c r="Q941" s="34"/>
    </row>
    <row r="942" spans="17:17" x14ac:dyDescent="0.2">
      <c r="Q942" s="34"/>
    </row>
    <row r="943" spans="17:17" x14ac:dyDescent="0.2">
      <c r="Q943" s="34"/>
    </row>
    <row r="944" spans="17:17" x14ac:dyDescent="0.2">
      <c r="Q944" s="34"/>
    </row>
    <row r="945" spans="17:17" x14ac:dyDescent="0.2">
      <c r="Q945" s="34"/>
    </row>
    <row r="946" spans="17:17" x14ac:dyDescent="0.2">
      <c r="Q946" s="34"/>
    </row>
    <row r="947" spans="17:17" x14ac:dyDescent="0.2">
      <c r="Q947" s="34"/>
    </row>
    <row r="948" spans="17:17" x14ac:dyDescent="0.2">
      <c r="Q948" s="34"/>
    </row>
    <row r="949" spans="17:17" x14ac:dyDescent="0.2">
      <c r="Q949" s="34"/>
    </row>
    <row r="950" spans="17:17" x14ac:dyDescent="0.2">
      <c r="Q950" s="34"/>
    </row>
    <row r="951" spans="17:17" x14ac:dyDescent="0.2">
      <c r="Q951" s="34"/>
    </row>
    <row r="952" spans="17:17" x14ac:dyDescent="0.2">
      <c r="Q952" s="34"/>
    </row>
    <row r="953" spans="17:17" x14ac:dyDescent="0.2">
      <c r="Q953" s="34"/>
    </row>
    <row r="954" spans="17:17" x14ac:dyDescent="0.2">
      <c r="Q954" s="34"/>
    </row>
    <row r="955" spans="17:17" x14ac:dyDescent="0.2">
      <c r="Q955" s="34"/>
    </row>
    <row r="956" spans="17:17" x14ac:dyDescent="0.2">
      <c r="Q956" s="34"/>
    </row>
    <row r="957" spans="17:17" x14ac:dyDescent="0.2">
      <c r="Q957" s="34"/>
    </row>
    <row r="958" spans="17:17" x14ac:dyDescent="0.2">
      <c r="Q958" s="34"/>
    </row>
    <row r="959" spans="17:17" x14ac:dyDescent="0.2">
      <c r="Q959" s="34"/>
    </row>
    <row r="960" spans="17:17" x14ac:dyDescent="0.2">
      <c r="Q960" s="34"/>
    </row>
    <row r="961" spans="17:17" x14ac:dyDescent="0.2">
      <c r="Q961" s="34"/>
    </row>
    <row r="962" spans="17:17" x14ac:dyDescent="0.2">
      <c r="Q962" s="34"/>
    </row>
    <row r="963" spans="17:17" x14ac:dyDescent="0.2">
      <c r="Q963" s="34"/>
    </row>
    <row r="964" spans="17:17" x14ac:dyDescent="0.2">
      <c r="Q964" s="34"/>
    </row>
    <row r="965" spans="17:17" x14ac:dyDescent="0.2">
      <c r="Q965" s="34"/>
    </row>
    <row r="966" spans="17:17" x14ac:dyDescent="0.2">
      <c r="Q966" s="34"/>
    </row>
    <row r="967" spans="17:17" x14ac:dyDescent="0.2">
      <c r="Q967" s="34"/>
    </row>
    <row r="968" spans="17:17" x14ac:dyDescent="0.2">
      <c r="Q968" s="34"/>
    </row>
    <row r="969" spans="17:17" x14ac:dyDescent="0.2">
      <c r="Q969" s="34"/>
    </row>
    <row r="970" spans="17:17" x14ac:dyDescent="0.2">
      <c r="Q970" s="34"/>
    </row>
    <row r="971" spans="17:17" x14ac:dyDescent="0.2">
      <c r="Q971" s="34"/>
    </row>
    <row r="972" spans="17:17" x14ac:dyDescent="0.2">
      <c r="Q972" s="34"/>
    </row>
    <row r="973" spans="17:17" x14ac:dyDescent="0.2">
      <c r="Q973" s="34"/>
    </row>
    <row r="974" spans="17:17" x14ac:dyDescent="0.2">
      <c r="Q974" s="34"/>
    </row>
    <row r="975" spans="17:17" x14ac:dyDescent="0.2">
      <c r="Q975" s="34"/>
    </row>
    <row r="976" spans="17:17" x14ac:dyDescent="0.2">
      <c r="Q976" s="34"/>
    </row>
    <row r="977" spans="17:17" x14ac:dyDescent="0.2">
      <c r="Q977" s="34"/>
    </row>
    <row r="978" spans="17:17" x14ac:dyDescent="0.2">
      <c r="Q978" s="34"/>
    </row>
    <row r="979" spans="17:17" x14ac:dyDescent="0.2">
      <c r="Q979" s="34"/>
    </row>
    <row r="980" spans="17:17" x14ac:dyDescent="0.2">
      <c r="Q980" s="34"/>
    </row>
    <row r="981" spans="17:17" x14ac:dyDescent="0.2">
      <c r="Q981" s="34"/>
    </row>
    <row r="982" spans="17:17" x14ac:dyDescent="0.2">
      <c r="Q982" s="34"/>
    </row>
    <row r="983" spans="17:17" x14ac:dyDescent="0.2">
      <c r="Q983" s="34"/>
    </row>
    <row r="984" spans="17:17" x14ac:dyDescent="0.2">
      <c r="Q984" s="34"/>
    </row>
    <row r="985" spans="17:17" x14ac:dyDescent="0.2">
      <c r="Q985" s="34"/>
    </row>
    <row r="986" spans="17:17" x14ac:dyDescent="0.2">
      <c r="Q986" s="34"/>
    </row>
    <row r="987" spans="17:17" x14ac:dyDescent="0.2">
      <c r="Q987" s="34"/>
    </row>
    <row r="988" spans="17:17" x14ac:dyDescent="0.2">
      <c r="Q988" s="34"/>
    </row>
    <row r="989" spans="17:17" x14ac:dyDescent="0.2">
      <c r="Q989" s="34"/>
    </row>
    <row r="990" spans="17:17" x14ac:dyDescent="0.2">
      <c r="Q990" s="34"/>
    </row>
    <row r="991" spans="17:17" x14ac:dyDescent="0.2">
      <c r="Q991" s="34"/>
    </row>
    <row r="992" spans="17:17" x14ac:dyDescent="0.2">
      <c r="Q992" s="34"/>
    </row>
    <row r="993" spans="17:17" x14ac:dyDescent="0.2">
      <c r="Q993" s="34"/>
    </row>
    <row r="994" spans="17:17" x14ac:dyDescent="0.2">
      <c r="Q994" s="34"/>
    </row>
    <row r="995" spans="17:17" x14ac:dyDescent="0.2">
      <c r="Q995" s="34"/>
    </row>
    <row r="996" spans="17:17" x14ac:dyDescent="0.2">
      <c r="Q996" s="34"/>
    </row>
    <row r="997" spans="17:17" x14ac:dyDescent="0.2">
      <c r="Q997" s="34"/>
    </row>
    <row r="998" spans="17:17" x14ac:dyDescent="0.2">
      <c r="Q998" s="34"/>
    </row>
    <row r="999" spans="17:17" x14ac:dyDescent="0.2">
      <c r="Q999" s="34"/>
    </row>
  </sheetData>
  <autoFilter ref="A1:AC999" xr:uid="{00000000-0009-0000-0000-000003000000}"/>
  <conditionalFormatting sqref="O2:O170">
    <cfRule type="containsText" dxfId="3" priority="1" operator="containsText" text="Medium">
      <formula>NOT(ISERROR(SEARCH(("Medium"),(O2))))</formula>
    </cfRule>
    <cfRule type="containsText" dxfId="2" priority="2" operator="containsText" text="Now">
      <formula>NOT(ISERROR(SEARCH(("Now"),(O2))))</formula>
    </cfRule>
    <cfRule type="containsText" dxfId="1" priority="3" operator="containsText" text="Short">
      <formula>NOT(ISERROR(SEARCH(("Short"),(O2))))</formula>
    </cfRule>
    <cfRule type="containsText" dxfId="0" priority="4" operator="containsText" text="Long">
      <formula>NOT(ISERROR(SEARCH(("Long"),(O2))))</formula>
    </cfRule>
  </conditionalFormatting>
  <dataValidations count="3">
    <dataValidation type="list" allowBlank="1" sqref="F29 F39 F50:F51 F59 F72 F78 F83 F138 F150:F151 F154:F170" xr:uid="{00000000-0002-0000-0300-000000000000}">
      <formula1>"Cabernet Sauvignon,Cabernet Franc,Bordeaux Blend - Right Bank,Bordeaux Blend - Left Bank,Rhone Blend,Pinot Noir,Zinfandel,Merlot,Syrah,Petit Verdot,Rhone Blend,Chardonnay,Bordeaux Blanc,Sauvignon Blanc,Nebbiolo,Other"</formula1>
    </dataValidation>
    <dataValidation type="list" allowBlank="1" sqref="F2:F28 F30:F38 F40:F49 F52:F58 F60:F71 F73:F77 F79:F82 F84:F137 F139:F149 F152:F153" xr:uid="{00000000-0002-0000-0300-000001000000}">
      <formula1>"Cabernet Sauvignon,Cabernet Franc,Bordeaux Blend - Right Bank,Bordeaux Blend - Left Bank,Rhone Blend,Pinot Noir,Zinfandel,Merlot,Syrah,Petit Verdot,Rhone Blend,Chardonnay,Bordeaux Blanc,Sauvignon Blanc,Other"</formula1>
    </dataValidation>
    <dataValidation type="list" allowBlank="1" sqref="A2:A170" xr:uid="{00000000-0002-0000-0300-000002000000}">
      <formula1>"Red,White,Sparkling"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9"/>
  <sheetViews>
    <sheetView workbookViewId="0"/>
  </sheetViews>
  <sheetFormatPr baseColWidth="10" defaultColWidth="14.3984375" defaultRowHeight="15.75" customHeight="1" x14ac:dyDescent="0.2"/>
  <cols>
    <col min="2" max="2" width="28" customWidth="1"/>
    <col min="3" max="3" width="36" customWidth="1"/>
    <col min="4" max="4" width="28.796875" customWidth="1"/>
  </cols>
  <sheetData>
    <row r="1" spans="1:28" x14ac:dyDescent="0.2">
      <c r="A1" s="47" t="s">
        <v>621</v>
      </c>
      <c r="B1" s="47" t="s">
        <v>622</v>
      </c>
      <c r="C1" s="47" t="s">
        <v>623</v>
      </c>
      <c r="D1" s="47" t="s">
        <v>624</v>
      </c>
      <c r="E1" s="47" t="s">
        <v>625</v>
      </c>
      <c r="F1" s="47" t="s">
        <v>626</v>
      </c>
      <c r="G1" s="47" t="s">
        <v>627</v>
      </c>
      <c r="H1" s="47" t="s">
        <v>628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x14ac:dyDescent="0.2">
      <c r="A2" s="49" t="s">
        <v>37</v>
      </c>
      <c r="B2" s="50"/>
      <c r="C2" s="50"/>
      <c r="D2" s="50"/>
      <c r="E2" s="51"/>
      <c r="F2" s="51"/>
      <c r="G2" s="51"/>
      <c r="H2" s="51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28" x14ac:dyDescent="0.2">
      <c r="A3" s="52">
        <v>2016</v>
      </c>
      <c r="B3" s="53" t="s">
        <v>350</v>
      </c>
      <c r="C3" s="53" t="s">
        <v>609</v>
      </c>
      <c r="D3" s="53" t="s">
        <v>301</v>
      </c>
      <c r="E3" s="52">
        <v>55</v>
      </c>
      <c r="F3" s="52">
        <v>1</v>
      </c>
      <c r="G3" s="52">
        <v>6</v>
      </c>
      <c r="H3" s="52">
        <v>55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28" x14ac:dyDescent="0.2">
      <c r="A4" s="49" t="s">
        <v>629</v>
      </c>
      <c r="B4" s="48"/>
      <c r="C4" s="48"/>
      <c r="D4" s="48"/>
      <c r="E4" s="54"/>
      <c r="F4" s="54"/>
      <c r="G4" s="54"/>
      <c r="H4" s="54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28" x14ac:dyDescent="0.2">
      <c r="A5" s="54">
        <v>2014</v>
      </c>
      <c r="B5" s="48" t="s">
        <v>44</v>
      </c>
      <c r="C5" s="48" t="s">
        <v>578</v>
      </c>
      <c r="D5" s="48" t="s">
        <v>103</v>
      </c>
      <c r="E5" s="54">
        <v>42</v>
      </c>
      <c r="F5" s="54">
        <v>1</v>
      </c>
      <c r="G5" s="54">
        <v>5</v>
      </c>
      <c r="H5" s="54">
        <v>42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spans="1:28" x14ac:dyDescent="0.2">
      <c r="A6" s="54">
        <v>2013</v>
      </c>
      <c r="B6" s="48" t="s">
        <v>44</v>
      </c>
      <c r="C6" s="48" t="s">
        <v>630</v>
      </c>
      <c r="D6" s="48" t="s">
        <v>631</v>
      </c>
      <c r="E6" s="54">
        <v>45</v>
      </c>
      <c r="F6" s="54">
        <v>1</v>
      </c>
      <c r="G6" s="54">
        <v>14</v>
      </c>
      <c r="H6" s="54">
        <v>45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spans="1:28" x14ac:dyDescent="0.2">
      <c r="A7" s="54" t="s">
        <v>407</v>
      </c>
      <c r="B7" s="48" t="s">
        <v>44</v>
      </c>
      <c r="C7" s="48" t="s">
        <v>46</v>
      </c>
      <c r="D7" s="48" t="s">
        <v>631</v>
      </c>
      <c r="E7" s="54">
        <v>60</v>
      </c>
      <c r="F7" s="54">
        <v>1</v>
      </c>
      <c r="G7" s="48"/>
      <c r="H7" s="54">
        <v>60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spans="1:28" x14ac:dyDescent="0.2">
      <c r="A8" s="49" t="s">
        <v>24</v>
      </c>
      <c r="B8" s="48"/>
      <c r="C8" s="48"/>
      <c r="D8" s="48"/>
      <c r="E8" s="54"/>
      <c r="F8" s="54"/>
      <c r="G8" s="54"/>
      <c r="H8" s="54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spans="1:28" x14ac:dyDescent="0.2">
      <c r="A9" s="54">
        <v>2014</v>
      </c>
      <c r="B9" s="48" t="s">
        <v>235</v>
      </c>
      <c r="C9" s="48" t="s">
        <v>552</v>
      </c>
      <c r="D9" s="48" t="s">
        <v>205</v>
      </c>
      <c r="E9" s="54">
        <v>35</v>
      </c>
      <c r="F9" s="54">
        <v>1</v>
      </c>
      <c r="G9" s="54">
        <v>3</v>
      </c>
      <c r="H9" s="54">
        <v>35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spans="1:28" x14ac:dyDescent="0.2">
      <c r="A10" s="54">
        <v>2015</v>
      </c>
      <c r="B10" s="48" t="s">
        <v>129</v>
      </c>
      <c r="C10" s="48" t="s">
        <v>583</v>
      </c>
      <c r="D10" s="48" t="s">
        <v>197</v>
      </c>
      <c r="E10" s="54">
        <v>45</v>
      </c>
      <c r="F10" s="54">
        <v>1</v>
      </c>
      <c r="G10" s="54">
        <v>3</v>
      </c>
      <c r="H10" s="54">
        <v>45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 spans="1:28" x14ac:dyDescent="0.2">
      <c r="A11" s="54">
        <v>2015</v>
      </c>
      <c r="B11" s="48" t="s">
        <v>415</v>
      </c>
      <c r="C11" s="48" t="s">
        <v>598</v>
      </c>
      <c r="D11" s="48" t="s">
        <v>205</v>
      </c>
      <c r="E11" s="54">
        <v>45</v>
      </c>
      <c r="F11" s="54">
        <v>1</v>
      </c>
      <c r="G11" s="54">
        <v>3</v>
      </c>
      <c r="H11" s="54">
        <v>45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spans="1:28" x14ac:dyDescent="0.2">
      <c r="A12" s="54">
        <v>2016</v>
      </c>
      <c r="B12" s="48" t="s">
        <v>632</v>
      </c>
      <c r="C12" s="48" t="s">
        <v>633</v>
      </c>
      <c r="D12" s="48" t="s">
        <v>197</v>
      </c>
      <c r="E12" s="54">
        <v>45</v>
      </c>
      <c r="F12" s="54">
        <v>1</v>
      </c>
      <c r="G12" s="54">
        <v>18</v>
      </c>
      <c r="H12" s="54">
        <v>45</v>
      </c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 spans="1:28" x14ac:dyDescent="0.2">
      <c r="A13" s="34">
        <v>2013</v>
      </c>
      <c r="B13" s="34" t="s">
        <v>551</v>
      </c>
      <c r="C13" s="34" t="s">
        <v>126</v>
      </c>
      <c r="D13" s="34" t="s">
        <v>99</v>
      </c>
      <c r="E13" s="34">
        <v>55</v>
      </c>
      <c r="F13" s="34">
        <v>1</v>
      </c>
      <c r="G13" s="34">
        <v>1</v>
      </c>
      <c r="H13" s="34">
        <v>55</v>
      </c>
    </row>
    <row r="14" spans="1:28" x14ac:dyDescent="0.2">
      <c r="A14" s="34">
        <v>2015</v>
      </c>
      <c r="B14" s="34" t="s">
        <v>551</v>
      </c>
      <c r="C14" s="34" t="s">
        <v>634</v>
      </c>
      <c r="D14" s="34" t="s">
        <v>197</v>
      </c>
      <c r="E14" s="34">
        <v>50</v>
      </c>
      <c r="F14" s="34">
        <v>1</v>
      </c>
      <c r="G14" s="34">
        <v>18</v>
      </c>
      <c r="H14" s="34">
        <v>50</v>
      </c>
    </row>
    <row r="15" spans="1:28" x14ac:dyDescent="0.2">
      <c r="A15" s="34">
        <v>2013</v>
      </c>
      <c r="B15" s="41" t="s">
        <v>551</v>
      </c>
      <c r="C15" s="43" t="s">
        <v>126</v>
      </c>
      <c r="D15" s="41" t="s">
        <v>99</v>
      </c>
      <c r="E15" s="54">
        <v>55</v>
      </c>
      <c r="F15" s="54"/>
      <c r="G15" s="54"/>
      <c r="H15" s="54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8" x14ac:dyDescent="0.2">
      <c r="A16" s="34">
        <v>2019</v>
      </c>
      <c r="B16" s="41" t="s">
        <v>191</v>
      </c>
      <c r="C16" s="43" t="s">
        <v>387</v>
      </c>
      <c r="D16" s="41" t="s">
        <v>386</v>
      </c>
      <c r="E16" s="41">
        <v>60</v>
      </c>
      <c r="F16" s="41">
        <v>5</v>
      </c>
      <c r="G16" s="41" t="s">
        <v>568</v>
      </c>
      <c r="H16" s="41"/>
    </row>
    <row r="17" spans="1:28" x14ac:dyDescent="0.2">
      <c r="A17" s="34">
        <v>2009</v>
      </c>
      <c r="B17" s="41" t="s">
        <v>635</v>
      </c>
      <c r="C17" s="43" t="s">
        <v>73</v>
      </c>
      <c r="D17" s="41" t="s">
        <v>521</v>
      </c>
      <c r="E17" s="41">
        <v>60</v>
      </c>
      <c r="F17" s="41">
        <v>3</v>
      </c>
      <c r="G17" s="41">
        <v>7</v>
      </c>
      <c r="H17" s="41">
        <f>E17*F17</f>
        <v>180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x14ac:dyDescent="0.2">
      <c r="A18" s="52">
        <v>2013</v>
      </c>
      <c r="B18" s="53" t="s">
        <v>636</v>
      </c>
      <c r="C18" s="53" t="s">
        <v>637</v>
      </c>
      <c r="D18" s="53" t="s">
        <v>638</v>
      </c>
      <c r="E18" s="52">
        <v>50</v>
      </c>
      <c r="F18" s="52">
        <v>1</v>
      </c>
      <c r="G18" s="52">
        <v>18</v>
      </c>
      <c r="H18" s="52">
        <v>50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x14ac:dyDescent="0.2">
      <c r="A19" s="52">
        <v>2006</v>
      </c>
      <c r="B19" s="53" t="s">
        <v>639</v>
      </c>
      <c r="C19" s="53" t="s">
        <v>594</v>
      </c>
      <c r="D19" s="53" t="s">
        <v>531</v>
      </c>
      <c r="E19" s="52">
        <v>60</v>
      </c>
      <c r="F19" s="52">
        <v>1</v>
      </c>
      <c r="G19" s="52">
        <v>28</v>
      </c>
      <c r="H19" s="52">
        <v>60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43"/>
  <sheetViews>
    <sheetView workbookViewId="0"/>
  </sheetViews>
  <sheetFormatPr baseColWidth="10" defaultColWidth="14.3984375" defaultRowHeight="15.75" customHeight="1" x14ac:dyDescent="0.2"/>
  <cols>
    <col min="1" max="1" width="9" customWidth="1"/>
    <col min="3" max="3" width="21.796875" customWidth="1"/>
    <col min="4" max="4" width="16.59765625" customWidth="1"/>
  </cols>
  <sheetData>
    <row r="1" spans="1:10" x14ac:dyDescent="0.2">
      <c r="A1" s="55"/>
      <c r="B1" s="55"/>
      <c r="C1" s="55"/>
      <c r="D1" s="55"/>
      <c r="E1" s="55"/>
    </row>
    <row r="2" spans="1:10" x14ac:dyDescent="0.2">
      <c r="A2" s="55" t="s">
        <v>621</v>
      </c>
      <c r="B2" s="55" t="s">
        <v>624</v>
      </c>
      <c r="C2" s="55" t="s">
        <v>623</v>
      </c>
      <c r="D2" s="55" t="s">
        <v>622</v>
      </c>
      <c r="E2" s="55" t="s">
        <v>625</v>
      </c>
    </row>
    <row r="3" spans="1:10" x14ac:dyDescent="0.2">
      <c r="A3" s="32">
        <v>2016</v>
      </c>
      <c r="B3" s="34" t="s">
        <v>84</v>
      </c>
      <c r="C3" s="56" t="s">
        <v>152</v>
      </c>
      <c r="D3" s="34" t="s">
        <v>551</v>
      </c>
      <c r="E3" s="37">
        <v>185</v>
      </c>
      <c r="J3" s="34" t="e">
        <f t="shared" ref="J3:J176" ca="1" si="0">join(", ",A3:D3)</f>
        <v>#NAME?</v>
      </c>
    </row>
    <row r="4" spans="1:10" x14ac:dyDescent="0.2">
      <c r="A4" s="32">
        <v>2016</v>
      </c>
      <c r="B4" s="34" t="s">
        <v>84</v>
      </c>
      <c r="C4" s="56" t="s">
        <v>120</v>
      </c>
      <c r="D4" s="34" t="s">
        <v>551</v>
      </c>
      <c r="E4" s="37">
        <v>185</v>
      </c>
      <c r="J4" s="34" t="e">
        <f t="shared" ca="1" si="0"/>
        <v>#NAME?</v>
      </c>
    </row>
    <row r="5" spans="1:10" x14ac:dyDescent="0.2">
      <c r="A5" s="57">
        <v>2014</v>
      </c>
      <c r="B5" s="58" t="s">
        <v>84</v>
      </c>
      <c r="C5" s="59" t="s">
        <v>201</v>
      </c>
      <c r="D5" s="58" t="s">
        <v>551</v>
      </c>
      <c r="E5" s="60">
        <v>80</v>
      </c>
      <c r="F5" s="58"/>
      <c r="G5" s="58" t="str">
        <f>CONCATENATE(A5," ",B5," ", " ''",C5,"'' ", " - ","$",E5)</f>
        <v>2014 Hall Wines  ''Ellie's''  - $80</v>
      </c>
      <c r="H5" s="58"/>
      <c r="I5" s="58"/>
      <c r="J5" s="34" t="e">
        <f t="shared" ca="1" si="0"/>
        <v>#NAME?</v>
      </c>
    </row>
    <row r="6" spans="1:10" x14ac:dyDescent="0.2">
      <c r="A6" s="32">
        <v>2013</v>
      </c>
      <c r="B6" s="34" t="s">
        <v>99</v>
      </c>
      <c r="C6" s="56" t="s">
        <v>120</v>
      </c>
      <c r="D6" s="34" t="s">
        <v>551</v>
      </c>
      <c r="E6" s="37">
        <v>120</v>
      </c>
      <c r="J6" s="34" t="e">
        <f t="shared" ca="1" si="0"/>
        <v>#NAME?</v>
      </c>
    </row>
    <row r="7" spans="1:10" x14ac:dyDescent="0.2">
      <c r="A7" s="32">
        <v>2014</v>
      </c>
      <c r="B7" s="34" t="s">
        <v>99</v>
      </c>
      <c r="C7" s="56" t="s">
        <v>120</v>
      </c>
      <c r="D7" s="34" t="s">
        <v>551</v>
      </c>
      <c r="E7" s="37">
        <v>120</v>
      </c>
      <c r="J7" s="34" t="e">
        <f t="shared" ca="1" si="0"/>
        <v>#NAME?</v>
      </c>
    </row>
    <row r="8" spans="1:10" x14ac:dyDescent="0.2">
      <c r="A8" s="32">
        <v>2014</v>
      </c>
      <c r="B8" s="34" t="s">
        <v>99</v>
      </c>
      <c r="C8" s="56" t="s">
        <v>535</v>
      </c>
      <c r="D8" s="34" t="s">
        <v>551</v>
      </c>
      <c r="E8" s="37">
        <v>85</v>
      </c>
      <c r="J8" s="34" t="e">
        <f t="shared" ca="1" si="0"/>
        <v>#NAME?</v>
      </c>
    </row>
    <row r="9" spans="1:10" x14ac:dyDescent="0.2">
      <c r="A9" s="32">
        <v>2016</v>
      </c>
      <c r="B9" s="34" t="s">
        <v>99</v>
      </c>
      <c r="C9" s="56" t="s">
        <v>582</v>
      </c>
      <c r="D9" s="34" t="s">
        <v>632</v>
      </c>
      <c r="E9" s="37">
        <v>75</v>
      </c>
      <c r="J9" s="34" t="e">
        <f t="shared" ca="1" si="0"/>
        <v>#NAME?</v>
      </c>
    </row>
    <row r="10" spans="1:10" x14ac:dyDescent="0.2">
      <c r="A10" s="32">
        <v>2013</v>
      </c>
      <c r="B10" s="34" t="s">
        <v>99</v>
      </c>
      <c r="C10" s="56" t="s">
        <v>126</v>
      </c>
      <c r="D10" s="34" t="s">
        <v>551</v>
      </c>
      <c r="E10" s="37">
        <v>55</v>
      </c>
      <c r="J10" s="34" t="e">
        <f t="shared" ca="1" si="0"/>
        <v>#NAME?</v>
      </c>
    </row>
    <row r="11" spans="1:10" x14ac:dyDescent="0.2">
      <c r="A11" s="32">
        <v>2014</v>
      </c>
      <c r="B11" s="34" t="s">
        <v>99</v>
      </c>
      <c r="C11" s="56" t="s">
        <v>102</v>
      </c>
      <c r="D11" s="34" t="s">
        <v>551</v>
      </c>
      <c r="E11" s="37">
        <v>140</v>
      </c>
      <c r="J11" s="34" t="e">
        <f t="shared" ca="1" si="0"/>
        <v>#NAME?</v>
      </c>
    </row>
    <row r="12" spans="1:10" x14ac:dyDescent="0.2">
      <c r="A12" s="32">
        <v>2013</v>
      </c>
      <c r="B12" s="34" t="s">
        <v>99</v>
      </c>
      <c r="C12" s="56" t="s">
        <v>533</v>
      </c>
      <c r="D12" s="34" t="s">
        <v>551</v>
      </c>
      <c r="E12" s="37">
        <v>85</v>
      </c>
      <c r="J12" s="34" t="e">
        <f t="shared" ca="1" si="0"/>
        <v>#NAME?</v>
      </c>
    </row>
    <row r="13" spans="1:10" x14ac:dyDescent="0.2">
      <c r="A13" s="32">
        <v>2015</v>
      </c>
      <c r="B13" s="34" t="s">
        <v>205</v>
      </c>
      <c r="C13" s="56" t="s">
        <v>214</v>
      </c>
      <c r="D13" s="34" t="s">
        <v>551</v>
      </c>
      <c r="E13" s="37">
        <v>55</v>
      </c>
      <c r="J13" s="34" t="e">
        <f t="shared" ca="1" si="0"/>
        <v>#NAME?</v>
      </c>
    </row>
    <row r="14" spans="1:10" x14ac:dyDescent="0.2">
      <c r="A14" s="32">
        <v>2016</v>
      </c>
      <c r="B14" s="34" t="s">
        <v>205</v>
      </c>
      <c r="C14" s="56" t="s">
        <v>214</v>
      </c>
      <c r="D14" s="34" t="s">
        <v>551</v>
      </c>
      <c r="E14" s="37">
        <v>55</v>
      </c>
      <c r="J14" s="34" t="e">
        <f t="shared" ca="1" si="0"/>
        <v>#NAME?</v>
      </c>
    </row>
    <row r="15" spans="1:10" x14ac:dyDescent="0.2">
      <c r="A15" s="32">
        <v>2016</v>
      </c>
      <c r="B15" s="34" t="s">
        <v>205</v>
      </c>
      <c r="C15" s="56" t="s">
        <v>206</v>
      </c>
      <c r="D15" s="34" t="s">
        <v>551</v>
      </c>
      <c r="E15" s="37">
        <v>100</v>
      </c>
      <c r="J15" s="34" t="e">
        <f t="shared" ca="1" si="0"/>
        <v>#NAME?</v>
      </c>
    </row>
    <row r="16" spans="1:10" x14ac:dyDescent="0.2">
      <c r="A16" s="32">
        <v>2014</v>
      </c>
      <c r="B16" s="34" t="s">
        <v>205</v>
      </c>
      <c r="C16" s="56" t="s">
        <v>280</v>
      </c>
      <c r="D16" s="34" t="s">
        <v>632</v>
      </c>
      <c r="E16" s="37">
        <v>55</v>
      </c>
      <c r="J16" s="34" t="e">
        <f t="shared" ca="1" si="0"/>
        <v>#NAME?</v>
      </c>
    </row>
    <row r="17" spans="1:10" x14ac:dyDescent="0.2">
      <c r="A17" s="57">
        <v>2015</v>
      </c>
      <c r="B17" s="58" t="s">
        <v>205</v>
      </c>
      <c r="C17" s="59" t="s">
        <v>280</v>
      </c>
      <c r="D17" s="58" t="s">
        <v>632</v>
      </c>
      <c r="E17" s="60">
        <v>50</v>
      </c>
      <c r="F17" s="58"/>
      <c r="G17" s="58" t="str">
        <f t="shared" ref="G17:G18" si="1">CONCATENATE(A17," ",B17," ", " ''",C17,"'' ", " - ","$",E17)</f>
        <v>2015 Silverado  ''Mt. George Cab Franc''  - $50</v>
      </c>
      <c r="H17" s="58"/>
      <c r="I17" s="58"/>
      <c r="J17" s="34" t="e">
        <f t="shared" ca="1" si="0"/>
        <v>#NAME?</v>
      </c>
    </row>
    <row r="18" spans="1:10" x14ac:dyDescent="0.2">
      <c r="A18" s="57">
        <v>2015</v>
      </c>
      <c r="B18" s="58" t="s">
        <v>205</v>
      </c>
      <c r="C18" s="59" t="s">
        <v>598</v>
      </c>
      <c r="D18" s="58" t="s">
        <v>415</v>
      </c>
      <c r="E18" s="60">
        <v>45</v>
      </c>
      <c r="F18" s="58"/>
      <c r="G18" s="58" t="str">
        <f t="shared" si="1"/>
        <v>2015 Silverado  ''Mt. George Malbec''  - $45</v>
      </c>
      <c r="H18" s="58"/>
      <c r="I18" s="58"/>
      <c r="J18" s="34" t="e">
        <f t="shared" ca="1" si="0"/>
        <v>#NAME?</v>
      </c>
    </row>
    <row r="19" spans="1:10" x14ac:dyDescent="0.2">
      <c r="A19" s="32">
        <v>2013</v>
      </c>
      <c r="B19" s="34" t="s">
        <v>205</v>
      </c>
      <c r="C19" s="56" t="s">
        <v>123</v>
      </c>
      <c r="D19" s="34" t="s">
        <v>551</v>
      </c>
      <c r="E19" s="37">
        <v>90</v>
      </c>
      <c r="J19" s="34" t="e">
        <f t="shared" ca="1" si="0"/>
        <v>#NAME?</v>
      </c>
    </row>
    <row r="20" spans="1:10" x14ac:dyDescent="0.2">
      <c r="A20" s="32">
        <v>2016</v>
      </c>
      <c r="B20" s="34" t="s">
        <v>205</v>
      </c>
      <c r="C20" s="56" t="s">
        <v>603</v>
      </c>
      <c r="D20" s="34" t="s">
        <v>235</v>
      </c>
      <c r="E20" s="37">
        <v>60</v>
      </c>
      <c r="J20" s="34" t="e">
        <f t="shared" ca="1" si="0"/>
        <v>#NAME?</v>
      </c>
    </row>
    <row r="21" spans="1:10" x14ac:dyDescent="0.2">
      <c r="A21" s="32">
        <v>2015</v>
      </c>
      <c r="B21" s="34" t="s">
        <v>170</v>
      </c>
      <c r="C21" s="56" t="s">
        <v>389</v>
      </c>
      <c r="D21" s="34" t="s">
        <v>390</v>
      </c>
      <c r="E21" s="37">
        <v>125</v>
      </c>
      <c r="J21" s="34" t="e">
        <f t="shared" ca="1" si="0"/>
        <v>#NAME?</v>
      </c>
    </row>
    <row r="22" spans="1:10" x14ac:dyDescent="0.2">
      <c r="A22" s="32">
        <v>2015</v>
      </c>
      <c r="B22" s="34" t="s">
        <v>170</v>
      </c>
      <c r="C22" s="56" t="s">
        <v>126</v>
      </c>
      <c r="D22" s="34" t="s">
        <v>551</v>
      </c>
      <c r="E22" s="37">
        <v>72</v>
      </c>
      <c r="J22" s="34" t="e">
        <f t="shared" ca="1" si="0"/>
        <v>#NAME?</v>
      </c>
    </row>
    <row r="23" spans="1:10" x14ac:dyDescent="0.2">
      <c r="A23" s="32"/>
      <c r="B23" s="34" t="s">
        <v>640</v>
      </c>
      <c r="C23" s="56" t="s">
        <v>641</v>
      </c>
      <c r="D23" s="34" t="s">
        <v>636</v>
      </c>
      <c r="E23" s="37">
        <v>130</v>
      </c>
      <c r="J23" s="34" t="e">
        <f t="shared" ca="1" si="0"/>
        <v>#NAME?</v>
      </c>
    </row>
    <row r="24" spans="1:10" x14ac:dyDescent="0.2">
      <c r="A24" s="32">
        <v>2015</v>
      </c>
      <c r="B24" s="34" t="s">
        <v>197</v>
      </c>
      <c r="C24" s="56" t="s">
        <v>599</v>
      </c>
      <c r="D24" s="34" t="s">
        <v>551</v>
      </c>
      <c r="E24" s="37">
        <v>75</v>
      </c>
      <c r="J24" s="34" t="e">
        <f t="shared" ca="1" si="0"/>
        <v>#NAME?</v>
      </c>
    </row>
    <row r="25" spans="1:10" x14ac:dyDescent="0.2">
      <c r="A25" s="32">
        <v>2015</v>
      </c>
      <c r="B25" s="34" t="s">
        <v>197</v>
      </c>
      <c r="C25" s="56" t="s">
        <v>583</v>
      </c>
      <c r="D25" s="34" t="s">
        <v>129</v>
      </c>
      <c r="E25" s="37">
        <v>45</v>
      </c>
      <c r="J25" s="34" t="e">
        <f t="shared" ca="1" si="0"/>
        <v>#NAME?</v>
      </c>
    </row>
    <row r="26" spans="1:10" x14ac:dyDescent="0.2">
      <c r="A26" s="32">
        <v>2016</v>
      </c>
      <c r="B26" s="34" t="s">
        <v>197</v>
      </c>
      <c r="C26" s="56" t="s">
        <v>583</v>
      </c>
      <c r="D26" s="34" t="s">
        <v>129</v>
      </c>
      <c r="E26" s="37">
        <v>45</v>
      </c>
      <c r="J26" s="34" t="e">
        <f t="shared" ca="1" si="0"/>
        <v>#NAME?</v>
      </c>
    </row>
    <row r="27" spans="1:10" x14ac:dyDescent="0.2">
      <c r="A27" s="32">
        <v>2016</v>
      </c>
      <c r="B27" s="34" t="s">
        <v>205</v>
      </c>
      <c r="C27" s="56" t="s">
        <v>280</v>
      </c>
      <c r="D27" s="34" t="s">
        <v>632</v>
      </c>
      <c r="E27" s="37">
        <v>50</v>
      </c>
      <c r="J27" s="34" t="e">
        <f t="shared" ca="1" si="0"/>
        <v>#NAME?</v>
      </c>
    </row>
    <row r="28" spans="1:10" x14ac:dyDescent="0.2">
      <c r="A28" s="32">
        <v>2015</v>
      </c>
      <c r="B28" s="34" t="s">
        <v>205</v>
      </c>
      <c r="C28" s="56" t="s">
        <v>598</v>
      </c>
      <c r="D28" s="34" t="s">
        <v>415</v>
      </c>
      <c r="E28" s="37">
        <v>45</v>
      </c>
      <c r="J28" s="34" t="e">
        <f t="shared" ca="1" si="0"/>
        <v>#NAME?</v>
      </c>
    </row>
    <row r="29" spans="1:10" x14ac:dyDescent="0.2">
      <c r="A29" s="32">
        <v>2014</v>
      </c>
      <c r="B29" s="34" t="s">
        <v>205</v>
      </c>
      <c r="C29" s="56" t="s">
        <v>552</v>
      </c>
      <c r="D29" s="34" t="s">
        <v>235</v>
      </c>
      <c r="E29" s="37">
        <v>35</v>
      </c>
      <c r="J29" s="34" t="e">
        <f t="shared" ca="1" si="0"/>
        <v>#NAME?</v>
      </c>
    </row>
    <row r="30" spans="1:10" x14ac:dyDescent="0.2">
      <c r="A30" s="57">
        <v>2016</v>
      </c>
      <c r="B30" s="58" t="s">
        <v>205</v>
      </c>
      <c r="C30" s="59" t="s">
        <v>604</v>
      </c>
      <c r="D30" s="58" t="s">
        <v>390</v>
      </c>
      <c r="E30" s="60">
        <v>45</v>
      </c>
      <c r="F30" s="58"/>
      <c r="G30" s="58" t="str">
        <f>CONCATENATE(A30," ",B30," ", " ''",C30,"'' ", " - ","$",E30)</f>
        <v>2016 Silverado  ''Soda Creek Zinfandel''  - $45</v>
      </c>
      <c r="H30" s="58"/>
      <c r="I30" s="58"/>
      <c r="J30" s="34" t="e">
        <f t="shared" ca="1" si="0"/>
        <v>#NAME?</v>
      </c>
    </row>
    <row r="31" spans="1:10" x14ac:dyDescent="0.2">
      <c r="A31" s="32">
        <v>2015</v>
      </c>
      <c r="B31" s="34" t="s">
        <v>205</v>
      </c>
      <c r="C31" s="56" t="s">
        <v>181</v>
      </c>
      <c r="D31" s="34" t="s">
        <v>551</v>
      </c>
      <c r="E31" s="37">
        <v>125</v>
      </c>
      <c r="J31" s="34" t="e">
        <f t="shared" ca="1" si="0"/>
        <v>#NAME?</v>
      </c>
    </row>
    <row r="32" spans="1:10" x14ac:dyDescent="0.2">
      <c r="A32" s="32">
        <v>2009</v>
      </c>
      <c r="B32" s="34" t="s">
        <v>103</v>
      </c>
      <c r="C32" s="56" t="s">
        <v>520</v>
      </c>
      <c r="D32" s="34" t="s">
        <v>44</v>
      </c>
      <c r="E32" s="37">
        <v>120</v>
      </c>
      <c r="J32" s="34" t="e">
        <f t="shared" ca="1" si="0"/>
        <v>#NAME?</v>
      </c>
    </row>
    <row r="33" spans="1:10" x14ac:dyDescent="0.2">
      <c r="A33" s="57">
        <v>2014</v>
      </c>
      <c r="B33" s="58" t="s">
        <v>103</v>
      </c>
      <c r="C33" s="59" t="s">
        <v>578</v>
      </c>
      <c r="D33" s="58" t="s">
        <v>629</v>
      </c>
      <c r="E33" s="60">
        <v>42</v>
      </c>
      <c r="F33" s="58"/>
      <c r="G33" s="58" t="str">
        <f>CONCATENATE(A33," ",B33," ", " ''",C33,"'' ", " - ","$",E33)</f>
        <v>2014 Domaine Carneros  ''Rosé''  - $42</v>
      </c>
      <c r="H33" s="58"/>
      <c r="I33" s="58"/>
      <c r="J33" s="34" t="e">
        <f t="shared" ca="1" si="0"/>
        <v>#NAME?</v>
      </c>
    </row>
    <row r="34" spans="1:10" x14ac:dyDescent="0.2">
      <c r="A34" s="32">
        <v>2015</v>
      </c>
      <c r="B34" s="34" t="s">
        <v>103</v>
      </c>
      <c r="C34" s="56" t="s">
        <v>578</v>
      </c>
      <c r="D34" s="34" t="s">
        <v>629</v>
      </c>
      <c r="E34" s="37">
        <v>42</v>
      </c>
      <c r="J34" s="34" t="e">
        <f t="shared" ca="1" si="0"/>
        <v>#NAME?</v>
      </c>
    </row>
    <row r="35" spans="1:10" x14ac:dyDescent="0.2">
      <c r="A35" s="32">
        <v>2014</v>
      </c>
      <c r="B35" s="34" t="s">
        <v>103</v>
      </c>
      <c r="C35" s="56" t="s">
        <v>538</v>
      </c>
      <c r="D35" s="34" t="s">
        <v>44</v>
      </c>
      <c r="E35" s="37">
        <v>45</v>
      </c>
      <c r="J35" s="34" t="e">
        <f t="shared" ca="1" si="0"/>
        <v>#NAME?</v>
      </c>
    </row>
    <row r="36" spans="1:10" x14ac:dyDescent="0.2">
      <c r="A36" s="32">
        <v>2015</v>
      </c>
      <c r="B36" s="34" t="s">
        <v>103</v>
      </c>
      <c r="C36" s="56" t="s">
        <v>538</v>
      </c>
      <c r="D36" s="34" t="s">
        <v>44</v>
      </c>
      <c r="E36" s="37">
        <v>45</v>
      </c>
      <c r="J36" s="34" t="e">
        <f t="shared" ca="1" si="0"/>
        <v>#NAME?</v>
      </c>
    </row>
    <row r="37" spans="1:10" x14ac:dyDescent="0.2">
      <c r="A37" s="57">
        <v>2012</v>
      </c>
      <c r="B37" s="58" t="s">
        <v>103</v>
      </c>
      <c r="C37" s="59" t="s">
        <v>162</v>
      </c>
      <c r="D37" s="58" t="s">
        <v>44</v>
      </c>
      <c r="E37" s="60">
        <v>57</v>
      </c>
      <c r="F37" s="58"/>
      <c r="G37" s="58" t="str">
        <f>CONCATENATE(A37," ",B37," ", " ''",C37,"'' ", " - ","$",E37)</f>
        <v>2012 Domaine Carneros  ''Estate Cuvee Late Disgorged''  - $57</v>
      </c>
      <c r="H37" s="58"/>
      <c r="I37" s="58"/>
      <c r="J37" s="34" t="e">
        <f t="shared" ca="1" si="0"/>
        <v>#NAME?</v>
      </c>
    </row>
    <row r="38" spans="1:10" x14ac:dyDescent="0.2">
      <c r="A38" s="32">
        <v>2012</v>
      </c>
      <c r="B38" s="34" t="s">
        <v>103</v>
      </c>
      <c r="C38" s="56" t="s">
        <v>577</v>
      </c>
      <c r="D38" s="34" t="s">
        <v>44</v>
      </c>
      <c r="E38" s="37">
        <v>60</v>
      </c>
      <c r="J38" s="34" t="e">
        <f t="shared" ca="1" si="0"/>
        <v>#NAME?</v>
      </c>
    </row>
    <row r="39" spans="1:10" x14ac:dyDescent="0.2">
      <c r="A39" s="32">
        <v>2013</v>
      </c>
      <c r="B39" s="34" t="s">
        <v>103</v>
      </c>
      <c r="C39" s="56" t="s">
        <v>104</v>
      </c>
      <c r="D39" s="34" t="s">
        <v>44</v>
      </c>
      <c r="E39" s="37">
        <v>115</v>
      </c>
      <c r="J39" s="34" t="e">
        <f t="shared" ca="1" si="0"/>
        <v>#NAME?</v>
      </c>
    </row>
    <row r="40" spans="1:10" x14ac:dyDescent="0.2">
      <c r="A40" s="57">
        <v>2014</v>
      </c>
      <c r="B40" s="58" t="s">
        <v>103</v>
      </c>
      <c r="C40" s="59" t="s">
        <v>578</v>
      </c>
      <c r="D40" s="58" t="s">
        <v>629</v>
      </c>
      <c r="E40" s="60">
        <v>42</v>
      </c>
      <c r="F40" s="58"/>
      <c r="G40" s="58" t="str">
        <f>CONCATENATE(A40," ",B40," ", " ''",C40,"'' ", " - ","$",E40)</f>
        <v>2014 Domaine Carneros  ''Rosé''  - $42</v>
      </c>
      <c r="H40" s="58"/>
      <c r="I40" s="58"/>
      <c r="J40" s="34" t="e">
        <f t="shared" ca="1" si="0"/>
        <v>#NAME?</v>
      </c>
    </row>
    <row r="41" spans="1:10" x14ac:dyDescent="0.2">
      <c r="A41" s="32">
        <v>2013</v>
      </c>
      <c r="B41" s="34" t="s">
        <v>103</v>
      </c>
      <c r="C41" s="56" t="s">
        <v>538</v>
      </c>
      <c r="D41" s="34" t="s">
        <v>44</v>
      </c>
      <c r="E41" s="37">
        <v>45</v>
      </c>
      <c r="J41" s="34" t="e">
        <f t="shared" ca="1" si="0"/>
        <v>#NAME?</v>
      </c>
    </row>
    <row r="42" spans="1:10" x14ac:dyDescent="0.2">
      <c r="A42" s="32">
        <v>2016</v>
      </c>
      <c r="B42" s="34" t="s">
        <v>189</v>
      </c>
      <c r="C42" s="56" t="s">
        <v>250</v>
      </c>
      <c r="D42" s="34" t="s">
        <v>629</v>
      </c>
      <c r="E42" s="37">
        <v>65</v>
      </c>
      <c r="J42" s="34" t="e">
        <f t="shared" ca="1" si="0"/>
        <v>#NAME?</v>
      </c>
    </row>
    <row r="43" spans="1:10" x14ac:dyDescent="0.2">
      <c r="A43" s="32">
        <v>2016</v>
      </c>
      <c r="B43" s="34" t="s">
        <v>189</v>
      </c>
      <c r="C43" s="56" t="s">
        <v>190</v>
      </c>
      <c r="D43" s="34" t="s">
        <v>191</v>
      </c>
      <c r="E43" s="37">
        <v>86</v>
      </c>
      <c r="J43" s="34" t="e">
        <f t="shared" ca="1" si="0"/>
        <v>#NAME?</v>
      </c>
    </row>
    <row r="44" spans="1:10" x14ac:dyDescent="0.2">
      <c r="A44" s="57">
        <v>2016</v>
      </c>
      <c r="B44" s="58" t="s">
        <v>301</v>
      </c>
      <c r="C44" s="59" t="s">
        <v>610</v>
      </c>
      <c r="D44" s="58" t="s">
        <v>191</v>
      </c>
      <c r="E44" s="60">
        <v>45</v>
      </c>
      <c r="F44" s="58"/>
      <c r="G44" s="58" t="str">
        <f>CONCATENATE(A44," ",B44," ", " ''",C44,"'' ", " - ","$",E44)</f>
        <v>2016 Walt Wines  ''Blue Jay''  - $45</v>
      </c>
      <c r="H44" s="58"/>
      <c r="I44" s="58"/>
      <c r="J44" s="34" t="e">
        <f t="shared" ca="1" si="0"/>
        <v>#NAME?</v>
      </c>
    </row>
    <row r="45" spans="1:10" x14ac:dyDescent="0.2">
      <c r="A45" s="32">
        <v>2016</v>
      </c>
      <c r="B45" s="34" t="s">
        <v>301</v>
      </c>
      <c r="C45" s="56" t="s">
        <v>609</v>
      </c>
      <c r="D45" s="34" t="s">
        <v>350</v>
      </c>
      <c r="E45" s="37">
        <v>55</v>
      </c>
      <c r="J45" s="34" t="e">
        <f t="shared" ca="1" si="0"/>
        <v>#NAME?</v>
      </c>
    </row>
    <row r="46" spans="1:10" x14ac:dyDescent="0.2">
      <c r="A46" s="32">
        <v>2016</v>
      </c>
      <c r="B46" s="34" t="s">
        <v>301</v>
      </c>
      <c r="C46" s="56" t="s">
        <v>302</v>
      </c>
      <c r="D46" s="34" t="s">
        <v>191</v>
      </c>
      <c r="E46" s="37">
        <v>75</v>
      </c>
      <c r="J46" s="34" t="e">
        <f t="shared" ca="1" si="0"/>
        <v>#NAME?</v>
      </c>
    </row>
    <row r="47" spans="1:10" x14ac:dyDescent="0.2">
      <c r="A47" s="57">
        <v>2005</v>
      </c>
      <c r="B47" s="58" t="s">
        <v>521</v>
      </c>
      <c r="C47" s="59" t="s">
        <v>75</v>
      </c>
      <c r="D47" s="58" t="s">
        <v>635</v>
      </c>
      <c r="E47" s="60">
        <v>55</v>
      </c>
      <c r="F47" s="58"/>
      <c r="G47" s="58" t="str">
        <f>CONCATENATE(A47," ",B47," ", " ''",C47,"'' ", " - ","$",E47)</f>
        <v>2005 Chateau Dufort Vivens   ''-''  - $55</v>
      </c>
      <c r="H47" s="58"/>
      <c r="I47" s="58"/>
      <c r="J47" s="34" t="e">
        <f t="shared" ca="1" si="0"/>
        <v>#NAME?</v>
      </c>
    </row>
    <row r="48" spans="1:10" x14ac:dyDescent="0.2">
      <c r="A48" s="32">
        <v>2009</v>
      </c>
      <c r="B48" s="34" t="s">
        <v>521</v>
      </c>
      <c r="C48" s="56" t="s">
        <v>73</v>
      </c>
      <c r="D48" s="34" t="s">
        <v>635</v>
      </c>
      <c r="E48" s="37">
        <v>60</v>
      </c>
      <c r="J48" s="34" t="e">
        <f t="shared" ca="1" si="0"/>
        <v>#NAME?</v>
      </c>
    </row>
    <row r="49" spans="1:10" x14ac:dyDescent="0.2">
      <c r="A49" s="32">
        <v>2010</v>
      </c>
      <c r="B49" s="34" t="s">
        <v>521</v>
      </c>
      <c r="C49" s="56" t="s">
        <v>73</v>
      </c>
      <c r="D49" s="34" t="s">
        <v>635</v>
      </c>
      <c r="E49" s="37">
        <v>30</v>
      </c>
      <c r="J49" s="34" t="e">
        <f t="shared" ca="1" si="0"/>
        <v>#NAME?</v>
      </c>
    </row>
    <row r="50" spans="1:10" x14ac:dyDescent="0.2">
      <c r="A50" s="32">
        <v>2013</v>
      </c>
      <c r="B50" s="34" t="s">
        <v>95</v>
      </c>
      <c r="C50" s="56" t="s">
        <v>96</v>
      </c>
      <c r="D50" s="34" t="s">
        <v>636</v>
      </c>
      <c r="E50" s="37">
        <v>75</v>
      </c>
      <c r="J50" s="34" t="e">
        <f t="shared" ca="1" si="0"/>
        <v>#NAME?</v>
      </c>
    </row>
    <row r="51" spans="1:10" x14ac:dyDescent="0.2">
      <c r="A51" s="57">
        <v>2013</v>
      </c>
      <c r="B51" s="58" t="s">
        <v>95</v>
      </c>
      <c r="C51" s="59" t="s">
        <v>168</v>
      </c>
      <c r="D51" s="58" t="s">
        <v>636</v>
      </c>
      <c r="E51" s="60">
        <v>50</v>
      </c>
      <c r="F51" s="58"/>
      <c r="G51" s="58" t="str">
        <f t="shared" ref="G51:G52" si="2">CONCATENATE(A51," ",B51," ", " ''",C51,"'' ", " - ","$",E51)</f>
        <v>2013 Trinite Estate  ''Amaino''  - $50</v>
      </c>
      <c r="H51" s="58"/>
      <c r="I51" s="58"/>
      <c r="J51" s="34" t="e">
        <f t="shared" ca="1" si="0"/>
        <v>#NAME?</v>
      </c>
    </row>
    <row r="52" spans="1:10" x14ac:dyDescent="0.2">
      <c r="A52" s="57">
        <v>2008</v>
      </c>
      <c r="B52" s="58" t="s">
        <v>642</v>
      </c>
      <c r="C52" s="59" t="s">
        <v>75</v>
      </c>
      <c r="D52" s="58" t="s">
        <v>635</v>
      </c>
      <c r="E52" s="60">
        <v>45</v>
      </c>
      <c r="F52" s="58"/>
      <c r="G52" s="58" t="str">
        <f t="shared" si="2"/>
        <v>2008 Chateau Ferriere  ''-''  - $45</v>
      </c>
      <c r="H52" s="58"/>
      <c r="I52" s="58"/>
      <c r="J52" s="34" t="e">
        <f t="shared" ca="1" si="0"/>
        <v>#NAME?</v>
      </c>
    </row>
    <row r="53" spans="1:10" x14ac:dyDescent="0.2">
      <c r="A53" s="32">
        <v>2016</v>
      </c>
      <c r="B53" s="34" t="s">
        <v>229</v>
      </c>
      <c r="C53" s="56" t="s">
        <v>606</v>
      </c>
      <c r="D53" s="34" t="s">
        <v>350</v>
      </c>
      <c r="E53" s="37">
        <v>60</v>
      </c>
      <c r="J53" s="34" t="e">
        <f t="shared" ca="1" si="0"/>
        <v>#NAME?</v>
      </c>
    </row>
    <row r="54" spans="1:10" x14ac:dyDescent="0.2">
      <c r="A54" s="32" t="s">
        <v>75</v>
      </c>
      <c r="B54" s="34" t="s">
        <v>229</v>
      </c>
      <c r="C54" s="56" t="s">
        <v>571</v>
      </c>
      <c r="D54" s="34" t="s">
        <v>636</v>
      </c>
      <c r="E54" s="37">
        <v>70</v>
      </c>
      <c r="J54" s="34" t="e">
        <f t="shared" ca="1" si="0"/>
        <v>#NAME?</v>
      </c>
    </row>
    <row r="55" spans="1:10" x14ac:dyDescent="0.2">
      <c r="A55" s="32">
        <v>2015</v>
      </c>
      <c r="B55" s="34" t="s">
        <v>276</v>
      </c>
      <c r="C55" s="56" t="s">
        <v>539</v>
      </c>
      <c r="D55" s="34" t="s">
        <v>643</v>
      </c>
      <c r="E55" s="37">
        <v>34</v>
      </c>
      <c r="J55" s="34" t="e">
        <f t="shared" ca="1" si="0"/>
        <v>#NAME?</v>
      </c>
    </row>
    <row r="56" spans="1:10" x14ac:dyDescent="0.2">
      <c r="A56" s="32">
        <v>2013</v>
      </c>
      <c r="B56" s="34" t="s">
        <v>84</v>
      </c>
      <c r="C56" s="56">
        <v>1873</v>
      </c>
      <c r="D56" s="34" t="s">
        <v>551</v>
      </c>
      <c r="E56" s="37">
        <v>85</v>
      </c>
      <c r="J56" s="34" t="e">
        <f t="shared" ca="1" si="0"/>
        <v>#NAME?</v>
      </c>
    </row>
    <row r="57" spans="1:10" x14ac:dyDescent="0.2">
      <c r="A57" s="57">
        <v>2015</v>
      </c>
      <c r="B57" s="58" t="s">
        <v>84</v>
      </c>
      <c r="C57" s="59">
        <v>1873</v>
      </c>
      <c r="D57" s="58" t="s">
        <v>551</v>
      </c>
      <c r="E57" s="60">
        <v>85</v>
      </c>
      <c r="F57" s="58"/>
      <c r="G57" s="58" t="str">
        <f>CONCATENATE(A57," ",B57," ", " ''",C57,"'' ", " - ","$",E57)</f>
        <v>2015 Hall Wines  ''1873''  - $85</v>
      </c>
      <c r="H57" s="58"/>
      <c r="I57" s="58"/>
      <c r="J57" s="34" t="e">
        <f t="shared" ca="1" si="0"/>
        <v>#NAME?</v>
      </c>
    </row>
    <row r="58" spans="1:10" x14ac:dyDescent="0.2">
      <c r="A58" s="32">
        <v>2013</v>
      </c>
      <c r="B58" s="34" t="s">
        <v>84</v>
      </c>
      <c r="C58" s="56" t="s">
        <v>85</v>
      </c>
      <c r="D58" s="34" t="s">
        <v>551</v>
      </c>
      <c r="E58" s="37">
        <v>180</v>
      </c>
      <c r="J58" s="34" t="e">
        <f t="shared" ca="1" si="0"/>
        <v>#NAME?</v>
      </c>
    </row>
    <row r="59" spans="1:10" x14ac:dyDescent="0.2">
      <c r="A59" s="32">
        <v>2016</v>
      </c>
      <c r="B59" s="34" t="s">
        <v>84</v>
      </c>
      <c r="C59" s="56" t="s">
        <v>270</v>
      </c>
      <c r="D59" s="34" t="s">
        <v>551</v>
      </c>
      <c r="E59" s="37">
        <v>70</v>
      </c>
      <c r="J59" s="34" t="e">
        <f t="shared" ca="1" si="0"/>
        <v>#NAME?</v>
      </c>
    </row>
    <row r="60" spans="1:10" x14ac:dyDescent="0.2">
      <c r="A60" s="32">
        <v>2015</v>
      </c>
      <c r="B60" s="34" t="s">
        <v>205</v>
      </c>
      <c r="C60" s="56" t="s">
        <v>600</v>
      </c>
      <c r="D60" s="34" t="s">
        <v>643</v>
      </c>
      <c r="E60" s="37">
        <v>34</v>
      </c>
      <c r="J60" s="34" t="e">
        <f t="shared" ca="1" si="0"/>
        <v>#NAME?</v>
      </c>
    </row>
    <row r="61" spans="1:10" x14ac:dyDescent="0.2">
      <c r="A61" s="57">
        <v>2016</v>
      </c>
      <c r="B61" s="58" t="s">
        <v>103</v>
      </c>
      <c r="C61" s="59" t="s">
        <v>267</v>
      </c>
      <c r="D61" s="58" t="s">
        <v>191</v>
      </c>
      <c r="E61" s="60">
        <v>60</v>
      </c>
      <c r="F61" s="58"/>
      <c r="G61" s="58" t="str">
        <f>CONCATENATE(A61," ",B61," ", " ''",C61,"'' ", " - ","$",E61)</f>
        <v>2016 Domaine Carneros  ''Dijon 777 Clone''  - $60</v>
      </c>
      <c r="H61" s="58"/>
      <c r="I61" s="58"/>
      <c r="J61" s="34" t="e">
        <f t="shared" ca="1" si="0"/>
        <v>#NAME?</v>
      </c>
    </row>
    <row r="62" spans="1:10" x14ac:dyDescent="0.2">
      <c r="A62" s="32">
        <v>2015</v>
      </c>
      <c r="B62" s="34" t="s">
        <v>103</v>
      </c>
      <c r="C62" s="34" t="s">
        <v>233</v>
      </c>
      <c r="D62" s="34" t="s">
        <v>191</v>
      </c>
      <c r="E62" s="37">
        <v>85</v>
      </c>
      <c r="J62" s="34" t="e">
        <f t="shared" ca="1" si="0"/>
        <v>#NAME?</v>
      </c>
    </row>
    <row r="63" spans="1:10" x14ac:dyDescent="0.2">
      <c r="A63" s="32">
        <v>2016</v>
      </c>
      <c r="B63" s="34" t="s">
        <v>103</v>
      </c>
      <c r="C63" s="56" t="s">
        <v>233</v>
      </c>
      <c r="D63" s="34" t="s">
        <v>191</v>
      </c>
      <c r="E63" s="37">
        <v>85</v>
      </c>
      <c r="J63" s="34" t="e">
        <f t="shared" ca="1" si="0"/>
        <v>#NAME?</v>
      </c>
    </row>
    <row r="64" spans="1:10" x14ac:dyDescent="0.2">
      <c r="A64" s="32">
        <v>2016</v>
      </c>
      <c r="B64" s="34" t="s">
        <v>103</v>
      </c>
      <c r="C64" s="34" t="s">
        <v>296</v>
      </c>
      <c r="D64" s="34" t="s">
        <v>191</v>
      </c>
      <c r="E64" s="37">
        <v>59</v>
      </c>
      <c r="J64" s="34" t="e">
        <f t="shared" ca="1" si="0"/>
        <v>#NAME?</v>
      </c>
    </row>
    <row r="65" spans="1:10" x14ac:dyDescent="0.2">
      <c r="A65" s="32">
        <v>2017</v>
      </c>
      <c r="B65" s="34" t="s">
        <v>103</v>
      </c>
      <c r="C65" s="34" t="s">
        <v>564</v>
      </c>
      <c r="D65" s="34" t="s">
        <v>191</v>
      </c>
      <c r="E65" s="37">
        <v>59</v>
      </c>
      <c r="J65" s="34" t="e">
        <f t="shared" ca="1" si="0"/>
        <v>#NAME?</v>
      </c>
    </row>
    <row r="66" spans="1:10" x14ac:dyDescent="0.2">
      <c r="A66" s="32">
        <v>2016</v>
      </c>
      <c r="B66" s="34" t="s">
        <v>301</v>
      </c>
      <c r="C66" s="56" t="s">
        <v>302</v>
      </c>
      <c r="D66" s="34" t="s">
        <v>191</v>
      </c>
      <c r="E66" s="37">
        <v>75</v>
      </c>
      <c r="J66" s="34" t="e">
        <f t="shared" ca="1" si="0"/>
        <v>#NAME?</v>
      </c>
    </row>
    <row r="67" spans="1:10" x14ac:dyDescent="0.2">
      <c r="A67" s="32">
        <v>2014</v>
      </c>
      <c r="B67" s="34" t="s">
        <v>103</v>
      </c>
      <c r="C67" s="56" t="s">
        <v>644</v>
      </c>
      <c r="D67" s="34" t="s">
        <v>44</v>
      </c>
      <c r="E67" s="37">
        <v>45</v>
      </c>
      <c r="J67" s="34" t="e">
        <f t="shared" ca="1" si="0"/>
        <v>#NAME?</v>
      </c>
    </row>
    <row r="68" spans="1:10" x14ac:dyDescent="0.2">
      <c r="A68" s="32" t="s">
        <v>75</v>
      </c>
      <c r="B68" s="34" t="s">
        <v>103</v>
      </c>
      <c r="C68" s="56" t="s">
        <v>391</v>
      </c>
      <c r="D68" s="34" t="s">
        <v>44</v>
      </c>
      <c r="E68" s="37">
        <v>40</v>
      </c>
      <c r="J68" s="34" t="e">
        <f t="shared" ca="1" si="0"/>
        <v>#NAME?</v>
      </c>
    </row>
    <row r="69" spans="1:10" x14ac:dyDescent="0.2">
      <c r="A69" s="32" t="s">
        <v>608</v>
      </c>
      <c r="B69" s="34" t="s">
        <v>103</v>
      </c>
      <c r="C69" s="56" t="s">
        <v>538</v>
      </c>
      <c r="D69" s="34" t="s">
        <v>44</v>
      </c>
      <c r="E69" s="37">
        <v>45</v>
      </c>
      <c r="J69" s="34" t="e">
        <f t="shared" ca="1" si="0"/>
        <v>#NAME?</v>
      </c>
    </row>
    <row r="70" spans="1:10" x14ac:dyDescent="0.2">
      <c r="A70" s="32">
        <v>2016</v>
      </c>
      <c r="B70" s="34" t="s">
        <v>189</v>
      </c>
      <c r="C70" s="56" t="s">
        <v>250</v>
      </c>
      <c r="D70" s="34" t="s">
        <v>44</v>
      </c>
      <c r="E70" s="37">
        <v>65</v>
      </c>
      <c r="J70" s="34" t="e">
        <f t="shared" ca="1" si="0"/>
        <v>#NAME?</v>
      </c>
    </row>
    <row r="71" spans="1:10" x14ac:dyDescent="0.2">
      <c r="A71" s="32">
        <v>2016</v>
      </c>
      <c r="B71" s="34" t="s">
        <v>103</v>
      </c>
      <c r="C71" s="56" t="s">
        <v>644</v>
      </c>
      <c r="D71" s="34" t="s">
        <v>44</v>
      </c>
      <c r="E71" s="37">
        <v>45</v>
      </c>
      <c r="J71" s="34" t="e">
        <f t="shared" ca="1" si="0"/>
        <v>#NAME?</v>
      </c>
    </row>
    <row r="72" spans="1:10" x14ac:dyDescent="0.2">
      <c r="A72" s="32">
        <v>2016</v>
      </c>
      <c r="B72" s="34" t="s">
        <v>56</v>
      </c>
      <c r="C72" s="56" t="s">
        <v>645</v>
      </c>
      <c r="D72" s="34" t="s">
        <v>578</v>
      </c>
      <c r="E72" s="37">
        <v>17</v>
      </c>
      <c r="J72" s="34" t="e">
        <f t="shared" ca="1" si="0"/>
        <v>#NAME?</v>
      </c>
    </row>
    <row r="73" spans="1:10" x14ac:dyDescent="0.2">
      <c r="A73" s="32" t="s">
        <v>75</v>
      </c>
      <c r="B73" s="34" t="s">
        <v>646</v>
      </c>
      <c r="C73" s="56" t="s">
        <v>647</v>
      </c>
      <c r="D73" s="34" t="s">
        <v>648</v>
      </c>
      <c r="E73" s="37">
        <v>70</v>
      </c>
      <c r="J73" s="34" t="e">
        <f t="shared" ca="1" si="0"/>
        <v>#NAME?</v>
      </c>
    </row>
    <row r="74" spans="1:10" x14ac:dyDescent="0.2">
      <c r="A74" s="32" t="s">
        <v>75</v>
      </c>
      <c r="B74" s="34" t="s">
        <v>99</v>
      </c>
      <c r="C74" s="56" t="s">
        <v>649</v>
      </c>
      <c r="D74" s="34" t="s">
        <v>44</v>
      </c>
      <c r="E74" s="37">
        <v>40</v>
      </c>
      <c r="J74" s="34" t="e">
        <f t="shared" ca="1" si="0"/>
        <v>#NAME?</v>
      </c>
    </row>
    <row r="75" spans="1:10" x14ac:dyDescent="0.2">
      <c r="A75" s="32" t="s">
        <v>75</v>
      </c>
      <c r="B75" s="34" t="s">
        <v>650</v>
      </c>
      <c r="C75" s="56" t="s">
        <v>651</v>
      </c>
      <c r="D75" s="34" t="s">
        <v>44</v>
      </c>
      <c r="E75" s="37">
        <v>50</v>
      </c>
      <c r="J75" s="34" t="e">
        <f t="shared" ca="1" si="0"/>
        <v>#NAME?</v>
      </c>
    </row>
    <row r="76" spans="1:10" x14ac:dyDescent="0.2">
      <c r="A76" s="32">
        <v>2016</v>
      </c>
      <c r="B76" s="34" t="s">
        <v>652</v>
      </c>
      <c r="C76" s="56" t="s">
        <v>653</v>
      </c>
      <c r="D76" s="34" t="s">
        <v>653</v>
      </c>
      <c r="E76" s="37">
        <v>42</v>
      </c>
      <c r="J76" s="34" t="e">
        <f t="shared" ca="1" si="0"/>
        <v>#NAME?</v>
      </c>
    </row>
    <row r="77" spans="1:10" x14ac:dyDescent="0.2">
      <c r="A77" s="32">
        <v>2016</v>
      </c>
      <c r="B77" s="34" t="s">
        <v>652</v>
      </c>
      <c r="C77" s="56" t="s">
        <v>654</v>
      </c>
      <c r="D77" s="34" t="s">
        <v>655</v>
      </c>
      <c r="E77" s="37">
        <v>30</v>
      </c>
      <c r="J77" s="34" t="e">
        <f t="shared" ca="1" si="0"/>
        <v>#NAME?</v>
      </c>
    </row>
    <row r="78" spans="1:10" x14ac:dyDescent="0.2">
      <c r="A78" s="32">
        <v>2016</v>
      </c>
      <c r="B78" s="34" t="s">
        <v>656</v>
      </c>
      <c r="C78" s="56" t="s">
        <v>657</v>
      </c>
      <c r="D78" s="34" t="s">
        <v>658</v>
      </c>
      <c r="E78" s="37">
        <v>25</v>
      </c>
      <c r="J78" s="34" t="e">
        <f t="shared" ca="1" si="0"/>
        <v>#NAME?</v>
      </c>
    </row>
    <row r="79" spans="1:10" x14ac:dyDescent="0.2">
      <c r="A79" s="61">
        <v>2018</v>
      </c>
      <c r="B79" s="62" t="s">
        <v>656</v>
      </c>
      <c r="C79" s="63" t="s">
        <v>659</v>
      </c>
      <c r="D79" s="62" t="s">
        <v>75</v>
      </c>
      <c r="E79" s="64">
        <v>25</v>
      </c>
      <c r="J79" s="34" t="e">
        <f t="shared" ca="1" si="0"/>
        <v>#NAME?</v>
      </c>
    </row>
    <row r="80" spans="1:10" x14ac:dyDescent="0.2">
      <c r="A80" s="57">
        <v>2015</v>
      </c>
      <c r="B80" s="58" t="s">
        <v>56</v>
      </c>
      <c r="C80" s="59" t="s">
        <v>544</v>
      </c>
      <c r="D80" s="58" t="s">
        <v>191</v>
      </c>
      <c r="E80" s="60">
        <v>37</v>
      </c>
      <c r="F80" s="58"/>
      <c r="G80" s="58" t="str">
        <f t="shared" ref="G80:G81" si="3">CONCATENATE(A80," ",B80," ", " ''",C80,"'' ", " - ","$",E80)</f>
        <v>2015 Dowsett Family Wines  ''Becklin Vineyards Pinor Noir''  - $37</v>
      </c>
      <c r="H80" s="58"/>
      <c r="I80" s="58"/>
      <c r="J80" s="34" t="e">
        <f t="shared" ca="1" si="0"/>
        <v>#NAME?</v>
      </c>
    </row>
    <row r="81" spans="1:10" x14ac:dyDescent="0.2">
      <c r="A81" s="57">
        <v>2018</v>
      </c>
      <c r="B81" s="58" t="s">
        <v>56</v>
      </c>
      <c r="C81" s="59" t="s">
        <v>645</v>
      </c>
      <c r="D81" s="58" t="s">
        <v>578</v>
      </c>
      <c r="E81" s="60">
        <v>18.5</v>
      </c>
      <c r="F81" s="58"/>
      <c r="G81" s="58" t="str">
        <f t="shared" si="3"/>
        <v>2018 Dowsett Family Wines  ''Georgia Rosé''  - $18.5</v>
      </c>
      <c r="H81" s="58"/>
      <c r="I81" s="58"/>
      <c r="J81" s="34" t="e">
        <f t="shared" ca="1" si="0"/>
        <v>#NAME?</v>
      </c>
    </row>
    <row r="82" spans="1:10" x14ac:dyDescent="0.2">
      <c r="A82" s="32">
        <v>2013</v>
      </c>
      <c r="B82" s="34" t="s">
        <v>56</v>
      </c>
      <c r="C82" s="56" t="s">
        <v>57</v>
      </c>
      <c r="D82" s="34" t="s">
        <v>660</v>
      </c>
      <c r="E82" s="37">
        <v>34</v>
      </c>
      <c r="J82" s="34" t="e">
        <f t="shared" ca="1" si="0"/>
        <v>#NAME?</v>
      </c>
    </row>
    <row r="83" spans="1:10" x14ac:dyDescent="0.2">
      <c r="A83" s="57">
        <v>2016</v>
      </c>
      <c r="B83" s="58" t="s">
        <v>56</v>
      </c>
      <c r="C83" s="59" t="s">
        <v>661</v>
      </c>
      <c r="D83" s="58" t="s">
        <v>643</v>
      </c>
      <c r="E83" s="60">
        <v>16.5</v>
      </c>
      <c r="F83" s="58"/>
      <c r="G83" s="58" t="str">
        <f>CONCATENATE(A83," ",B83," ", " ''",C83,"'' ", " - ","$",E83)</f>
        <v>2016 Dowsett Family Wines  ''Two Magpies''  - $16.5</v>
      </c>
      <c r="H83" s="58"/>
      <c r="I83" s="58"/>
      <c r="J83" s="34" t="e">
        <f t="shared" ca="1" si="0"/>
        <v>#NAME?</v>
      </c>
    </row>
    <row r="84" spans="1:10" x14ac:dyDescent="0.2">
      <c r="A84" s="32" t="s">
        <v>75</v>
      </c>
      <c r="B84" s="34" t="s">
        <v>631</v>
      </c>
      <c r="C84" s="56" t="s">
        <v>46</v>
      </c>
      <c r="D84" s="34" t="s">
        <v>44</v>
      </c>
      <c r="E84" s="37">
        <v>60</v>
      </c>
      <c r="J84" s="34" t="e">
        <f t="shared" ca="1" si="0"/>
        <v>#NAME?</v>
      </c>
    </row>
    <row r="85" spans="1:10" x14ac:dyDescent="0.2">
      <c r="A85" s="32" t="s">
        <v>75</v>
      </c>
      <c r="B85" s="34" t="s">
        <v>631</v>
      </c>
      <c r="C85" s="56" t="s">
        <v>662</v>
      </c>
      <c r="D85" s="34" t="s">
        <v>44</v>
      </c>
      <c r="E85" s="37">
        <v>50</v>
      </c>
      <c r="J85" s="34" t="e">
        <f t="shared" ca="1" si="0"/>
        <v>#NAME?</v>
      </c>
    </row>
    <row r="86" spans="1:10" x14ac:dyDescent="0.2">
      <c r="A86" s="32">
        <v>2013</v>
      </c>
      <c r="B86" s="34" t="s">
        <v>631</v>
      </c>
      <c r="C86" s="56" t="s">
        <v>630</v>
      </c>
      <c r="D86" s="34" t="s">
        <v>44</v>
      </c>
      <c r="E86" s="37">
        <v>45</v>
      </c>
      <c r="J86" s="34" t="e">
        <f t="shared" ca="1" si="0"/>
        <v>#NAME?</v>
      </c>
    </row>
    <row r="87" spans="1:10" x14ac:dyDescent="0.2">
      <c r="A87" s="32">
        <v>2012</v>
      </c>
      <c r="B87" s="34" t="s">
        <v>631</v>
      </c>
      <c r="C87" s="56" t="s">
        <v>663</v>
      </c>
      <c r="D87" s="34" t="s">
        <v>44</v>
      </c>
      <c r="E87" s="37">
        <v>50</v>
      </c>
      <c r="J87" s="34" t="e">
        <f t="shared" ca="1" si="0"/>
        <v>#NAME?</v>
      </c>
    </row>
    <row r="88" spans="1:10" x14ac:dyDescent="0.2">
      <c r="A88" s="61" t="s">
        <v>75</v>
      </c>
      <c r="B88" s="62" t="s">
        <v>631</v>
      </c>
      <c r="C88" s="63" t="s">
        <v>663</v>
      </c>
      <c r="D88" s="62" t="s">
        <v>44</v>
      </c>
      <c r="E88" s="64">
        <v>24</v>
      </c>
      <c r="J88" s="34" t="e">
        <f t="shared" ca="1" si="0"/>
        <v>#NAME?</v>
      </c>
    </row>
    <row r="89" spans="1:10" x14ac:dyDescent="0.2">
      <c r="A89" s="32" t="s">
        <v>75</v>
      </c>
      <c r="B89" s="34" t="s">
        <v>631</v>
      </c>
      <c r="C89" s="56" t="s">
        <v>664</v>
      </c>
      <c r="D89" s="34" t="s">
        <v>44</v>
      </c>
      <c r="E89" s="37">
        <v>30</v>
      </c>
      <c r="J89" s="34" t="e">
        <f t="shared" ca="1" si="0"/>
        <v>#NAME?</v>
      </c>
    </row>
    <row r="90" spans="1:10" x14ac:dyDescent="0.2">
      <c r="A90" s="32">
        <v>2016</v>
      </c>
      <c r="B90" s="34" t="s">
        <v>665</v>
      </c>
      <c r="C90" s="56" t="s">
        <v>551</v>
      </c>
      <c r="D90" s="34" t="s">
        <v>551</v>
      </c>
      <c r="E90" s="37">
        <v>75</v>
      </c>
      <c r="J90" s="34" t="e">
        <f t="shared" ca="1" si="0"/>
        <v>#NAME?</v>
      </c>
    </row>
    <row r="91" spans="1:10" x14ac:dyDescent="0.2">
      <c r="A91" s="32">
        <v>2017</v>
      </c>
      <c r="B91" s="34" t="s">
        <v>665</v>
      </c>
      <c r="C91" s="56" t="s">
        <v>666</v>
      </c>
      <c r="D91" s="34" t="s">
        <v>667</v>
      </c>
      <c r="E91" s="37">
        <v>60</v>
      </c>
      <c r="J91" s="34" t="e">
        <f t="shared" ca="1" si="0"/>
        <v>#NAME?</v>
      </c>
    </row>
    <row r="92" spans="1:10" x14ac:dyDescent="0.2">
      <c r="A92" s="32">
        <v>2013</v>
      </c>
      <c r="B92" s="34" t="s">
        <v>638</v>
      </c>
      <c r="C92" s="56" t="s">
        <v>668</v>
      </c>
      <c r="D92" s="34" t="s">
        <v>551</v>
      </c>
      <c r="E92" s="37">
        <v>187</v>
      </c>
      <c r="J92" s="34" t="e">
        <f t="shared" ca="1" si="0"/>
        <v>#NAME?</v>
      </c>
    </row>
    <row r="93" spans="1:10" x14ac:dyDescent="0.2">
      <c r="A93" s="32">
        <v>2013</v>
      </c>
      <c r="B93" s="34" t="s">
        <v>638</v>
      </c>
      <c r="C93" s="56" t="s">
        <v>637</v>
      </c>
      <c r="D93" s="34" t="s">
        <v>636</v>
      </c>
      <c r="E93" s="37">
        <v>50</v>
      </c>
      <c r="J93" s="34" t="e">
        <f t="shared" ca="1" si="0"/>
        <v>#NAME?</v>
      </c>
    </row>
    <row r="94" spans="1:10" x14ac:dyDescent="0.2">
      <c r="A94" s="32" t="s">
        <v>75</v>
      </c>
      <c r="B94" s="34" t="s">
        <v>638</v>
      </c>
      <c r="C94" s="56" t="s">
        <v>669</v>
      </c>
      <c r="D94" s="34" t="s">
        <v>667</v>
      </c>
      <c r="E94" s="65"/>
      <c r="J94" s="34" t="e">
        <f t="shared" ca="1" si="0"/>
        <v>#NAME?</v>
      </c>
    </row>
    <row r="95" spans="1:10" x14ac:dyDescent="0.2">
      <c r="A95" s="57">
        <v>2018</v>
      </c>
      <c r="B95" s="58" t="s">
        <v>197</v>
      </c>
      <c r="C95" s="59" t="s">
        <v>578</v>
      </c>
      <c r="D95" s="58" t="s">
        <v>578</v>
      </c>
      <c r="E95" s="60">
        <v>25</v>
      </c>
      <c r="F95" s="58"/>
      <c r="G95" s="58" t="str">
        <f>CONCATENATE(A95," ",B95," ", " ''",C95,"'' ", " - ","$",E95)</f>
        <v>2018 Sequoia Grove  ''Rosé''  - $25</v>
      </c>
      <c r="H95" s="58"/>
      <c r="I95" s="58"/>
      <c r="J95" s="34" t="e">
        <f t="shared" ca="1" si="0"/>
        <v>#NAME?</v>
      </c>
    </row>
    <row r="96" spans="1:10" x14ac:dyDescent="0.2">
      <c r="A96" s="32">
        <v>2016</v>
      </c>
      <c r="B96" s="34" t="s">
        <v>197</v>
      </c>
      <c r="C96" s="56" t="s">
        <v>633</v>
      </c>
      <c r="D96" s="34" t="s">
        <v>632</v>
      </c>
      <c r="E96" s="34">
        <v>45</v>
      </c>
      <c r="J96" s="34" t="e">
        <f t="shared" ca="1" si="0"/>
        <v>#NAME?</v>
      </c>
    </row>
    <row r="97" spans="1:10" x14ac:dyDescent="0.2">
      <c r="A97" s="32">
        <v>2015</v>
      </c>
      <c r="B97" s="34" t="s">
        <v>197</v>
      </c>
      <c r="C97" s="56" t="s">
        <v>634</v>
      </c>
      <c r="D97" s="34" t="s">
        <v>551</v>
      </c>
      <c r="E97" s="34">
        <v>50</v>
      </c>
      <c r="J97" s="34" t="e">
        <f t="shared" ca="1" si="0"/>
        <v>#NAME?</v>
      </c>
    </row>
    <row r="98" spans="1:10" x14ac:dyDescent="0.2">
      <c r="A98" s="57">
        <v>2016</v>
      </c>
      <c r="B98" s="58" t="s">
        <v>197</v>
      </c>
      <c r="C98" s="59" t="s">
        <v>583</v>
      </c>
      <c r="D98" s="58" t="s">
        <v>129</v>
      </c>
      <c r="E98" s="60">
        <v>45</v>
      </c>
      <c r="F98" s="58"/>
      <c r="G98" s="58" t="str">
        <f>CONCATENATE(A98," ",B98," ", " ''",C98,"'' ", " - ","$",E98)</f>
        <v>2016 Sequoia Grove  ''Winemakers Series Syrah''  - $45</v>
      </c>
      <c r="H98" s="58"/>
      <c r="I98" s="58"/>
      <c r="J98" s="34" t="e">
        <f t="shared" ca="1" si="0"/>
        <v>#NAME?</v>
      </c>
    </row>
    <row r="99" spans="1:10" x14ac:dyDescent="0.2">
      <c r="A99" s="32">
        <v>2013</v>
      </c>
      <c r="B99" s="34" t="s">
        <v>95</v>
      </c>
      <c r="C99" s="56" t="s">
        <v>96</v>
      </c>
      <c r="D99" s="34" t="s">
        <v>636</v>
      </c>
      <c r="E99" s="34">
        <v>75</v>
      </c>
      <c r="J99" s="34" t="e">
        <f t="shared" ca="1" si="0"/>
        <v>#NAME?</v>
      </c>
    </row>
    <row r="100" spans="1:10" x14ac:dyDescent="0.2">
      <c r="A100" s="57">
        <v>2015</v>
      </c>
      <c r="B100" s="58" t="s">
        <v>670</v>
      </c>
      <c r="C100" s="59" t="s">
        <v>671</v>
      </c>
      <c r="D100" s="58" t="s">
        <v>672</v>
      </c>
      <c r="E100" s="60">
        <v>35</v>
      </c>
      <c r="F100" s="58"/>
      <c r="G100" s="58" t="str">
        <f>CONCATENATE(A100," ",B100," ", " ''",C100,"'' ", " - ","$",E100)</f>
        <v>2015 AXR  ''V. Madrone Vineyard Petite Syrah''  - $35</v>
      </c>
      <c r="H100" s="58"/>
      <c r="I100" s="58"/>
      <c r="J100" s="34" t="e">
        <f t="shared" ca="1" si="0"/>
        <v>#NAME?</v>
      </c>
    </row>
    <row r="101" spans="1:10" x14ac:dyDescent="0.2">
      <c r="A101" s="32">
        <v>2015</v>
      </c>
      <c r="B101" s="34" t="s">
        <v>673</v>
      </c>
      <c r="C101" s="56" t="s">
        <v>673</v>
      </c>
      <c r="D101" s="34" t="s">
        <v>639</v>
      </c>
      <c r="E101" s="34">
        <v>65</v>
      </c>
      <c r="J101" s="34" t="e">
        <f t="shared" ca="1" si="0"/>
        <v>#NAME?</v>
      </c>
    </row>
    <row r="102" spans="1:10" x14ac:dyDescent="0.2">
      <c r="A102" s="32">
        <v>2015</v>
      </c>
      <c r="B102" s="34" t="s">
        <v>172</v>
      </c>
      <c r="C102" s="56" t="s">
        <v>174</v>
      </c>
      <c r="D102" s="34" t="s">
        <v>636</v>
      </c>
      <c r="E102" s="34">
        <v>150</v>
      </c>
      <c r="J102" s="34" t="e">
        <f t="shared" ca="1" si="0"/>
        <v>#NAME?</v>
      </c>
    </row>
    <row r="103" spans="1:10" x14ac:dyDescent="0.2">
      <c r="A103" s="32">
        <v>2015</v>
      </c>
      <c r="B103" s="34" t="s">
        <v>674</v>
      </c>
      <c r="C103" s="56" t="s">
        <v>159</v>
      </c>
      <c r="D103" s="34" t="s">
        <v>639</v>
      </c>
      <c r="E103" s="34">
        <v>70</v>
      </c>
      <c r="J103" s="34" t="e">
        <f t="shared" ca="1" si="0"/>
        <v>#NAME?</v>
      </c>
    </row>
    <row r="104" spans="1:10" x14ac:dyDescent="0.2">
      <c r="A104" s="32">
        <v>2015</v>
      </c>
      <c r="B104" s="34" t="s">
        <v>618</v>
      </c>
      <c r="C104" s="56" t="s">
        <v>619</v>
      </c>
      <c r="D104" s="34" t="s">
        <v>636</v>
      </c>
      <c r="E104" s="34">
        <v>60</v>
      </c>
      <c r="J104" s="34" t="e">
        <f t="shared" ca="1" si="0"/>
        <v>#NAME?</v>
      </c>
    </row>
    <row r="105" spans="1:10" x14ac:dyDescent="0.2">
      <c r="A105" s="32">
        <v>2015</v>
      </c>
      <c r="B105" s="56" t="s">
        <v>99</v>
      </c>
      <c r="C105" s="56" t="s">
        <v>620</v>
      </c>
      <c r="D105" s="56" t="s">
        <v>632</v>
      </c>
      <c r="E105" s="56">
        <v>60</v>
      </c>
      <c r="J105" s="34" t="e">
        <f t="shared" ca="1" si="0"/>
        <v>#NAME?</v>
      </c>
    </row>
    <row r="106" spans="1:10" x14ac:dyDescent="0.2">
      <c r="A106" s="32">
        <v>2013</v>
      </c>
      <c r="B106" s="34" t="s">
        <v>99</v>
      </c>
      <c r="C106" s="56" t="s">
        <v>269</v>
      </c>
      <c r="D106" s="34" t="s">
        <v>551</v>
      </c>
      <c r="E106" s="34">
        <v>85</v>
      </c>
      <c r="J106" s="34" t="e">
        <f t="shared" ca="1" si="0"/>
        <v>#NAME?</v>
      </c>
    </row>
    <row r="107" spans="1:10" x14ac:dyDescent="0.2">
      <c r="A107" s="32">
        <v>2013</v>
      </c>
      <c r="B107" s="34" t="s">
        <v>99</v>
      </c>
      <c r="C107" s="56" t="s">
        <v>117</v>
      </c>
      <c r="D107" s="34" t="s">
        <v>551</v>
      </c>
      <c r="E107" s="34">
        <v>100</v>
      </c>
      <c r="J107" s="34" t="e">
        <f t="shared" ca="1" si="0"/>
        <v>#NAME?</v>
      </c>
    </row>
    <row r="108" spans="1:10" x14ac:dyDescent="0.2">
      <c r="A108" s="57">
        <v>2013</v>
      </c>
      <c r="B108" s="58" t="s">
        <v>99</v>
      </c>
      <c r="C108" s="59" t="s">
        <v>675</v>
      </c>
      <c r="D108" s="58" t="s">
        <v>551</v>
      </c>
      <c r="E108" s="60">
        <v>55</v>
      </c>
      <c r="F108" s="58"/>
      <c r="G108" s="58" t="str">
        <f>CONCATENATE(A108," ",B108," ", " ''",C108,"'' ", " - ","$",E108)</f>
        <v>2013 Sterling Vineyards  ''Rutherford Cab''  - $55</v>
      </c>
      <c r="H108" s="58"/>
      <c r="I108" s="58"/>
      <c r="J108" s="34" t="e">
        <f t="shared" ca="1" si="0"/>
        <v>#NAME?</v>
      </c>
    </row>
    <row r="109" spans="1:10" x14ac:dyDescent="0.2">
      <c r="A109" s="32">
        <v>2013</v>
      </c>
      <c r="B109" s="34" t="s">
        <v>99</v>
      </c>
      <c r="C109" s="56" t="s">
        <v>111</v>
      </c>
      <c r="D109" s="34" t="s">
        <v>551</v>
      </c>
      <c r="E109" s="34">
        <v>140</v>
      </c>
      <c r="J109" s="34" t="e">
        <f t="shared" ca="1" si="0"/>
        <v>#NAME?</v>
      </c>
    </row>
    <row r="110" spans="1:10" x14ac:dyDescent="0.2">
      <c r="A110" s="32">
        <v>2013</v>
      </c>
      <c r="B110" s="34" t="s">
        <v>99</v>
      </c>
      <c r="C110" s="56" t="s">
        <v>100</v>
      </c>
      <c r="D110" s="34" t="s">
        <v>551</v>
      </c>
      <c r="E110" s="34">
        <v>140</v>
      </c>
      <c r="J110" s="34" t="e">
        <f t="shared" ca="1" si="0"/>
        <v>#NAME?</v>
      </c>
    </row>
    <row r="111" spans="1:10" x14ac:dyDescent="0.2">
      <c r="A111" s="32">
        <v>2015</v>
      </c>
      <c r="B111" s="34" t="s">
        <v>172</v>
      </c>
      <c r="C111" s="56" t="s">
        <v>185</v>
      </c>
      <c r="D111" s="34" t="s">
        <v>551</v>
      </c>
      <c r="E111" s="34">
        <v>150</v>
      </c>
      <c r="J111" s="34" t="e">
        <f t="shared" ca="1" si="0"/>
        <v>#NAME?</v>
      </c>
    </row>
    <row r="112" spans="1:10" x14ac:dyDescent="0.2">
      <c r="A112" s="32">
        <v>2015</v>
      </c>
      <c r="B112" s="34" t="s">
        <v>84</v>
      </c>
      <c r="C112" s="56">
        <v>1873</v>
      </c>
      <c r="D112" s="34" t="s">
        <v>551</v>
      </c>
      <c r="E112" s="34">
        <v>85</v>
      </c>
      <c r="J112" s="34" t="e">
        <f t="shared" ca="1" si="0"/>
        <v>#NAME?</v>
      </c>
    </row>
    <row r="113" spans="1:10" x14ac:dyDescent="0.2">
      <c r="A113" s="32">
        <v>2014</v>
      </c>
      <c r="B113" s="34" t="s">
        <v>84</v>
      </c>
      <c r="C113" s="56" t="s">
        <v>152</v>
      </c>
      <c r="D113" s="34" t="s">
        <v>551</v>
      </c>
      <c r="E113" s="34">
        <v>150</v>
      </c>
      <c r="J113" s="34" t="e">
        <f t="shared" ca="1" si="0"/>
        <v>#NAME?</v>
      </c>
    </row>
    <row r="114" spans="1:10" x14ac:dyDescent="0.2">
      <c r="A114" s="32">
        <v>2015</v>
      </c>
      <c r="B114" s="34" t="s">
        <v>84</v>
      </c>
      <c r="C114" s="56" t="s">
        <v>266</v>
      </c>
      <c r="D114" s="34" t="s">
        <v>551</v>
      </c>
      <c r="E114" s="34">
        <v>70</v>
      </c>
      <c r="J114" s="34" t="e">
        <f t="shared" ca="1" si="0"/>
        <v>#NAME?</v>
      </c>
    </row>
    <row r="115" spans="1:10" x14ac:dyDescent="0.2">
      <c r="A115" s="32">
        <v>2014</v>
      </c>
      <c r="B115" s="34" t="s">
        <v>84</v>
      </c>
      <c r="C115" s="56" t="s">
        <v>201</v>
      </c>
      <c r="D115" s="34" t="s">
        <v>551</v>
      </c>
      <c r="E115" s="34">
        <v>80</v>
      </c>
      <c r="J115" s="34" t="e">
        <f t="shared" ca="1" si="0"/>
        <v>#NAME?</v>
      </c>
    </row>
    <row r="116" spans="1:10" x14ac:dyDescent="0.2">
      <c r="A116" s="32">
        <v>2016</v>
      </c>
      <c r="B116" s="34" t="s">
        <v>84</v>
      </c>
      <c r="C116" s="56" t="s">
        <v>201</v>
      </c>
      <c r="D116" s="34" t="s">
        <v>551</v>
      </c>
      <c r="E116" s="34">
        <v>80</v>
      </c>
      <c r="J116" s="34" t="e">
        <f t="shared" ca="1" si="0"/>
        <v>#NAME?</v>
      </c>
    </row>
    <row r="117" spans="1:10" x14ac:dyDescent="0.2">
      <c r="A117" s="32">
        <v>2016</v>
      </c>
      <c r="B117" s="34" t="s">
        <v>84</v>
      </c>
      <c r="C117" s="56" t="s">
        <v>222</v>
      </c>
      <c r="D117" s="34" t="s">
        <v>551</v>
      </c>
      <c r="E117" s="34">
        <v>180</v>
      </c>
      <c r="J117" s="34" t="e">
        <f t="shared" ca="1" si="0"/>
        <v>#NAME?</v>
      </c>
    </row>
    <row r="118" spans="1:10" x14ac:dyDescent="0.2">
      <c r="A118" s="32">
        <v>2015</v>
      </c>
      <c r="B118" s="34" t="s">
        <v>84</v>
      </c>
      <c r="C118" s="56" t="s">
        <v>184</v>
      </c>
      <c r="D118" s="34" t="s">
        <v>551</v>
      </c>
      <c r="E118" s="34">
        <v>180</v>
      </c>
      <c r="J118" s="34" t="e">
        <f t="shared" ca="1" si="0"/>
        <v>#NAME?</v>
      </c>
    </row>
    <row r="119" spans="1:10" x14ac:dyDescent="0.2">
      <c r="A119" s="32">
        <v>2014</v>
      </c>
      <c r="B119" s="34" t="s">
        <v>84</v>
      </c>
      <c r="C119" s="56" t="s">
        <v>676</v>
      </c>
      <c r="D119" s="34" t="s">
        <v>551</v>
      </c>
      <c r="E119" s="41">
        <v>70</v>
      </c>
      <c r="J119" s="34" t="e">
        <f t="shared" ca="1" si="0"/>
        <v>#NAME?</v>
      </c>
    </row>
    <row r="120" spans="1:10" x14ac:dyDescent="0.2">
      <c r="A120" s="57">
        <v>2013</v>
      </c>
      <c r="B120" s="58" t="s">
        <v>638</v>
      </c>
      <c r="C120" s="59" t="s">
        <v>677</v>
      </c>
      <c r="D120" s="58" t="s">
        <v>636</v>
      </c>
      <c r="E120" s="60">
        <v>50</v>
      </c>
      <c r="F120" s="58"/>
      <c r="G120" s="58" t="str">
        <f>CONCATENATE(A120," ",B120," ", " ''",C120,"'' ", " - ","$",E120)</f>
        <v>2013 Mondavi  ''Momentum''  - $50</v>
      </c>
      <c r="H120" s="58"/>
      <c r="I120" s="58"/>
      <c r="J120" s="34" t="e">
        <f t="shared" ca="1" si="0"/>
        <v>#NAME?</v>
      </c>
    </row>
    <row r="121" spans="1:10" x14ac:dyDescent="0.2">
      <c r="A121" s="32">
        <v>2016</v>
      </c>
      <c r="B121" s="34" t="s">
        <v>103</v>
      </c>
      <c r="C121" s="56" t="s">
        <v>267</v>
      </c>
      <c r="D121" s="34" t="s">
        <v>191</v>
      </c>
      <c r="E121" s="34">
        <v>45</v>
      </c>
      <c r="J121" s="34" t="e">
        <f t="shared" ca="1" si="0"/>
        <v>#NAME?</v>
      </c>
    </row>
    <row r="122" spans="1:10" x14ac:dyDescent="0.2">
      <c r="A122" s="32">
        <v>2016</v>
      </c>
      <c r="B122" s="34" t="s">
        <v>189</v>
      </c>
      <c r="C122" s="56" t="s">
        <v>678</v>
      </c>
      <c r="D122" s="34" t="s">
        <v>191</v>
      </c>
      <c r="E122" s="34">
        <v>90</v>
      </c>
      <c r="J122" s="34" t="e">
        <f t="shared" ca="1" si="0"/>
        <v>#NAME?</v>
      </c>
    </row>
    <row r="123" spans="1:10" x14ac:dyDescent="0.2">
      <c r="A123" s="32" t="s">
        <v>75</v>
      </c>
      <c r="B123" s="34" t="s">
        <v>205</v>
      </c>
      <c r="C123" s="56" t="s">
        <v>679</v>
      </c>
      <c r="D123" s="34" t="s">
        <v>680</v>
      </c>
      <c r="E123" s="34">
        <v>55</v>
      </c>
      <c r="J123" s="34" t="e">
        <f t="shared" ca="1" si="0"/>
        <v>#NAME?</v>
      </c>
    </row>
    <row r="124" spans="1:10" x14ac:dyDescent="0.2">
      <c r="A124" s="32">
        <v>2015</v>
      </c>
      <c r="B124" s="34" t="s">
        <v>205</v>
      </c>
      <c r="C124" s="56" t="s">
        <v>681</v>
      </c>
      <c r="D124" s="34" t="s">
        <v>632</v>
      </c>
      <c r="E124" s="34">
        <v>50</v>
      </c>
      <c r="J124" s="34" t="e">
        <f t="shared" ca="1" si="0"/>
        <v>#NAME?</v>
      </c>
    </row>
    <row r="125" spans="1:10" x14ac:dyDescent="0.2">
      <c r="A125" s="32">
        <v>2016</v>
      </c>
      <c r="B125" s="34" t="s">
        <v>205</v>
      </c>
      <c r="C125" s="56" t="s">
        <v>681</v>
      </c>
      <c r="D125" s="34" t="s">
        <v>632</v>
      </c>
      <c r="E125" s="34">
        <v>45</v>
      </c>
      <c r="J125" s="34" t="e">
        <f t="shared" ca="1" si="0"/>
        <v>#NAME?</v>
      </c>
    </row>
    <row r="126" spans="1:10" x14ac:dyDescent="0.2">
      <c r="A126" s="32">
        <v>2015</v>
      </c>
      <c r="B126" s="34" t="s">
        <v>205</v>
      </c>
      <c r="C126" s="56" t="s">
        <v>598</v>
      </c>
      <c r="D126" s="34" t="s">
        <v>415</v>
      </c>
      <c r="E126" s="34">
        <v>45</v>
      </c>
      <c r="J126" s="34" t="e">
        <f t="shared" ca="1" si="0"/>
        <v>#NAME?</v>
      </c>
    </row>
    <row r="127" spans="1:10" x14ac:dyDescent="0.2">
      <c r="A127" s="32">
        <v>2015</v>
      </c>
      <c r="B127" s="34" t="s">
        <v>99</v>
      </c>
      <c r="C127" s="56" t="s">
        <v>682</v>
      </c>
      <c r="D127" s="34" t="s">
        <v>191</v>
      </c>
      <c r="E127" s="34">
        <v>75</v>
      </c>
      <c r="J127" s="34" t="e">
        <f t="shared" ca="1" si="0"/>
        <v>#NAME?</v>
      </c>
    </row>
    <row r="128" spans="1:10" x14ac:dyDescent="0.2">
      <c r="A128" s="32">
        <v>2016</v>
      </c>
      <c r="B128" s="34" t="s">
        <v>301</v>
      </c>
      <c r="C128" s="56" t="s">
        <v>302</v>
      </c>
      <c r="D128" s="34" t="s">
        <v>191</v>
      </c>
      <c r="E128" s="34">
        <v>75</v>
      </c>
      <c r="J128" s="34" t="e">
        <f t="shared" ca="1" si="0"/>
        <v>#NAME?</v>
      </c>
    </row>
    <row r="129" spans="1:10" x14ac:dyDescent="0.2">
      <c r="A129" s="32">
        <v>2016</v>
      </c>
      <c r="B129" s="34" t="s">
        <v>84</v>
      </c>
      <c r="C129" s="56" t="s">
        <v>266</v>
      </c>
      <c r="D129" s="34" t="s">
        <v>551</v>
      </c>
      <c r="E129" s="34">
        <v>70</v>
      </c>
      <c r="J129" s="34" t="e">
        <f t="shared" ca="1" si="0"/>
        <v>#NAME?</v>
      </c>
    </row>
    <row r="130" spans="1:10" x14ac:dyDescent="0.2">
      <c r="A130" s="32">
        <v>2016</v>
      </c>
      <c r="B130" s="34" t="s">
        <v>84</v>
      </c>
      <c r="C130" s="56" t="s">
        <v>683</v>
      </c>
      <c r="D130" s="34" t="s">
        <v>551</v>
      </c>
      <c r="E130" s="41">
        <v>70</v>
      </c>
      <c r="J130" s="34" t="e">
        <f t="shared" ca="1" si="0"/>
        <v>#NAME?</v>
      </c>
    </row>
    <row r="131" spans="1:10" x14ac:dyDescent="0.2">
      <c r="A131" s="57">
        <v>2016</v>
      </c>
      <c r="B131" s="58" t="s">
        <v>84</v>
      </c>
      <c r="C131" s="59" t="s">
        <v>684</v>
      </c>
      <c r="D131" s="58" t="s">
        <v>129</v>
      </c>
      <c r="E131" s="60">
        <v>40</v>
      </c>
      <c r="F131" s="58"/>
      <c r="G131" s="58" t="str">
        <f>CONCATENATE(A131," ",B131," ", " ''",C131,"'' ", " - ","$",E131)</f>
        <v>2016 Hall Wines  ''Darwin''  - $40</v>
      </c>
      <c r="H131" s="58"/>
      <c r="I131" s="58"/>
      <c r="J131" s="34" t="e">
        <f t="shared" ca="1" si="0"/>
        <v>#NAME?</v>
      </c>
    </row>
    <row r="132" spans="1:10" x14ac:dyDescent="0.2">
      <c r="A132" s="32">
        <v>2016</v>
      </c>
      <c r="B132" s="34" t="s">
        <v>84</v>
      </c>
      <c r="C132" s="56" t="s">
        <v>184</v>
      </c>
      <c r="D132" s="34" t="s">
        <v>551</v>
      </c>
      <c r="E132" s="34">
        <v>185</v>
      </c>
      <c r="J132" s="34" t="e">
        <f t="shared" ca="1" si="0"/>
        <v>#NAME?</v>
      </c>
    </row>
    <row r="133" spans="1:10" x14ac:dyDescent="0.2">
      <c r="A133" s="32">
        <v>2015</v>
      </c>
      <c r="B133" s="34" t="s">
        <v>197</v>
      </c>
      <c r="C133" s="56" t="s">
        <v>685</v>
      </c>
      <c r="D133" s="34" t="s">
        <v>551</v>
      </c>
      <c r="E133" s="34">
        <v>100</v>
      </c>
      <c r="J133" s="34" t="e">
        <f t="shared" ca="1" si="0"/>
        <v>#NAME?</v>
      </c>
    </row>
    <row r="134" spans="1:10" x14ac:dyDescent="0.2">
      <c r="A134" s="57">
        <v>2016</v>
      </c>
      <c r="B134" s="58" t="s">
        <v>197</v>
      </c>
      <c r="C134" s="59" t="s">
        <v>686</v>
      </c>
      <c r="D134" s="58" t="s">
        <v>235</v>
      </c>
      <c r="E134" s="60">
        <v>48</v>
      </c>
      <c r="F134" s="58"/>
      <c r="G134" s="58" t="str">
        <f>CONCATENATE(A134," ",B134," ", " ''",C134,"'' ", " - ","$",E134)</f>
        <v>2016 Sequoia Grove  ''Winemaker Series Merlot''  - $48</v>
      </c>
      <c r="H134" s="58"/>
      <c r="I134" s="58"/>
      <c r="J134" s="34" t="e">
        <f t="shared" ca="1" si="0"/>
        <v>#NAME?</v>
      </c>
    </row>
    <row r="135" spans="1:10" x14ac:dyDescent="0.2">
      <c r="A135" s="32">
        <v>2016</v>
      </c>
      <c r="B135" s="34" t="s">
        <v>197</v>
      </c>
      <c r="C135" s="56" t="s">
        <v>687</v>
      </c>
      <c r="D135" s="34" t="s">
        <v>129</v>
      </c>
      <c r="E135" s="34">
        <v>45</v>
      </c>
      <c r="J135" s="34" t="e">
        <f t="shared" ca="1" si="0"/>
        <v>#NAME?</v>
      </c>
    </row>
    <row r="136" spans="1:10" x14ac:dyDescent="0.2">
      <c r="A136" s="32">
        <v>2016</v>
      </c>
      <c r="B136" s="34" t="s">
        <v>205</v>
      </c>
      <c r="C136" s="56" t="s">
        <v>415</v>
      </c>
      <c r="D136" s="34" t="s">
        <v>415</v>
      </c>
      <c r="E136" s="34">
        <v>45</v>
      </c>
      <c r="J136" s="34" t="e">
        <f t="shared" ca="1" si="0"/>
        <v>#NAME?</v>
      </c>
    </row>
    <row r="137" spans="1:10" x14ac:dyDescent="0.2">
      <c r="A137" s="32">
        <v>2016</v>
      </c>
      <c r="B137" s="34" t="s">
        <v>205</v>
      </c>
      <c r="C137" s="56" t="s">
        <v>181</v>
      </c>
      <c r="D137" s="34" t="s">
        <v>551</v>
      </c>
      <c r="E137" s="34">
        <v>125</v>
      </c>
      <c r="J137" s="34" t="e">
        <f t="shared" ca="1" si="0"/>
        <v>#NAME?</v>
      </c>
    </row>
    <row r="138" spans="1:10" x14ac:dyDescent="0.2">
      <c r="A138" s="32">
        <v>2016</v>
      </c>
      <c r="B138" s="34" t="s">
        <v>205</v>
      </c>
      <c r="C138" s="56" t="s">
        <v>603</v>
      </c>
      <c r="D138" s="34" t="s">
        <v>235</v>
      </c>
      <c r="E138" s="34">
        <v>60</v>
      </c>
      <c r="J138" s="34" t="e">
        <f t="shared" ca="1" si="0"/>
        <v>#NAME?</v>
      </c>
    </row>
    <row r="139" spans="1:10" x14ac:dyDescent="0.2">
      <c r="A139" s="32">
        <v>2016</v>
      </c>
      <c r="B139" s="34" t="s">
        <v>64</v>
      </c>
      <c r="C139" s="56" t="s">
        <v>587</v>
      </c>
      <c r="D139" s="34" t="s">
        <v>551</v>
      </c>
      <c r="E139" s="34">
        <v>60</v>
      </c>
      <c r="J139" s="34" t="e">
        <f t="shared" ca="1" si="0"/>
        <v>#NAME?</v>
      </c>
    </row>
    <row r="140" spans="1:10" x14ac:dyDescent="0.2">
      <c r="A140" s="32">
        <v>2017</v>
      </c>
      <c r="B140" s="34" t="s">
        <v>229</v>
      </c>
      <c r="C140" s="56" t="s">
        <v>688</v>
      </c>
      <c r="D140" s="34" t="s">
        <v>636</v>
      </c>
      <c r="E140" s="34">
        <v>95</v>
      </c>
      <c r="J140" s="34" t="e">
        <f t="shared" ca="1" si="0"/>
        <v>#NAME?</v>
      </c>
    </row>
    <row r="141" spans="1:10" x14ac:dyDescent="0.2">
      <c r="A141" s="32">
        <v>2016</v>
      </c>
      <c r="B141" s="34" t="s">
        <v>229</v>
      </c>
      <c r="C141" s="56" t="s">
        <v>245</v>
      </c>
      <c r="D141" s="34" t="s">
        <v>551</v>
      </c>
      <c r="E141" s="34">
        <v>150</v>
      </c>
      <c r="J141" s="34" t="e">
        <f t="shared" ca="1" si="0"/>
        <v>#NAME?</v>
      </c>
    </row>
    <row r="142" spans="1:10" x14ac:dyDescent="0.2">
      <c r="A142" s="32">
        <v>2016</v>
      </c>
      <c r="B142" s="34" t="s">
        <v>229</v>
      </c>
      <c r="C142" s="56" t="s">
        <v>230</v>
      </c>
      <c r="D142" s="34" t="s">
        <v>632</v>
      </c>
      <c r="E142" s="34">
        <v>125</v>
      </c>
      <c r="J142" s="34" t="e">
        <f t="shared" ca="1" si="0"/>
        <v>#NAME?</v>
      </c>
    </row>
    <row r="143" spans="1:10" x14ac:dyDescent="0.2">
      <c r="A143" s="57">
        <v>2017</v>
      </c>
      <c r="B143" s="58" t="s">
        <v>229</v>
      </c>
      <c r="C143" s="59" t="s">
        <v>689</v>
      </c>
      <c r="D143" s="58" t="s">
        <v>390</v>
      </c>
      <c r="E143" s="60">
        <v>75</v>
      </c>
      <c r="F143" s="58"/>
      <c r="G143" s="58" t="str">
        <f>CONCATENATE(A143," ",B143," ", " ''",C143,"'' ", " - ","$",E143)</f>
        <v>2017 Chateau Potelle  ''Moon Mountain Zinfandel''  - $75</v>
      </c>
      <c r="H143" s="58"/>
      <c r="I143" s="58"/>
      <c r="J143" s="34" t="e">
        <f t="shared" ca="1" si="0"/>
        <v>#NAME?</v>
      </c>
    </row>
    <row r="144" spans="1:10" x14ac:dyDescent="0.2">
      <c r="A144" s="32">
        <v>2016</v>
      </c>
      <c r="B144" s="34" t="s">
        <v>170</v>
      </c>
      <c r="C144" s="56" t="s">
        <v>556</v>
      </c>
      <c r="D144" s="34" t="s">
        <v>390</v>
      </c>
      <c r="E144" s="34">
        <v>125</v>
      </c>
      <c r="J144" s="34" t="e">
        <f t="shared" ca="1" si="0"/>
        <v>#NAME?</v>
      </c>
    </row>
    <row r="145" spans="1:10" x14ac:dyDescent="0.2">
      <c r="A145" s="32">
        <v>2018</v>
      </c>
      <c r="B145" s="34" t="s">
        <v>170</v>
      </c>
      <c r="C145" s="56" t="s">
        <v>593</v>
      </c>
      <c r="D145" s="34" t="s">
        <v>578</v>
      </c>
      <c r="E145" s="41">
        <v>25</v>
      </c>
      <c r="J145" s="34" t="e">
        <f t="shared" ca="1" si="0"/>
        <v>#NAME?</v>
      </c>
    </row>
    <row r="146" spans="1:10" x14ac:dyDescent="0.2">
      <c r="A146" s="32">
        <v>2014</v>
      </c>
      <c r="B146" s="34" t="s">
        <v>170</v>
      </c>
      <c r="C146" s="56" t="s">
        <v>171</v>
      </c>
      <c r="D146" s="34" t="s">
        <v>551</v>
      </c>
      <c r="E146" s="41">
        <v>150</v>
      </c>
      <c r="J146" s="34" t="e">
        <f t="shared" ca="1" si="0"/>
        <v>#NAME?</v>
      </c>
    </row>
    <row r="147" spans="1:10" x14ac:dyDescent="0.2">
      <c r="A147" s="57">
        <v>2017</v>
      </c>
      <c r="B147" s="58" t="s">
        <v>588</v>
      </c>
      <c r="C147" s="59" t="s">
        <v>589</v>
      </c>
      <c r="D147" s="58" t="s">
        <v>191</v>
      </c>
      <c r="E147" s="60">
        <v>55</v>
      </c>
      <c r="F147" s="58"/>
      <c r="G147" s="58" t="str">
        <f>CONCATENATE(A147," ",B147," ", " ''",C147,"'' ", " - ","$",E147)</f>
        <v>2017 Soquel Vineyards  ''Estate Grown Pinot Noir''  - $55</v>
      </c>
      <c r="H147" s="58"/>
      <c r="I147" s="58"/>
      <c r="J147" s="34" t="e">
        <f t="shared" ca="1" si="0"/>
        <v>#NAME?</v>
      </c>
    </row>
    <row r="148" spans="1:10" x14ac:dyDescent="0.2">
      <c r="A148" s="32">
        <v>2017</v>
      </c>
      <c r="C148" s="56" t="s">
        <v>590</v>
      </c>
      <c r="D148" s="34" t="s">
        <v>235</v>
      </c>
      <c r="E148" s="34">
        <v>40</v>
      </c>
      <c r="J148" s="34" t="e">
        <f t="shared" ca="1" si="0"/>
        <v>#NAME?</v>
      </c>
    </row>
    <row r="149" spans="1:10" x14ac:dyDescent="0.2">
      <c r="A149" s="32">
        <v>2015</v>
      </c>
      <c r="B149" s="34" t="s">
        <v>56</v>
      </c>
      <c r="C149" s="56" t="s">
        <v>544</v>
      </c>
      <c r="D149" s="34" t="s">
        <v>191</v>
      </c>
      <c r="E149" s="34">
        <v>37</v>
      </c>
      <c r="J149" s="34" t="e">
        <f t="shared" ca="1" si="0"/>
        <v>#NAME?</v>
      </c>
    </row>
    <row r="150" spans="1:10" x14ac:dyDescent="0.2">
      <c r="A150" s="32">
        <v>2013</v>
      </c>
      <c r="B150" s="34" t="s">
        <v>56</v>
      </c>
      <c r="C150" s="56" t="s">
        <v>57</v>
      </c>
      <c r="D150" s="34" t="s">
        <v>660</v>
      </c>
      <c r="E150" s="34">
        <v>34</v>
      </c>
      <c r="J150" s="34" t="e">
        <f t="shared" ca="1" si="0"/>
        <v>#NAME?</v>
      </c>
    </row>
    <row r="151" spans="1:10" x14ac:dyDescent="0.2">
      <c r="A151" s="32" t="s">
        <v>75</v>
      </c>
      <c r="B151" s="34" t="s">
        <v>103</v>
      </c>
      <c r="C151" s="56" t="s">
        <v>690</v>
      </c>
      <c r="D151" s="34" t="s">
        <v>691</v>
      </c>
      <c r="E151" s="34">
        <v>85</v>
      </c>
      <c r="J151" s="34" t="e">
        <f t="shared" ca="1" si="0"/>
        <v>#NAME?</v>
      </c>
    </row>
    <row r="152" spans="1:10" x14ac:dyDescent="0.2">
      <c r="A152" s="32" t="s">
        <v>75</v>
      </c>
      <c r="B152" s="34" t="s">
        <v>103</v>
      </c>
      <c r="C152" s="56" t="s">
        <v>578</v>
      </c>
      <c r="D152" s="34" t="s">
        <v>691</v>
      </c>
      <c r="E152" s="34">
        <v>90</v>
      </c>
      <c r="J152" s="34" t="e">
        <f t="shared" ca="1" si="0"/>
        <v>#NAME?</v>
      </c>
    </row>
    <row r="153" spans="1:10" x14ac:dyDescent="0.2">
      <c r="A153" s="32">
        <v>2015</v>
      </c>
      <c r="B153" s="34" t="s">
        <v>172</v>
      </c>
      <c r="C153" s="56" t="s">
        <v>524</v>
      </c>
      <c r="D153" s="34" t="s">
        <v>691</v>
      </c>
      <c r="E153" s="34">
        <v>160</v>
      </c>
      <c r="J153" s="34" t="e">
        <f t="shared" ca="1" si="0"/>
        <v>#NAME?</v>
      </c>
    </row>
    <row r="154" spans="1:10" x14ac:dyDescent="0.2">
      <c r="A154" s="32">
        <v>2015</v>
      </c>
      <c r="B154" s="34" t="s">
        <v>172</v>
      </c>
      <c r="C154" s="56" t="s">
        <v>525</v>
      </c>
      <c r="D154" s="34" t="s">
        <v>691</v>
      </c>
      <c r="E154" s="34">
        <v>300</v>
      </c>
      <c r="J154" s="34" t="e">
        <f t="shared" ca="1" si="0"/>
        <v>#NAME?</v>
      </c>
    </row>
    <row r="155" spans="1:10" x14ac:dyDescent="0.2">
      <c r="A155" s="32">
        <v>2008</v>
      </c>
      <c r="B155" s="34" t="s">
        <v>149</v>
      </c>
      <c r="C155" s="56" t="s">
        <v>150</v>
      </c>
      <c r="D155" s="34" t="s">
        <v>44</v>
      </c>
      <c r="E155" s="34">
        <v>80</v>
      </c>
      <c r="J155" s="34" t="e">
        <f t="shared" ca="1" si="0"/>
        <v>#NAME?</v>
      </c>
    </row>
    <row r="156" spans="1:10" x14ac:dyDescent="0.2">
      <c r="A156" s="61">
        <v>2016</v>
      </c>
      <c r="B156" s="62" t="s">
        <v>149</v>
      </c>
      <c r="C156" s="63" t="s">
        <v>578</v>
      </c>
      <c r="D156" s="62" t="s">
        <v>578</v>
      </c>
      <c r="E156" s="62">
        <v>50</v>
      </c>
      <c r="J156" s="34" t="e">
        <f t="shared" ca="1" si="0"/>
        <v>#NAME?</v>
      </c>
    </row>
    <row r="157" spans="1:10" x14ac:dyDescent="0.2">
      <c r="A157" s="32">
        <v>2014</v>
      </c>
      <c r="B157" s="34" t="s">
        <v>301</v>
      </c>
      <c r="C157" s="56" t="s">
        <v>692</v>
      </c>
      <c r="D157" s="34" t="s">
        <v>691</v>
      </c>
      <c r="E157" s="34">
        <v>329</v>
      </c>
      <c r="J157" s="34" t="e">
        <f t="shared" ca="1" si="0"/>
        <v>#NAME?</v>
      </c>
    </row>
    <row r="158" spans="1:10" x14ac:dyDescent="0.2">
      <c r="A158" s="32">
        <v>2016</v>
      </c>
      <c r="B158" s="34" t="s">
        <v>205</v>
      </c>
      <c r="C158" s="56" t="s">
        <v>598</v>
      </c>
      <c r="D158" s="34" t="s">
        <v>415</v>
      </c>
      <c r="E158" s="34">
        <v>50</v>
      </c>
      <c r="J158" s="34" t="e">
        <f t="shared" ca="1" si="0"/>
        <v>#NAME?</v>
      </c>
    </row>
    <row r="159" spans="1:10" x14ac:dyDescent="0.2">
      <c r="A159" s="32">
        <v>2016</v>
      </c>
      <c r="B159" s="62" t="s">
        <v>84</v>
      </c>
      <c r="C159" s="63" t="s">
        <v>693</v>
      </c>
      <c r="D159" s="34" t="s">
        <v>551</v>
      </c>
      <c r="E159" s="62">
        <v>45</v>
      </c>
      <c r="J159" s="34" t="e">
        <f t="shared" ca="1" si="0"/>
        <v>#NAME?</v>
      </c>
    </row>
    <row r="160" spans="1:10" x14ac:dyDescent="0.2">
      <c r="A160" s="32">
        <v>2016</v>
      </c>
      <c r="B160" s="34" t="s">
        <v>205</v>
      </c>
      <c r="C160" s="56" t="s">
        <v>206</v>
      </c>
      <c r="D160" s="34" t="s">
        <v>551</v>
      </c>
      <c r="E160" s="34">
        <v>100</v>
      </c>
      <c r="J160" s="34" t="e">
        <f t="shared" ca="1" si="0"/>
        <v>#NAME?</v>
      </c>
    </row>
    <row r="161" spans="1:10" x14ac:dyDescent="0.2">
      <c r="A161" s="32">
        <v>2017</v>
      </c>
      <c r="B161" s="34" t="s">
        <v>527</v>
      </c>
      <c r="C161" s="56" t="s">
        <v>694</v>
      </c>
      <c r="D161" s="34" t="s">
        <v>636</v>
      </c>
      <c r="E161" s="34">
        <v>116</v>
      </c>
      <c r="J161" s="34" t="e">
        <f t="shared" ca="1" si="0"/>
        <v>#NAME?</v>
      </c>
    </row>
    <row r="162" spans="1:10" x14ac:dyDescent="0.2">
      <c r="A162" s="32">
        <v>2015</v>
      </c>
      <c r="B162" s="34" t="s">
        <v>542</v>
      </c>
      <c r="C162" s="56" t="s">
        <v>543</v>
      </c>
      <c r="D162" s="34" t="s">
        <v>92</v>
      </c>
      <c r="E162" s="34">
        <v>56</v>
      </c>
      <c r="J162" s="34" t="e">
        <f t="shared" ca="1" si="0"/>
        <v>#NAME?</v>
      </c>
    </row>
    <row r="163" spans="1:10" x14ac:dyDescent="0.2">
      <c r="A163" s="32">
        <v>2016</v>
      </c>
      <c r="B163" s="34" t="s">
        <v>56</v>
      </c>
      <c r="C163" s="56" t="s">
        <v>546</v>
      </c>
      <c r="D163" s="66" t="s">
        <v>695</v>
      </c>
      <c r="E163" s="34">
        <v>27</v>
      </c>
      <c r="J163" s="34" t="e">
        <f t="shared" ca="1" si="0"/>
        <v>#NAME?</v>
      </c>
    </row>
    <row r="164" spans="1:10" x14ac:dyDescent="0.2">
      <c r="A164" s="32">
        <v>2013</v>
      </c>
      <c r="B164" s="34" t="s">
        <v>118</v>
      </c>
      <c r="C164" s="56" t="s">
        <v>534</v>
      </c>
      <c r="D164" s="34" t="s">
        <v>92</v>
      </c>
      <c r="E164" s="34">
        <v>99</v>
      </c>
      <c r="J164" s="34" t="e">
        <f t="shared" ca="1" si="0"/>
        <v>#NAME?</v>
      </c>
    </row>
    <row r="165" spans="1:10" x14ac:dyDescent="0.2">
      <c r="A165" s="32" t="s">
        <v>75</v>
      </c>
      <c r="B165" s="34" t="s">
        <v>557</v>
      </c>
      <c r="C165" s="56" t="s">
        <v>570</v>
      </c>
      <c r="D165" s="34" t="s">
        <v>696</v>
      </c>
      <c r="E165" s="34">
        <v>120</v>
      </c>
      <c r="J165" s="34" t="e">
        <f t="shared" ca="1" si="0"/>
        <v>#NAME?</v>
      </c>
    </row>
    <row r="166" spans="1:10" x14ac:dyDescent="0.2">
      <c r="A166" s="32">
        <v>2016</v>
      </c>
      <c r="B166" s="34" t="s">
        <v>557</v>
      </c>
      <c r="C166" s="56" t="s">
        <v>558</v>
      </c>
      <c r="D166" s="34" t="s">
        <v>191</v>
      </c>
      <c r="E166" s="34">
        <v>66</v>
      </c>
      <c r="J166" s="34" t="e">
        <f t="shared" ca="1" si="0"/>
        <v>#NAME?</v>
      </c>
    </row>
    <row r="167" spans="1:10" x14ac:dyDescent="0.2">
      <c r="A167" s="32">
        <v>2018</v>
      </c>
      <c r="B167" s="34" t="s">
        <v>64</v>
      </c>
      <c r="C167" s="56" t="s">
        <v>697</v>
      </c>
      <c r="D167" s="34" t="s">
        <v>591</v>
      </c>
      <c r="E167" s="34">
        <v>25</v>
      </c>
      <c r="J167" s="34" t="e">
        <f t="shared" ca="1" si="0"/>
        <v>#NAME?</v>
      </c>
    </row>
    <row r="168" spans="1:10" x14ac:dyDescent="0.2">
      <c r="A168" s="32">
        <v>2017</v>
      </c>
      <c r="B168" s="34" t="s">
        <v>64</v>
      </c>
      <c r="C168" s="56" t="s">
        <v>698</v>
      </c>
      <c r="D168" s="34" t="s">
        <v>191</v>
      </c>
      <c r="E168" s="34">
        <v>35</v>
      </c>
      <c r="J168" s="34" t="e">
        <f t="shared" ca="1" si="0"/>
        <v>#NAME?</v>
      </c>
    </row>
    <row r="169" spans="1:10" x14ac:dyDescent="0.2">
      <c r="A169" s="32">
        <v>2016</v>
      </c>
      <c r="B169" s="34" t="s">
        <v>170</v>
      </c>
      <c r="C169" s="56" t="s">
        <v>699</v>
      </c>
      <c r="D169" s="34" t="s">
        <v>700</v>
      </c>
      <c r="E169" s="34">
        <v>65</v>
      </c>
      <c r="J169" s="34" t="e">
        <f t="shared" ca="1" si="0"/>
        <v>#NAME?</v>
      </c>
    </row>
    <row r="170" spans="1:10" x14ac:dyDescent="0.2">
      <c r="A170" s="32">
        <v>2016</v>
      </c>
      <c r="B170" s="34" t="s">
        <v>84</v>
      </c>
      <c r="C170" s="56">
        <v>1873</v>
      </c>
      <c r="D170" s="34" t="s">
        <v>551</v>
      </c>
      <c r="E170" s="34">
        <v>85</v>
      </c>
      <c r="J170" s="34" t="e">
        <f t="shared" ca="1" si="0"/>
        <v>#NAME?</v>
      </c>
    </row>
    <row r="171" spans="1:10" x14ac:dyDescent="0.2">
      <c r="A171" s="57">
        <v>2016</v>
      </c>
      <c r="B171" s="58" t="s">
        <v>197</v>
      </c>
      <c r="C171" s="59" t="s">
        <v>701</v>
      </c>
      <c r="D171" s="58" t="s">
        <v>235</v>
      </c>
      <c r="E171" s="60">
        <v>48</v>
      </c>
      <c r="F171" s="58"/>
      <c r="G171" s="58" t="str">
        <f t="shared" ref="G171:G172" si="4">CONCATENATE(A171," ",B171," ", " ''",C171,"'' ", " - ","$",E171)</f>
        <v>2016 Sequoia Grove  ''Napa Valley Merlot''  - $48</v>
      </c>
      <c r="H171" s="58"/>
      <c r="I171" s="58"/>
      <c r="J171" s="34" t="e">
        <f t="shared" ca="1" si="0"/>
        <v>#NAME?</v>
      </c>
    </row>
    <row r="172" spans="1:10" x14ac:dyDescent="0.2">
      <c r="A172" s="57">
        <v>2016</v>
      </c>
      <c r="B172" s="58" t="s">
        <v>197</v>
      </c>
      <c r="C172" s="59" t="s">
        <v>702</v>
      </c>
      <c r="D172" s="58" t="s">
        <v>551</v>
      </c>
      <c r="E172" s="60">
        <v>75</v>
      </c>
      <c r="F172" s="58"/>
      <c r="G172" s="58" t="str">
        <f t="shared" si="4"/>
        <v>2016 Sequoia Grove  ''Rutherford Bench Reserve Cab Sauv''  - $75</v>
      </c>
      <c r="H172" s="58"/>
      <c r="I172" s="58"/>
      <c r="J172" s="34" t="e">
        <f t="shared" ca="1" si="0"/>
        <v>#NAME?</v>
      </c>
    </row>
    <row r="173" spans="1:10" x14ac:dyDescent="0.2">
      <c r="A173" s="32">
        <v>2016</v>
      </c>
      <c r="B173" s="34" t="s">
        <v>205</v>
      </c>
      <c r="C173" s="56" t="s">
        <v>703</v>
      </c>
      <c r="D173" s="34" t="s">
        <v>75</v>
      </c>
      <c r="E173" s="34">
        <v>25</v>
      </c>
      <c r="J173" s="34" t="e">
        <f t="shared" ca="1" si="0"/>
        <v>#NAME?</v>
      </c>
    </row>
    <row r="174" spans="1:10" x14ac:dyDescent="0.2">
      <c r="A174" s="32">
        <v>2016</v>
      </c>
      <c r="B174" s="34" t="s">
        <v>205</v>
      </c>
      <c r="C174" s="56" t="s">
        <v>552</v>
      </c>
      <c r="D174" s="34" t="s">
        <v>235</v>
      </c>
      <c r="E174" s="34">
        <v>45</v>
      </c>
      <c r="J174" s="34" t="e">
        <f t="shared" ca="1" si="0"/>
        <v>#NAME?</v>
      </c>
    </row>
    <row r="175" spans="1:10" x14ac:dyDescent="0.2">
      <c r="A175" s="32">
        <v>2016</v>
      </c>
      <c r="B175" s="34" t="s">
        <v>205</v>
      </c>
      <c r="C175" s="56" t="s">
        <v>704</v>
      </c>
      <c r="D175" s="34" t="s">
        <v>636</v>
      </c>
      <c r="E175" s="34">
        <v>30</v>
      </c>
      <c r="J175" s="34" t="e">
        <f t="shared" ca="1" si="0"/>
        <v>#NAME?</v>
      </c>
    </row>
    <row r="176" spans="1:10" x14ac:dyDescent="0.2">
      <c r="A176" s="32">
        <v>2016</v>
      </c>
      <c r="B176" s="34" t="s">
        <v>205</v>
      </c>
      <c r="C176" s="56" t="s">
        <v>181</v>
      </c>
      <c r="D176" s="34" t="s">
        <v>551</v>
      </c>
      <c r="E176" s="34">
        <v>125</v>
      </c>
      <c r="J176" s="34" t="e">
        <f t="shared" ca="1" si="0"/>
        <v>#NAME?</v>
      </c>
    </row>
    <row r="177" spans="1:5" x14ac:dyDescent="0.2">
      <c r="A177" s="67"/>
      <c r="B177" s="68"/>
      <c r="C177" s="69"/>
      <c r="D177" s="68"/>
      <c r="E177" s="68"/>
    </row>
    <row r="178" spans="1:5" x14ac:dyDescent="0.2">
      <c r="A178" s="32"/>
      <c r="C178" s="56"/>
    </row>
    <row r="179" spans="1:5" x14ac:dyDescent="0.2">
      <c r="A179" s="32"/>
      <c r="C179" s="56"/>
    </row>
    <row r="180" spans="1:5" x14ac:dyDescent="0.2">
      <c r="A180" s="32"/>
      <c r="C180" s="56"/>
    </row>
    <row r="181" spans="1:5" x14ac:dyDescent="0.2">
      <c r="A181" s="32"/>
      <c r="C181" s="56"/>
    </row>
    <row r="182" spans="1:5" x14ac:dyDescent="0.2">
      <c r="A182" s="32"/>
      <c r="C182" s="56"/>
    </row>
    <row r="183" spans="1:5" x14ac:dyDescent="0.2">
      <c r="A183" s="32"/>
      <c r="C183" s="56"/>
    </row>
    <row r="184" spans="1:5" x14ac:dyDescent="0.2">
      <c r="A184" s="32"/>
      <c r="C184" s="56"/>
    </row>
    <row r="185" spans="1:5" x14ac:dyDescent="0.2">
      <c r="A185" s="32"/>
      <c r="C185" s="56"/>
    </row>
    <row r="186" spans="1:5" x14ac:dyDescent="0.2">
      <c r="A186" s="32"/>
      <c r="C186" s="56"/>
    </row>
    <row r="187" spans="1:5" x14ac:dyDescent="0.2">
      <c r="A187" s="32"/>
      <c r="C187" s="56"/>
    </row>
    <row r="188" spans="1:5" x14ac:dyDescent="0.2">
      <c r="A188" s="32"/>
      <c r="C188" s="56"/>
    </row>
    <row r="189" spans="1:5" x14ac:dyDescent="0.2">
      <c r="A189" s="32"/>
      <c r="C189" s="56"/>
    </row>
    <row r="190" spans="1:5" x14ac:dyDescent="0.2">
      <c r="A190" s="32"/>
      <c r="C190" s="56"/>
    </row>
    <row r="191" spans="1:5" x14ac:dyDescent="0.2">
      <c r="A191" s="32"/>
      <c r="C191" s="56"/>
    </row>
    <row r="192" spans="1:5" x14ac:dyDescent="0.2">
      <c r="A192" s="32"/>
      <c r="C192" s="56"/>
    </row>
    <row r="193" spans="1:3" x14ac:dyDescent="0.2">
      <c r="A193" s="32"/>
      <c r="C193" s="56"/>
    </row>
    <row r="194" spans="1:3" x14ac:dyDescent="0.2">
      <c r="A194" s="32"/>
      <c r="C194" s="56"/>
    </row>
    <row r="195" spans="1:3" x14ac:dyDescent="0.2">
      <c r="A195" s="32"/>
      <c r="C195" s="56"/>
    </row>
    <row r="196" spans="1:3" x14ac:dyDescent="0.2">
      <c r="A196" s="32"/>
      <c r="C196" s="56"/>
    </row>
    <row r="197" spans="1:3" x14ac:dyDescent="0.2">
      <c r="A197" s="32"/>
      <c r="C197" s="56"/>
    </row>
    <row r="198" spans="1:3" x14ac:dyDescent="0.2">
      <c r="A198" s="32"/>
      <c r="C198" s="56"/>
    </row>
    <row r="199" spans="1:3" x14ac:dyDescent="0.2">
      <c r="A199" s="32"/>
      <c r="C199" s="56"/>
    </row>
    <row r="200" spans="1:3" x14ac:dyDescent="0.2">
      <c r="A200" s="32"/>
      <c r="C200" s="56"/>
    </row>
    <row r="201" spans="1:3" x14ac:dyDescent="0.2">
      <c r="A201" s="32"/>
      <c r="C201" s="56"/>
    </row>
    <row r="202" spans="1:3" x14ac:dyDescent="0.2">
      <c r="A202" s="32"/>
      <c r="C202" s="56"/>
    </row>
    <row r="203" spans="1:3" x14ac:dyDescent="0.2">
      <c r="A203" s="32"/>
      <c r="C203" s="56"/>
    </row>
    <row r="204" spans="1:3" x14ac:dyDescent="0.2">
      <c r="A204" s="32"/>
      <c r="C204" s="56"/>
    </row>
    <row r="205" spans="1:3" x14ac:dyDescent="0.2">
      <c r="A205" s="32"/>
      <c r="C205" s="56"/>
    </row>
    <row r="206" spans="1:3" x14ac:dyDescent="0.2">
      <c r="A206" s="32"/>
      <c r="C206" s="56"/>
    </row>
    <row r="207" spans="1:3" x14ac:dyDescent="0.2">
      <c r="A207" s="32"/>
      <c r="C207" s="56"/>
    </row>
    <row r="208" spans="1:3" x14ac:dyDescent="0.2">
      <c r="A208" s="32"/>
      <c r="C208" s="56"/>
    </row>
    <row r="209" spans="1:3" x14ac:dyDescent="0.2">
      <c r="A209" s="32"/>
      <c r="C209" s="56"/>
    </row>
    <row r="210" spans="1:3" x14ac:dyDescent="0.2">
      <c r="A210" s="32"/>
      <c r="C210" s="56"/>
    </row>
    <row r="211" spans="1:3" x14ac:dyDescent="0.2">
      <c r="A211" s="32"/>
      <c r="C211" s="56"/>
    </row>
    <row r="212" spans="1:3" x14ac:dyDescent="0.2">
      <c r="A212" s="32"/>
      <c r="C212" s="56"/>
    </row>
    <row r="213" spans="1:3" x14ac:dyDescent="0.2">
      <c r="A213" s="32"/>
      <c r="C213" s="56"/>
    </row>
    <row r="214" spans="1:3" x14ac:dyDescent="0.2">
      <c r="A214" s="32"/>
      <c r="C214" s="56"/>
    </row>
    <row r="215" spans="1:3" x14ac:dyDescent="0.2">
      <c r="A215" s="32"/>
      <c r="C215" s="56"/>
    </row>
    <row r="216" spans="1:3" x14ac:dyDescent="0.2">
      <c r="A216" s="32"/>
      <c r="C216" s="56"/>
    </row>
    <row r="217" spans="1:3" x14ac:dyDescent="0.2">
      <c r="A217" s="32"/>
      <c r="C217" s="56"/>
    </row>
    <row r="218" spans="1:3" x14ac:dyDescent="0.2">
      <c r="A218" s="32"/>
      <c r="C218" s="56"/>
    </row>
    <row r="219" spans="1:3" x14ac:dyDescent="0.2">
      <c r="A219" s="32"/>
      <c r="C219" s="56"/>
    </row>
    <row r="220" spans="1:3" x14ac:dyDescent="0.2">
      <c r="A220" s="32"/>
      <c r="C220" s="56"/>
    </row>
    <row r="221" spans="1:3" x14ac:dyDescent="0.2">
      <c r="A221" s="32"/>
      <c r="C221" s="56"/>
    </row>
    <row r="222" spans="1:3" x14ac:dyDescent="0.2">
      <c r="A222" s="32"/>
      <c r="C222" s="56"/>
    </row>
    <row r="223" spans="1:3" x14ac:dyDescent="0.2">
      <c r="A223" s="32"/>
      <c r="C223" s="56"/>
    </row>
    <row r="224" spans="1:3" x14ac:dyDescent="0.2">
      <c r="A224" s="32"/>
      <c r="C224" s="56"/>
    </row>
    <row r="225" spans="1:3" x14ac:dyDescent="0.2">
      <c r="A225" s="32"/>
      <c r="C225" s="56"/>
    </row>
    <row r="226" spans="1:3" x14ac:dyDescent="0.2">
      <c r="A226" s="32"/>
      <c r="C226" s="56"/>
    </row>
    <row r="227" spans="1:3" x14ac:dyDescent="0.2">
      <c r="A227" s="32"/>
      <c r="C227" s="56"/>
    </row>
    <row r="228" spans="1:3" x14ac:dyDescent="0.2">
      <c r="A228" s="32"/>
      <c r="C228" s="56"/>
    </row>
    <row r="229" spans="1:3" x14ac:dyDescent="0.2">
      <c r="A229" s="32"/>
      <c r="C229" s="56"/>
    </row>
    <row r="230" spans="1:3" x14ac:dyDescent="0.2">
      <c r="A230" s="32"/>
      <c r="C230" s="56"/>
    </row>
    <row r="231" spans="1:3" x14ac:dyDescent="0.2">
      <c r="A231" s="32"/>
      <c r="C231" s="56"/>
    </row>
    <row r="232" spans="1:3" x14ac:dyDescent="0.2">
      <c r="A232" s="32"/>
      <c r="C232" s="56"/>
    </row>
    <row r="233" spans="1:3" x14ac:dyDescent="0.2">
      <c r="A233" s="32"/>
      <c r="C233" s="56"/>
    </row>
    <row r="234" spans="1:3" x14ac:dyDescent="0.2">
      <c r="A234" s="32"/>
      <c r="C234" s="56"/>
    </row>
    <row r="235" spans="1:3" x14ac:dyDescent="0.2">
      <c r="A235" s="32"/>
      <c r="C235" s="56"/>
    </row>
    <row r="236" spans="1:3" x14ac:dyDescent="0.2">
      <c r="A236" s="32"/>
      <c r="C236" s="56"/>
    </row>
    <row r="237" spans="1:3" x14ac:dyDescent="0.2">
      <c r="A237" s="32"/>
      <c r="C237" s="56"/>
    </row>
    <row r="238" spans="1:3" x14ac:dyDescent="0.2">
      <c r="A238" s="32"/>
      <c r="C238" s="56"/>
    </row>
    <row r="239" spans="1:3" x14ac:dyDescent="0.2">
      <c r="A239" s="32"/>
      <c r="C239" s="56"/>
    </row>
    <row r="240" spans="1:3" x14ac:dyDescent="0.2">
      <c r="A240" s="32"/>
      <c r="C240" s="56"/>
    </row>
    <row r="241" spans="1:3" x14ac:dyDescent="0.2">
      <c r="A241" s="32"/>
      <c r="C241" s="56"/>
    </row>
    <row r="242" spans="1:3" x14ac:dyDescent="0.2">
      <c r="A242" s="32"/>
      <c r="C242" s="56"/>
    </row>
    <row r="243" spans="1:3" x14ac:dyDescent="0.2">
      <c r="A243" s="32"/>
      <c r="C243" s="56"/>
    </row>
    <row r="244" spans="1:3" x14ac:dyDescent="0.2">
      <c r="A244" s="32"/>
      <c r="C244" s="56"/>
    </row>
    <row r="245" spans="1:3" x14ac:dyDescent="0.2">
      <c r="A245" s="32"/>
      <c r="C245" s="56"/>
    </row>
    <row r="246" spans="1:3" x14ac:dyDescent="0.2">
      <c r="A246" s="32"/>
      <c r="C246" s="56"/>
    </row>
    <row r="247" spans="1:3" x14ac:dyDescent="0.2">
      <c r="A247" s="32"/>
      <c r="C247" s="56"/>
    </row>
    <row r="248" spans="1:3" x14ac:dyDescent="0.2">
      <c r="A248" s="32"/>
      <c r="C248" s="56"/>
    </row>
    <row r="249" spans="1:3" x14ac:dyDescent="0.2">
      <c r="A249" s="32"/>
      <c r="C249" s="56"/>
    </row>
    <row r="250" spans="1:3" x14ac:dyDescent="0.2">
      <c r="A250" s="32"/>
      <c r="C250" s="56"/>
    </row>
    <row r="251" spans="1:3" x14ac:dyDescent="0.2">
      <c r="A251" s="32"/>
      <c r="C251" s="56"/>
    </row>
    <row r="252" spans="1:3" x14ac:dyDescent="0.2">
      <c r="A252" s="32"/>
      <c r="C252" s="56"/>
    </row>
    <row r="253" spans="1:3" x14ac:dyDescent="0.2">
      <c r="A253" s="32"/>
      <c r="C253" s="56"/>
    </row>
    <row r="254" spans="1:3" x14ac:dyDescent="0.2">
      <c r="A254" s="32"/>
      <c r="C254" s="56"/>
    </row>
    <row r="255" spans="1:3" x14ac:dyDescent="0.2">
      <c r="A255" s="32"/>
      <c r="C255" s="56"/>
    </row>
    <row r="256" spans="1:3" x14ac:dyDescent="0.2">
      <c r="A256" s="32"/>
      <c r="C256" s="56"/>
    </row>
    <row r="257" spans="1:3" x14ac:dyDescent="0.2">
      <c r="A257" s="32"/>
      <c r="C257" s="56"/>
    </row>
    <row r="258" spans="1:3" x14ac:dyDescent="0.2">
      <c r="A258" s="32"/>
      <c r="C258" s="56"/>
    </row>
    <row r="259" spans="1:3" x14ac:dyDescent="0.2">
      <c r="A259" s="32"/>
      <c r="C259" s="56"/>
    </row>
    <row r="260" spans="1:3" x14ac:dyDescent="0.2">
      <c r="A260" s="32"/>
      <c r="C260" s="56"/>
    </row>
    <row r="261" spans="1:3" x14ac:dyDescent="0.2">
      <c r="A261" s="32"/>
      <c r="C261" s="56"/>
    </row>
    <row r="262" spans="1:3" x14ac:dyDescent="0.2">
      <c r="A262" s="32"/>
      <c r="C262" s="56"/>
    </row>
    <row r="263" spans="1:3" x14ac:dyDescent="0.2">
      <c r="A263" s="32"/>
      <c r="C263" s="56"/>
    </row>
    <row r="264" spans="1:3" x14ac:dyDescent="0.2">
      <c r="A264" s="32"/>
      <c r="C264" s="56"/>
    </row>
    <row r="265" spans="1:3" x14ac:dyDescent="0.2">
      <c r="A265" s="32"/>
      <c r="C265" s="56"/>
    </row>
    <row r="266" spans="1:3" x14ac:dyDescent="0.2">
      <c r="A266" s="32"/>
      <c r="C266" s="56"/>
    </row>
    <row r="267" spans="1:3" x14ac:dyDescent="0.2">
      <c r="A267" s="32"/>
      <c r="C267" s="56"/>
    </row>
    <row r="268" spans="1:3" x14ac:dyDescent="0.2">
      <c r="A268" s="32"/>
      <c r="C268" s="56"/>
    </row>
    <row r="269" spans="1:3" x14ac:dyDescent="0.2">
      <c r="A269" s="32"/>
      <c r="C269" s="56"/>
    </row>
    <row r="270" spans="1:3" x14ac:dyDescent="0.2">
      <c r="A270" s="32"/>
      <c r="C270" s="56"/>
    </row>
    <row r="271" spans="1:3" x14ac:dyDescent="0.2">
      <c r="A271" s="32"/>
      <c r="C271" s="56"/>
    </row>
    <row r="272" spans="1:3" x14ac:dyDescent="0.2">
      <c r="A272" s="32"/>
      <c r="C272" s="56"/>
    </row>
    <row r="273" spans="1:3" x14ac:dyDescent="0.2">
      <c r="A273" s="32"/>
      <c r="C273" s="56"/>
    </row>
    <row r="274" spans="1:3" x14ac:dyDescent="0.2">
      <c r="A274" s="32"/>
      <c r="C274" s="56"/>
    </row>
    <row r="275" spans="1:3" x14ac:dyDescent="0.2">
      <c r="A275" s="32"/>
      <c r="C275" s="56"/>
    </row>
    <row r="276" spans="1:3" x14ac:dyDescent="0.2">
      <c r="A276" s="32"/>
      <c r="C276" s="56"/>
    </row>
    <row r="277" spans="1:3" x14ac:dyDescent="0.2">
      <c r="A277" s="32"/>
      <c r="C277" s="56"/>
    </row>
    <row r="278" spans="1:3" x14ac:dyDescent="0.2">
      <c r="A278" s="32"/>
      <c r="C278" s="56"/>
    </row>
    <row r="279" spans="1:3" x14ac:dyDescent="0.2">
      <c r="A279" s="32"/>
      <c r="C279" s="56"/>
    </row>
    <row r="280" spans="1:3" x14ac:dyDescent="0.2">
      <c r="A280" s="32"/>
      <c r="C280" s="56"/>
    </row>
    <row r="281" spans="1:3" x14ac:dyDescent="0.2">
      <c r="A281" s="32"/>
      <c r="C281" s="56"/>
    </row>
    <row r="282" spans="1:3" x14ac:dyDescent="0.2">
      <c r="A282" s="32"/>
      <c r="C282" s="56"/>
    </row>
    <row r="283" spans="1:3" x14ac:dyDescent="0.2">
      <c r="A283" s="32"/>
      <c r="C283" s="56"/>
    </row>
    <row r="284" spans="1:3" x14ac:dyDescent="0.2">
      <c r="A284" s="32"/>
      <c r="C284" s="56"/>
    </row>
    <row r="285" spans="1:3" x14ac:dyDescent="0.2">
      <c r="A285" s="32"/>
      <c r="C285" s="56"/>
    </row>
    <row r="286" spans="1:3" x14ac:dyDescent="0.2">
      <c r="A286" s="32"/>
      <c r="C286" s="56"/>
    </row>
    <row r="287" spans="1:3" x14ac:dyDescent="0.2">
      <c r="A287" s="32"/>
      <c r="C287" s="56"/>
    </row>
    <row r="288" spans="1:3" x14ac:dyDescent="0.2">
      <c r="A288" s="32"/>
      <c r="C288" s="56"/>
    </row>
    <row r="289" spans="1:3" x14ac:dyDescent="0.2">
      <c r="A289" s="32"/>
      <c r="C289" s="56"/>
    </row>
    <row r="290" spans="1:3" x14ac:dyDescent="0.2">
      <c r="A290" s="32"/>
      <c r="C290" s="56"/>
    </row>
    <row r="291" spans="1:3" x14ac:dyDescent="0.2">
      <c r="A291" s="32"/>
      <c r="C291" s="56"/>
    </row>
    <row r="292" spans="1:3" x14ac:dyDescent="0.2">
      <c r="A292" s="32"/>
      <c r="C292" s="56"/>
    </row>
    <row r="293" spans="1:3" x14ac:dyDescent="0.2">
      <c r="A293" s="32"/>
      <c r="C293" s="56"/>
    </row>
    <row r="294" spans="1:3" x14ac:dyDescent="0.2">
      <c r="A294" s="32"/>
      <c r="C294" s="56"/>
    </row>
    <row r="295" spans="1:3" x14ac:dyDescent="0.2">
      <c r="A295" s="32"/>
      <c r="C295" s="56"/>
    </row>
    <row r="296" spans="1:3" x14ac:dyDescent="0.2">
      <c r="A296" s="32"/>
      <c r="C296" s="56"/>
    </row>
    <row r="297" spans="1:3" x14ac:dyDescent="0.2">
      <c r="A297" s="32"/>
      <c r="C297" s="56"/>
    </row>
    <row r="298" spans="1:3" x14ac:dyDescent="0.2">
      <c r="A298" s="32"/>
      <c r="C298" s="56"/>
    </row>
    <row r="299" spans="1:3" x14ac:dyDescent="0.2">
      <c r="A299" s="32"/>
      <c r="C299" s="56"/>
    </row>
    <row r="300" spans="1:3" x14ac:dyDescent="0.2">
      <c r="A300" s="32"/>
      <c r="C300" s="56"/>
    </row>
    <row r="301" spans="1:3" x14ac:dyDescent="0.2">
      <c r="A301" s="32"/>
      <c r="C301" s="56"/>
    </row>
    <row r="302" spans="1:3" x14ac:dyDescent="0.2">
      <c r="A302" s="32"/>
      <c r="C302" s="56"/>
    </row>
    <row r="303" spans="1:3" x14ac:dyDescent="0.2">
      <c r="A303" s="32"/>
      <c r="C303" s="56"/>
    </row>
    <row r="304" spans="1:3" x14ac:dyDescent="0.2">
      <c r="A304" s="32"/>
      <c r="C304" s="56"/>
    </row>
    <row r="305" spans="1:3" x14ac:dyDescent="0.2">
      <c r="A305" s="32"/>
      <c r="C305" s="56"/>
    </row>
    <row r="306" spans="1:3" x14ac:dyDescent="0.2">
      <c r="A306" s="32"/>
      <c r="C306" s="56"/>
    </row>
    <row r="307" spans="1:3" x14ac:dyDescent="0.2">
      <c r="A307" s="32"/>
      <c r="C307" s="56"/>
    </row>
    <row r="308" spans="1:3" x14ac:dyDescent="0.2">
      <c r="A308" s="32"/>
      <c r="C308" s="56"/>
    </row>
    <row r="309" spans="1:3" x14ac:dyDescent="0.2">
      <c r="A309" s="32"/>
      <c r="C309" s="56"/>
    </row>
    <row r="310" spans="1:3" x14ac:dyDescent="0.2">
      <c r="A310" s="32"/>
      <c r="C310" s="56"/>
    </row>
    <row r="311" spans="1:3" x14ac:dyDescent="0.2">
      <c r="A311" s="32"/>
      <c r="C311" s="56"/>
    </row>
    <row r="312" spans="1:3" x14ac:dyDescent="0.2">
      <c r="A312" s="32"/>
      <c r="C312" s="56"/>
    </row>
    <row r="313" spans="1:3" x14ac:dyDescent="0.2">
      <c r="A313" s="32"/>
      <c r="C313" s="56"/>
    </row>
    <row r="314" spans="1:3" x14ac:dyDescent="0.2">
      <c r="A314" s="32"/>
      <c r="C314" s="56"/>
    </row>
    <row r="315" spans="1:3" x14ac:dyDescent="0.2">
      <c r="A315" s="32"/>
      <c r="C315" s="56"/>
    </row>
    <row r="316" spans="1:3" x14ac:dyDescent="0.2">
      <c r="A316" s="32"/>
      <c r="C316" s="56"/>
    </row>
    <row r="317" spans="1:3" x14ac:dyDescent="0.2">
      <c r="A317" s="32"/>
      <c r="C317" s="56"/>
    </row>
    <row r="318" spans="1:3" x14ac:dyDescent="0.2">
      <c r="A318" s="32"/>
      <c r="C318" s="56"/>
    </row>
    <row r="319" spans="1:3" x14ac:dyDescent="0.2">
      <c r="A319" s="32"/>
      <c r="C319" s="56"/>
    </row>
    <row r="320" spans="1:3" x14ac:dyDescent="0.2">
      <c r="A320" s="32"/>
      <c r="C320" s="56"/>
    </row>
    <row r="321" spans="1:3" x14ac:dyDescent="0.2">
      <c r="A321" s="32"/>
      <c r="C321" s="56"/>
    </row>
    <row r="322" spans="1:3" x14ac:dyDescent="0.2">
      <c r="A322" s="32"/>
      <c r="C322" s="56"/>
    </row>
    <row r="323" spans="1:3" x14ac:dyDescent="0.2">
      <c r="A323" s="32"/>
      <c r="C323" s="56"/>
    </row>
    <row r="324" spans="1:3" x14ac:dyDescent="0.2">
      <c r="A324" s="32"/>
      <c r="C324" s="56"/>
    </row>
    <row r="325" spans="1:3" x14ac:dyDescent="0.2">
      <c r="A325" s="32"/>
      <c r="C325" s="56"/>
    </row>
    <row r="326" spans="1:3" x14ac:dyDescent="0.2">
      <c r="A326" s="32"/>
      <c r="C326" s="56"/>
    </row>
    <row r="327" spans="1:3" x14ac:dyDescent="0.2">
      <c r="A327" s="32"/>
      <c r="C327" s="56"/>
    </row>
    <row r="328" spans="1:3" x14ac:dyDescent="0.2">
      <c r="A328" s="32"/>
      <c r="C328" s="56"/>
    </row>
    <row r="329" spans="1:3" x14ac:dyDescent="0.2">
      <c r="A329" s="32"/>
      <c r="C329" s="56"/>
    </row>
    <row r="330" spans="1:3" x14ac:dyDescent="0.2">
      <c r="A330" s="32"/>
      <c r="C330" s="56"/>
    </row>
    <row r="331" spans="1:3" x14ac:dyDescent="0.2">
      <c r="A331" s="32"/>
      <c r="C331" s="56"/>
    </row>
    <row r="332" spans="1:3" x14ac:dyDescent="0.2">
      <c r="A332" s="32"/>
      <c r="C332" s="56"/>
    </row>
    <row r="333" spans="1:3" x14ac:dyDescent="0.2">
      <c r="A333" s="32"/>
      <c r="C333" s="56"/>
    </row>
    <row r="334" spans="1:3" x14ac:dyDescent="0.2">
      <c r="A334" s="32"/>
      <c r="C334" s="56"/>
    </row>
    <row r="335" spans="1:3" x14ac:dyDescent="0.2">
      <c r="A335" s="32"/>
      <c r="C335" s="56"/>
    </row>
    <row r="336" spans="1:3" x14ac:dyDescent="0.2">
      <c r="A336" s="32"/>
      <c r="C336" s="56"/>
    </row>
    <row r="337" spans="1:3" x14ac:dyDescent="0.2">
      <c r="A337" s="32"/>
      <c r="C337" s="56"/>
    </row>
    <row r="338" spans="1:3" x14ac:dyDescent="0.2">
      <c r="A338" s="32"/>
      <c r="C338" s="56"/>
    </row>
    <row r="339" spans="1:3" x14ac:dyDescent="0.2">
      <c r="A339" s="32"/>
      <c r="C339" s="56"/>
    </row>
    <row r="340" spans="1:3" x14ac:dyDescent="0.2">
      <c r="A340" s="32"/>
      <c r="C340" s="56"/>
    </row>
    <row r="341" spans="1:3" x14ac:dyDescent="0.2">
      <c r="A341" s="32"/>
      <c r="C341" s="56"/>
    </row>
    <row r="342" spans="1:3" x14ac:dyDescent="0.2">
      <c r="A342" s="32"/>
      <c r="C342" s="56"/>
    </row>
    <row r="343" spans="1:3" x14ac:dyDescent="0.2">
      <c r="A343" s="32"/>
      <c r="C343" s="56"/>
    </row>
    <row r="344" spans="1:3" x14ac:dyDescent="0.2">
      <c r="A344" s="32"/>
      <c r="C344" s="56"/>
    </row>
    <row r="345" spans="1:3" x14ac:dyDescent="0.2">
      <c r="A345" s="32"/>
      <c r="C345" s="56"/>
    </row>
    <row r="346" spans="1:3" x14ac:dyDescent="0.2">
      <c r="A346" s="32"/>
      <c r="C346" s="56"/>
    </row>
    <row r="347" spans="1:3" x14ac:dyDescent="0.2">
      <c r="A347" s="32"/>
      <c r="C347" s="56"/>
    </row>
    <row r="348" spans="1:3" x14ac:dyDescent="0.2">
      <c r="A348" s="32"/>
      <c r="C348" s="56"/>
    </row>
    <row r="349" spans="1:3" x14ac:dyDescent="0.2">
      <c r="A349" s="32"/>
      <c r="C349" s="56"/>
    </row>
    <row r="350" spans="1:3" x14ac:dyDescent="0.2">
      <c r="A350" s="32"/>
      <c r="C350" s="56"/>
    </row>
    <row r="351" spans="1:3" x14ac:dyDescent="0.2">
      <c r="A351" s="32"/>
      <c r="C351" s="56"/>
    </row>
    <row r="352" spans="1:3" x14ac:dyDescent="0.2">
      <c r="A352" s="32"/>
      <c r="C352" s="56"/>
    </row>
    <row r="353" spans="1:3" x14ac:dyDescent="0.2">
      <c r="A353" s="32"/>
      <c r="C353" s="56"/>
    </row>
    <row r="354" spans="1:3" x14ac:dyDescent="0.2">
      <c r="A354" s="32"/>
      <c r="C354" s="56"/>
    </row>
    <row r="355" spans="1:3" x14ac:dyDescent="0.2">
      <c r="A355" s="32"/>
      <c r="C355" s="56"/>
    </row>
    <row r="356" spans="1:3" x14ac:dyDescent="0.2">
      <c r="A356" s="32"/>
      <c r="C356" s="56"/>
    </row>
    <row r="357" spans="1:3" x14ac:dyDescent="0.2">
      <c r="A357" s="32"/>
      <c r="C357" s="56"/>
    </row>
    <row r="358" spans="1:3" x14ac:dyDescent="0.2">
      <c r="A358" s="32"/>
      <c r="C358" s="56"/>
    </row>
    <row r="359" spans="1:3" x14ac:dyDescent="0.2">
      <c r="A359" s="32"/>
      <c r="C359" s="56"/>
    </row>
    <row r="360" spans="1:3" x14ac:dyDescent="0.2">
      <c r="A360" s="32"/>
      <c r="C360" s="56"/>
    </row>
    <row r="361" spans="1:3" x14ac:dyDescent="0.2">
      <c r="A361" s="32"/>
      <c r="C361" s="56"/>
    </row>
    <row r="362" spans="1:3" x14ac:dyDescent="0.2">
      <c r="A362" s="32"/>
      <c r="C362" s="56"/>
    </row>
    <row r="363" spans="1:3" x14ac:dyDescent="0.2">
      <c r="A363" s="32"/>
      <c r="C363" s="56"/>
    </row>
    <row r="364" spans="1:3" x14ac:dyDescent="0.2">
      <c r="A364" s="32"/>
      <c r="C364" s="56"/>
    </row>
    <row r="365" spans="1:3" x14ac:dyDescent="0.2">
      <c r="A365" s="32"/>
      <c r="C365" s="56"/>
    </row>
    <row r="366" spans="1:3" x14ac:dyDescent="0.2">
      <c r="A366" s="32"/>
      <c r="C366" s="56"/>
    </row>
    <row r="367" spans="1:3" x14ac:dyDescent="0.2">
      <c r="A367" s="32"/>
      <c r="C367" s="56"/>
    </row>
    <row r="368" spans="1:3" x14ac:dyDescent="0.2">
      <c r="A368" s="32"/>
      <c r="C368" s="56"/>
    </row>
    <row r="369" spans="1:3" x14ac:dyDescent="0.2">
      <c r="A369" s="32"/>
      <c r="C369" s="56"/>
    </row>
    <row r="370" spans="1:3" x14ac:dyDescent="0.2">
      <c r="A370" s="32"/>
      <c r="C370" s="56"/>
    </row>
    <row r="371" spans="1:3" x14ac:dyDescent="0.2">
      <c r="A371" s="32"/>
      <c r="C371" s="56"/>
    </row>
    <row r="372" spans="1:3" x14ac:dyDescent="0.2">
      <c r="A372" s="32"/>
      <c r="C372" s="56"/>
    </row>
    <row r="373" spans="1:3" x14ac:dyDescent="0.2">
      <c r="A373" s="32"/>
      <c r="C373" s="56"/>
    </row>
    <row r="374" spans="1:3" x14ac:dyDescent="0.2">
      <c r="A374" s="32"/>
      <c r="C374" s="56"/>
    </row>
    <row r="375" spans="1:3" x14ac:dyDescent="0.2">
      <c r="A375" s="32"/>
      <c r="C375" s="56"/>
    </row>
    <row r="376" spans="1:3" x14ac:dyDescent="0.2">
      <c r="A376" s="32"/>
      <c r="C376" s="56"/>
    </row>
    <row r="377" spans="1:3" x14ac:dyDescent="0.2">
      <c r="A377" s="32"/>
      <c r="C377" s="56"/>
    </row>
    <row r="378" spans="1:3" x14ac:dyDescent="0.2">
      <c r="A378" s="32"/>
      <c r="C378" s="56"/>
    </row>
    <row r="379" spans="1:3" x14ac:dyDescent="0.2">
      <c r="A379" s="32"/>
      <c r="C379" s="56"/>
    </row>
    <row r="380" spans="1:3" x14ac:dyDescent="0.2">
      <c r="A380" s="32"/>
      <c r="C380" s="56"/>
    </row>
    <row r="381" spans="1:3" x14ac:dyDescent="0.2">
      <c r="A381" s="32"/>
      <c r="C381" s="56"/>
    </row>
    <row r="382" spans="1:3" x14ac:dyDescent="0.2">
      <c r="A382" s="32"/>
      <c r="C382" s="56"/>
    </row>
    <row r="383" spans="1:3" x14ac:dyDescent="0.2">
      <c r="A383" s="32"/>
      <c r="C383" s="56"/>
    </row>
    <row r="384" spans="1:3" x14ac:dyDescent="0.2">
      <c r="A384" s="32"/>
      <c r="C384" s="56"/>
    </row>
    <row r="385" spans="1:3" x14ac:dyDescent="0.2">
      <c r="A385" s="32"/>
      <c r="C385" s="56"/>
    </row>
    <row r="386" spans="1:3" x14ac:dyDescent="0.2">
      <c r="A386" s="32"/>
      <c r="C386" s="56"/>
    </row>
    <row r="387" spans="1:3" x14ac:dyDescent="0.2">
      <c r="A387" s="32"/>
      <c r="C387" s="56"/>
    </row>
    <row r="388" spans="1:3" x14ac:dyDescent="0.2">
      <c r="A388" s="32"/>
      <c r="C388" s="56"/>
    </row>
    <row r="389" spans="1:3" x14ac:dyDescent="0.2">
      <c r="A389" s="32"/>
      <c r="C389" s="56"/>
    </row>
    <row r="390" spans="1:3" x14ac:dyDescent="0.2">
      <c r="A390" s="32"/>
      <c r="C390" s="56"/>
    </row>
    <row r="391" spans="1:3" x14ac:dyDescent="0.2">
      <c r="A391" s="32"/>
      <c r="C391" s="56"/>
    </row>
    <row r="392" spans="1:3" x14ac:dyDescent="0.2">
      <c r="A392" s="32"/>
      <c r="C392" s="56"/>
    </row>
    <row r="393" spans="1:3" x14ac:dyDescent="0.2">
      <c r="A393" s="32"/>
      <c r="C393" s="56"/>
    </row>
    <row r="394" spans="1:3" x14ac:dyDescent="0.2">
      <c r="A394" s="32"/>
      <c r="C394" s="56"/>
    </row>
    <row r="395" spans="1:3" x14ac:dyDescent="0.2">
      <c r="A395" s="32"/>
      <c r="C395" s="56"/>
    </row>
    <row r="396" spans="1:3" x14ac:dyDescent="0.2">
      <c r="A396" s="32"/>
      <c r="C396" s="56"/>
    </row>
    <row r="397" spans="1:3" x14ac:dyDescent="0.2">
      <c r="A397" s="32"/>
      <c r="C397" s="56"/>
    </row>
    <row r="398" spans="1:3" x14ac:dyDescent="0.2">
      <c r="A398" s="32"/>
      <c r="C398" s="56"/>
    </row>
    <row r="399" spans="1:3" x14ac:dyDescent="0.2">
      <c r="A399" s="32"/>
      <c r="C399" s="56"/>
    </row>
    <row r="400" spans="1:3" x14ac:dyDescent="0.2">
      <c r="A400" s="32"/>
      <c r="C400" s="56"/>
    </row>
    <row r="401" spans="1:3" x14ac:dyDescent="0.2">
      <c r="A401" s="32"/>
      <c r="C401" s="56"/>
    </row>
    <row r="402" spans="1:3" x14ac:dyDescent="0.2">
      <c r="A402" s="32"/>
      <c r="C402" s="56"/>
    </row>
    <row r="403" spans="1:3" x14ac:dyDescent="0.2">
      <c r="A403" s="32"/>
      <c r="C403" s="56"/>
    </row>
    <row r="404" spans="1:3" x14ac:dyDescent="0.2">
      <c r="A404" s="32"/>
      <c r="C404" s="56"/>
    </row>
    <row r="405" spans="1:3" x14ac:dyDescent="0.2">
      <c r="A405" s="32"/>
      <c r="C405" s="56"/>
    </row>
    <row r="406" spans="1:3" x14ac:dyDescent="0.2">
      <c r="A406" s="32"/>
      <c r="C406" s="56"/>
    </row>
    <row r="407" spans="1:3" x14ac:dyDescent="0.2">
      <c r="A407" s="32"/>
      <c r="C407" s="56"/>
    </row>
    <row r="408" spans="1:3" x14ac:dyDescent="0.2">
      <c r="A408" s="32"/>
      <c r="C408" s="56"/>
    </row>
    <row r="409" spans="1:3" x14ac:dyDescent="0.2">
      <c r="A409" s="32"/>
      <c r="C409" s="56"/>
    </row>
    <row r="410" spans="1:3" x14ac:dyDescent="0.2">
      <c r="A410" s="32"/>
      <c r="C410" s="56"/>
    </row>
    <row r="411" spans="1:3" x14ac:dyDescent="0.2">
      <c r="A411" s="32"/>
      <c r="C411" s="56"/>
    </row>
    <row r="412" spans="1:3" x14ac:dyDescent="0.2">
      <c r="A412" s="32"/>
      <c r="C412" s="56"/>
    </row>
    <row r="413" spans="1:3" x14ac:dyDescent="0.2">
      <c r="A413" s="32"/>
      <c r="C413" s="56"/>
    </row>
    <row r="414" spans="1:3" x14ac:dyDescent="0.2">
      <c r="A414" s="32"/>
      <c r="C414" s="56"/>
    </row>
    <row r="415" spans="1:3" x14ac:dyDescent="0.2">
      <c r="A415" s="32"/>
      <c r="C415" s="56"/>
    </row>
    <row r="416" spans="1:3" x14ac:dyDescent="0.2">
      <c r="A416" s="32"/>
      <c r="C416" s="56"/>
    </row>
    <row r="417" spans="1:3" x14ac:dyDescent="0.2">
      <c r="A417" s="32"/>
      <c r="C417" s="56"/>
    </row>
    <row r="418" spans="1:3" x14ac:dyDescent="0.2">
      <c r="A418" s="32"/>
      <c r="C418" s="56"/>
    </row>
    <row r="419" spans="1:3" x14ac:dyDescent="0.2">
      <c r="A419" s="32"/>
      <c r="C419" s="56"/>
    </row>
    <row r="420" spans="1:3" x14ac:dyDescent="0.2">
      <c r="A420" s="32"/>
      <c r="C420" s="56"/>
    </row>
    <row r="421" spans="1:3" x14ac:dyDescent="0.2">
      <c r="A421" s="32"/>
      <c r="C421" s="56"/>
    </row>
    <row r="422" spans="1:3" x14ac:dyDescent="0.2">
      <c r="A422" s="32"/>
      <c r="C422" s="56"/>
    </row>
    <row r="423" spans="1:3" x14ac:dyDescent="0.2">
      <c r="A423" s="32"/>
      <c r="C423" s="56"/>
    </row>
    <row r="424" spans="1:3" x14ac:dyDescent="0.2">
      <c r="A424" s="32"/>
      <c r="C424" s="56"/>
    </row>
    <row r="425" spans="1:3" x14ac:dyDescent="0.2">
      <c r="A425" s="32"/>
      <c r="C425" s="56"/>
    </row>
    <row r="426" spans="1:3" x14ac:dyDescent="0.2">
      <c r="A426" s="32"/>
      <c r="C426" s="56"/>
    </row>
    <row r="427" spans="1:3" x14ac:dyDescent="0.2">
      <c r="A427" s="32"/>
      <c r="C427" s="56"/>
    </row>
    <row r="428" spans="1:3" x14ac:dyDescent="0.2">
      <c r="A428" s="32"/>
      <c r="C428" s="56"/>
    </row>
    <row r="429" spans="1:3" x14ac:dyDescent="0.2">
      <c r="A429" s="32"/>
      <c r="C429" s="56"/>
    </row>
    <row r="430" spans="1:3" x14ac:dyDescent="0.2">
      <c r="A430" s="32"/>
      <c r="C430" s="56"/>
    </row>
    <row r="431" spans="1:3" x14ac:dyDescent="0.2">
      <c r="A431" s="32"/>
      <c r="C431" s="56"/>
    </row>
    <row r="432" spans="1:3" x14ac:dyDescent="0.2">
      <c r="A432" s="32"/>
      <c r="C432" s="56"/>
    </row>
    <row r="433" spans="1:3" x14ac:dyDescent="0.2">
      <c r="A433" s="32"/>
      <c r="C433" s="56"/>
    </row>
    <row r="434" spans="1:3" x14ac:dyDescent="0.2">
      <c r="A434" s="32"/>
      <c r="C434" s="56"/>
    </row>
    <row r="435" spans="1:3" x14ac:dyDescent="0.2">
      <c r="A435" s="32"/>
      <c r="C435" s="56"/>
    </row>
    <row r="436" spans="1:3" x14ac:dyDescent="0.2">
      <c r="A436" s="32"/>
      <c r="C436" s="56"/>
    </row>
    <row r="437" spans="1:3" x14ac:dyDescent="0.2">
      <c r="A437" s="32"/>
      <c r="C437" s="56"/>
    </row>
    <row r="438" spans="1:3" x14ac:dyDescent="0.2">
      <c r="A438" s="32"/>
      <c r="C438" s="56"/>
    </row>
    <row r="439" spans="1:3" x14ac:dyDescent="0.2">
      <c r="A439" s="32"/>
      <c r="C439" s="56"/>
    </row>
    <row r="440" spans="1:3" x14ac:dyDescent="0.2">
      <c r="A440" s="32"/>
      <c r="C440" s="56"/>
    </row>
    <row r="441" spans="1:3" x14ac:dyDescent="0.2">
      <c r="A441" s="32"/>
      <c r="C441" s="56"/>
    </row>
    <row r="442" spans="1:3" x14ac:dyDescent="0.2">
      <c r="A442" s="32"/>
      <c r="C442" s="56"/>
    </row>
    <row r="443" spans="1:3" x14ac:dyDescent="0.2">
      <c r="A443" s="32"/>
      <c r="C443" s="56"/>
    </row>
    <row r="444" spans="1:3" x14ac:dyDescent="0.2">
      <c r="A444" s="32"/>
      <c r="C444" s="56"/>
    </row>
    <row r="445" spans="1:3" x14ac:dyDescent="0.2">
      <c r="A445" s="32"/>
      <c r="C445" s="56"/>
    </row>
    <row r="446" spans="1:3" x14ac:dyDescent="0.2">
      <c r="A446" s="32"/>
      <c r="C446" s="56"/>
    </row>
    <row r="447" spans="1:3" x14ac:dyDescent="0.2">
      <c r="A447" s="32"/>
      <c r="C447" s="56"/>
    </row>
    <row r="448" spans="1:3" x14ac:dyDescent="0.2">
      <c r="A448" s="32"/>
      <c r="C448" s="56"/>
    </row>
    <row r="449" spans="1:3" x14ac:dyDescent="0.2">
      <c r="A449" s="32"/>
      <c r="C449" s="56"/>
    </row>
    <row r="450" spans="1:3" x14ac:dyDescent="0.2">
      <c r="A450" s="32"/>
      <c r="C450" s="56"/>
    </row>
    <row r="451" spans="1:3" x14ac:dyDescent="0.2">
      <c r="A451" s="32"/>
      <c r="C451" s="56"/>
    </row>
    <row r="452" spans="1:3" x14ac:dyDescent="0.2">
      <c r="A452" s="32"/>
      <c r="C452" s="56"/>
    </row>
    <row r="453" spans="1:3" x14ac:dyDescent="0.2">
      <c r="A453" s="32"/>
      <c r="C453" s="56"/>
    </row>
    <row r="454" spans="1:3" x14ac:dyDescent="0.2">
      <c r="A454" s="32"/>
      <c r="C454" s="56"/>
    </row>
    <row r="455" spans="1:3" x14ac:dyDescent="0.2">
      <c r="A455" s="32"/>
      <c r="C455" s="56"/>
    </row>
    <row r="456" spans="1:3" x14ac:dyDescent="0.2">
      <c r="A456" s="32"/>
      <c r="C456" s="56"/>
    </row>
    <row r="457" spans="1:3" x14ac:dyDescent="0.2">
      <c r="A457" s="32"/>
      <c r="C457" s="56"/>
    </row>
    <row r="458" spans="1:3" x14ac:dyDescent="0.2">
      <c r="A458" s="32"/>
      <c r="C458" s="56"/>
    </row>
    <row r="459" spans="1:3" x14ac:dyDescent="0.2">
      <c r="A459" s="32"/>
      <c r="C459" s="56"/>
    </row>
    <row r="460" spans="1:3" x14ac:dyDescent="0.2">
      <c r="A460" s="32"/>
      <c r="C460" s="56"/>
    </row>
    <row r="461" spans="1:3" x14ac:dyDescent="0.2">
      <c r="A461" s="32"/>
      <c r="C461" s="56"/>
    </row>
    <row r="462" spans="1:3" x14ac:dyDescent="0.2">
      <c r="A462" s="32"/>
      <c r="C462" s="56"/>
    </row>
    <row r="463" spans="1:3" x14ac:dyDescent="0.2">
      <c r="A463" s="32"/>
      <c r="C463" s="56"/>
    </row>
    <row r="464" spans="1:3" x14ac:dyDescent="0.2">
      <c r="A464" s="32"/>
      <c r="C464" s="56"/>
    </row>
    <row r="465" spans="1:3" x14ac:dyDescent="0.2">
      <c r="A465" s="32"/>
      <c r="C465" s="56"/>
    </row>
    <row r="466" spans="1:3" x14ac:dyDescent="0.2">
      <c r="A466" s="32"/>
      <c r="C466" s="56"/>
    </row>
    <row r="467" spans="1:3" x14ac:dyDescent="0.2">
      <c r="A467" s="32"/>
      <c r="C467" s="56"/>
    </row>
    <row r="468" spans="1:3" x14ac:dyDescent="0.2">
      <c r="A468" s="32"/>
      <c r="C468" s="56"/>
    </row>
    <row r="469" spans="1:3" x14ac:dyDescent="0.2">
      <c r="A469" s="32"/>
      <c r="C469" s="56"/>
    </row>
    <row r="470" spans="1:3" x14ac:dyDescent="0.2">
      <c r="A470" s="32"/>
      <c r="C470" s="56"/>
    </row>
    <row r="471" spans="1:3" x14ac:dyDescent="0.2">
      <c r="A471" s="32"/>
      <c r="C471" s="56"/>
    </row>
    <row r="472" spans="1:3" x14ac:dyDescent="0.2">
      <c r="A472" s="32"/>
      <c r="C472" s="56"/>
    </row>
    <row r="473" spans="1:3" x14ac:dyDescent="0.2">
      <c r="A473" s="32"/>
      <c r="C473" s="56"/>
    </row>
    <row r="474" spans="1:3" x14ac:dyDescent="0.2">
      <c r="A474" s="32"/>
      <c r="C474" s="56"/>
    </row>
    <row r="475" spans="1:3" x14ac:dyDescent="0.2">
      <c r="A475" s="32"/>
      <c r="C475" s="56"/>
    </row>
    <row r="476" spans="1:3" x14ac:dyDescent="0.2">
      <c r="A476" s="32"/>
      <c r="C476" s="56"/>
    </row>
    <row r="477" spans="1:3" x14ac:dyDescent="0.2">
      <c r="A477" s="32"/>
      <c r="C477" s="56"/>
    </row>
    <row r="478" spans="1:3" x14ac:dyDescent="0.2">
      <c r="A478" s="32"/>
      <c r="C478" s="56"/>
    </row>
    <row r="479" spans="1:3" x14ac:dyDescent="0.2">
      <c r="A479" s="32"/>
      <c r="C479" s="56"/>
    </row>
    <row r="480" spans="1:3" x14ac:dyDescent="0.2">
      <c r="A480" s="32"/>
      <c r="C480" s="56"/>
    </row>
    <row r="481" spans="1:3" x14ac:dyDescent="0.2">
      <c r="A481" s="32"/>
      <c r="C481" s="56"/>
    </row>
    <row r="482" spans="1:3" x14ac:dyDescent="0.2">
      <c r="A482" s="32"/>
      <c r="C482" s="56"/>
    </row>
    <row r="483" spans="1:3" x14ac:dyDescent="0.2">
      <c r="A483" s="32"/>
      <c r="C483" s="56"/>
    </row>
    <row r="484" spans="1:3" x14ac:dyDescent="0.2">
      <c r="A484" s="32"/>
      <c r="C484" s="56"/>
    </row>
    <row r="485" spans="1:3" x14ac:dyDescent="0.2">
      <c r="A485" s="32"/>
      <c r="C485" s="56"/>
    </row>
    <row r="486" spans="1:3" x14ac:dyDescent="0.2">
      <c r="A486" s="32"/>
      <c r="C486" s="56"/>
    </row>
    <row r="487" spans="1:3" x14ac:dyDescent="0.2">
      <c r="A487" s="32"/>
      <c r="C487" s="56"/>
    </row>
    <row r="488" spans="1:3" x14ac:dyDescent="0.2">
      <c r="A488" s="32"/>
      <c r="C488" s="56"/>
    </row>
    <row r="489" spans="1:3" x14ac:dyDescent="0.2">
      <c r="A489" s="32"/>
      <c r="C489" s="56"/>
    </row>
    <row r="490" spans="1:3" x14ac:dyDescent="0.2">
      <c r="A490" s="32"/>
      <c r="C490" s="56"/>
    </row>
    <row r="491" spans="1:3" x14ac:dyDescent="0.2">
      <c r="A491" s="32"/>
      <c r="C491" s="56"/>
    </row>
    <row r="492" spans="1:3" x14ac:dyDescent="0.2">
      <c r="A492" s="32"/>
      <c r="C492" s="56"/>
    </row>
    <row r="493" spans="1:3" x14ac:dyDescent="0.2">
      <c r="A493" s="32"/>
      <c r="C493" s="56"/>
    </row>
    <row r="494" spans="1:3" x14ac:dyDescent="0.2">
      <c r="A494" s="32"/>
      <c r="C494" s="56"/>
    </row>
    <row r="495" spans="1:3" x14ac:dyDescent="0.2">
      <c r="A495" s="32"/>
      <c r="C495" s="56"/>
    </row>
    <row r="496" spans="1:3" x14ac:dyDescent="0.2">
      <c r="A496" s="32"/>
      <c r="C496" s="56"/>
    </row>
    <row r="497" spans="1:3" x14ac:dyDescent="0.2">
      <c r="A497" s="32"/>
      <c r="C497" s="56"/>
    </row>
    <row r="498" spans="1:3" x14ac:dyDescent="0.2">
      <c r="A498" s="32"/>
      <c r="C498" s="56"/>
    </row>
    <row r="499" spans="1:3" x14ac:dyDescent="0.2">
      <c r="A499" s="32"/>
      <c r="C499" s="56"/>
    </row>
    <row r="500" spans="1:3" x14ac:dyDescent="0.2">
      <c r="A500" s="32"/>
      <c r="C500" s="56"/>
    </row>
    <row r="501" spans="1:3" x14ac:dyDescent="0.2">
      <c r="A501" s="32"/>
      <c r="C501" s="56"/>
    </row>
    <row r="502" spans="1:3" x14ac:dyDescent="0.2">
      <c r="A502" s="32"/>
      <c r="C502" s="56"/>
    </row>
    <row r="503" spans="1:3" x14ac:dyDescent="0.2">
      <c r="A503" s="32"/>
      <c r="C503" s="56"/>
    </row>
    <row r="504" spans="1:3" x14ac:dyDescent="0.2">
      <c r="A504" s="32"/>
      <c r="C504" s="56"/>
    </row>
    <row r="505" spans="1:3" x14ac:dyDescent="0.2">
      <c r="A505" s="32"/>
      <c r="C505" s="56"/>
    </row>
    <row r="506" spans="1:3" x14ac:dyDescent="0.2">
      <c r="A506" s="32"/>
      <c r="C506" s="56"/>
    </row>
    <row r="507" spans="1:3" x14ac:dyDescent="0.2">
      <c r="A507" s="32"/>
      <c r="C507" s="56"/>
    </row>
    <row r="508" spans="1:3" x14ac:dyDescent="0.2">
      <c r="A508" s="32"/>
      <c r="C508" s="56"/>
    </row>
    <row r="509" spans="1:3" x14ac:dyDescent="0.2">
      <c r="A509" s="32"/>
      <c r="C509" s="56"/>
    </row>
    <row r="510" spans="1:3" x14ac:dyDescent="0.2">
      <c r="A510" s="32"/>
      <c r="C510" s="56"/>
    </row>
    <row r="511" spans="1:3" x14ac:dyDescent="0.2">
      <c r="A511" s="32"/>
      <c r="C511" s="56"/>
    </row>
    <row r="512" spans="1:3" x14ac:dyDescent="0.2">
      <c r="A512" s="32"/>
      <c r="C512" s="56"/>
    </row>
    <row r="513" spans="1:3" x14ac:dyDescent="0.2">
      <c r="A513" s="32"/>
      <c r="C513" s="56"/>
    </row>
    <row r="514" spans="1:3" x14ac:dyDescent="0.2">
      <c r="A514" s="32"/>
      <c r="C514" s="56"/>
    </row>
    <row r="515" spans="1:3" x14ac:dyDescent="0.2">
      <c r="A515" s="32"/>
      <c r="C515" s="56"/>
    </row>
    <row r="516" spans="1:3" x14ac:dyDescent="0.2">
      <c r="A516" s="32"/>
      <c r="C516" s="56"/>
    </row>
    <row r="517" spans="1:3" x14ac:dyDescent="0.2">
      <c r="A517" s="32"/>
      <c r="C517" s="56"/>
    </row>
    <row r="518" spans="1:3" x14ac:dyDescent="0.2">
      <c r="A518" s="32"/>
      <c r="C518" s="56"/>
    </row>
    <row r="519" spans="1:3" x14ac:dyDescent="0.2">
      <c r="A519" s="32"/>
      <c r="C519" s="56"/>
    </row>
    <row r="520" spans="1:3" x14ac:dyDescent="0.2">
      <c r="A520" s="32"/>
      <c r="C520" s="56"/>
    </row>
    <row r="521" spans="1:3" x14ac:dyDescent="0.2">
      <c r="A521" s="32"/>
      <c r="C521" s="56"/>
    </row>
    <row r="522" spans="1:3" x14ac:dyDescent="0.2">
      <c r="A522" s="32"/>
      <c r="C522" s="56"/>
    </row>
    <row r="523" spans="1:3" x14ac:dyDescent="0.2">
      <c r="A523" s="32"/>
      <c r="C523" s="56"/>
    </row>
    <row r="524" spans="1:3" x14ac:dyDescent="0.2">
      <c r="A524" s="32"/>
      <c r="C524" s="56"/>
    </row>
    <row r="525" spans="1:3" x14ac:dyDescent="0.2">
      <c r="A525" s="32"/>
      <c r="C525" s="56"/>
    </row>
    <row r="526" spans="1:3" x14ac:dyDescent="0.2">
      <c r="A526" s="32"/>
      <c r="C526" s="56"/>
    </row>
    <row r="527" spans="1:3" x14ac:dyDescent="0.2">
      <c r="A527" s="32"/>
      <c r="C527" s="56"/>
    </row>
    <row r="528" spans="1:3" x14ac:dyDescent="0.2">
      <c r="A528" s="32"/>
      <c r="C528" s="56"/>
    </row>
    <row r="529" spans="1:3" x14ac:dyDescent="0.2">
      <c r="A529" s="32"/>
      <c r="C529" s="56"/>
    </row>
    <row r="530" spans="1:3" x14ac:dyDescent="0.2">
      <c r="A530" s="32"/>
      <c r="C530" s="56"/>
    </row>
    <row r="531" spans="1:3" x14ac:dyDescent="0.2">
      <c r="A531" s="32"/>
      <c r="C531" s="56"/>
    </row>
    <row r="532" spans="1:3" x14ac:dyDescent="0.2">
      <c r="A532" s="32"/>
      <c r="C532" s="56"/>
    </row>
    <row r="533" spans="1:3" x14ac:dyDescent="0.2">
      <c r="A533" s="32"/>
      <c r="C533" s="56"/>
    </row>
    <row r="534" spans="1:3" x14ac:dyDescent="0.2">
      <c r="A534" s="32"/>
      <c r="C534" s="56"/>
    </row>
    <row r="535" spans="1:3" x14ac:dyDescent="0.2">
      <c r="A535" s="32"/>
      <c r="C535" s="56"/>
    </row>
    <row r="536" spans="1:3" x14ac:dyDescent="0.2">
      <c r="A536" s="32"/>
      <c r="C536" s="56"/>
    </row>
    <row r="537" spans="1:3" x14ac:dyDescent="0.2">
      <c r="A537" s="32"/>
      <c r="C537" s="56"/>
    </row>
    <row r="538" spans="1:3" x14ac:dyDescent="0.2">
      <c r="A538" s="32"/>
      <c r="C538" s="56"/>
    </row>
    <row r="539" spans="1:3" x14ac:dyDescent="0.2">
      <c r="A539" s="32"/>
      <c r="C539" s="56"/>
    </row>
    <row r="540" spans="1:3" x14ac:dyDescent="0.2">
      <c r="A540" s="32"/>
      <c r="C540" s="56"/>
    </row>
    <row r="541" spans="1:3" x14ac:dyDescent="0.2">
      <c r="A541" s="32"/>
      <c r="C541" s="56"/>
    </row>
    <row r="542" spans="1:3" x14ac:dyDescent="0.2">
      <c r="A542" s="32"/>
      <c r="C542" s="56"/>
    </row>
    <row r="543" spans="1:3" x14ac:dyDescent="0.2">
      <c r="A543" s="32"/>
      <c r="C543" s="56"/>
    </row>
    <row r="544" spans="1:3" x14ac:dyDescent="0.2">
      <c r="A544" s="32"/>
      <c r="C544" s="56"/>
    </row>
    <row r="545" spans="1:3" x14ac:dyDescent="0.2">
      <c r="A545" s="32"/>
      <c r="C545" s="56"/>
    </row>
    <row r="546" spans="1:3" x14ac:dyDescent="0.2">
      <c r="A546" s="32"/>
      <c r="C546" s="56"/>
    </row>
    <row r="547" spans="1:3" x14ac:dyDescent="0.2">
      <c r="A547" s="32"/>
      <c r="C547" s="56"/>
    </row>
    <row r="548" spans="1:3" x14ac:dyDescent="0.2">
      <c r="A548" s="32"/>
      <c r="C548" s="56"/>
    </row>
    <row r="549" spans="1:3" x14ac:dyDescent="0.2">
      <c r="A549" s="32"/>
      <c r="C549" s="56"/>
    </row>
    <row r="550" spans="1:3" x14ac:dyDescent="0.2">
      <c r="A550" s="32"/>
      <c r="C550" s="56"/>
    </row>
    <row r="551" spans="1:3" x14ac:dyDescent="0.2">
      <c r="A551" s="32"/>
      <c r="C551" s="56"/>
    </row>
    <row r="552" spans="1:3" x14ac:dyDescent="0.2">
      <c r="A552" s="32"/>
      <c r="C552" s="56"/>
    </row>
    <row r="553" spans="1:3" x14ac:dyDescent="0.2">
      <c r="A553" s="32"/>
      <c r="C553" s="56"/>
    </row>
    <row r="554" spans="1:3" x14ac:dyDescent="0.2">
      <c r="A554" s="32"/>
      <c r="C554" s="56"/>
    </row>
    <row r="555" spans="1:3" x14ac:dyDescent="0.2">
      <c r="A555" s="32"/>
      <c r="C555" s="56"/>
    </row>
    <row r="556" spans="1:3" x14ac:dyDescent="0.2">
      <c r="A556" s="32"/>
      <c r="C556" s="56"/>
    </row>
    <row r="557" spans="1:3" x14ac:dyDescent="0.2">
      <c r="A557" s="32"/>
      <c r="C557" s="56"/>
    </row>
    <row r="558" spans="1:3" x14ac:dyDescent="0.2">
      <c r="A558" s="32"/>
      <c r="C558" s="56"/>
    </row>
    <row r="559" spans="1:3" x14ac:dyDescent="0.2">
      <c r="A559" s="32"/>
      <c r="C559" s="56"/>
    </row>
    <row r="560" spans="1:3" x14ac:dyDescent="0.2">
      <c r="A560" s="32"/>
      <c r="C560" s="56"/>
    </row>
    <row r="561" spans="1:3" x14ac:dyDescent="0.2">
      <c r="A561" s="32"/>
      <c r="C561" s="56"/>
    </row>
    <row r="562" spans="1:3" x14ac:dyDescent="0.2">
      <c r="A562" s="32"/>
      <c r="C562" s="56"/>
    </row>
    <row r="563" spans="1:3" x14ac:dyDescent="0.2">
      <c r="A563" s="32"/>
      <c r="C563" s="56"/>
    </row>
    <row r="564" spans="1:3" x14ac:dyDescent="0.2">
      <c r="A564" s="32"/>
      <c r="C564" s="56"/>
    </row>
    <row r="565" spans="1:3" x14ac:dyDescent="0.2">
      <c r="A565" s="32"/>
      <c r="C565" s="56"/>
    </row>
    <row r="566" spans="1:3" x14ac:dyDescent="0.2">
      <c r="A566" s="32"/>
      <c r="C566" s="56"/>
    </row>
    <row r="567" spans="1:3" x14ac:dyDescent="0.2">
      <c r="A567" s="32"/>
      <c r="C567" s="56"/>
    </row>
    <row r="568" spans="1:3" x14ac:dyDescent="0.2">
      <c r="A568" s="32"/>
      <c r="C568" s="56"/>
    </row>
    <row r="569" spans="1:3" x14ac:dyDescent="0.2">
      <c r="A569" s="32"/>
      <c r="C569" s="56"/>
    </row>
    <row r="570" spans="1:3" x14ac:dyDescent="0.2">
      <c r="A570" s="32"/>
      <c r="C570" s="56"/>
    </row>
    <row r="571" spans="1:3" x14ac:dyDescent="0.2">
      <c r="A571" s="32"/>
      <c r="C571" s="56"/>
    </row>
    <row r="572" spans="1:3" x14ac:dyDescent="0.2">
      <c r="A572" s="32"/>
      <c r="C572" s="56"/>
    </row>
    <row r="573" spans="1:3" x14ac:dyDescent="0.2">
      <c r="A573" s="32"/>
      <c r="C573" s="56"/>
    </row>
    <row r="574" spans="1:3" x14ac:dyDescent="0.2">
      <c r="A574" s="32"/>
      <c r="C574" s="56"/>
    </row>
    <row r="575" spans="1:3" x14ac:dyDescent="0.2">
      <c r="A575" s="32"/>
      <c r="C575" s="56"/>
    </row>
    <row r="576" spans="1:3" x14ac:dyDescent="0.2">
      <c r="A576" s="32"/>
      <c r="C576" s="56"/>
    </row>
    <row r="577" spans="1:3" x14ac:dyDescent="0.2">
      <c r="A577" s="32"/>
      <c r="C577" s="56"/>
    </row>
    <row r="578" spans="1:3" x14ac:dyDescent="0.2">
      <c r="A578" s="32"/>
      <c r="C578" s="56"/>
    </row>
    <row r="579" spans="1:3" x14ac:dyDescent="0.2">
      <c r="A579" s="32"/>
      <c r="C579" s="56"/>
    </row>
    <row r="580" spans="1:3" x14ac:dyDescent="0.2">
      <c r="A580" s="32"/>
      <c r="C580" s="56"/>
    </row>
    <row r="581" spans="1:3" x14ac:dyDescent="0.2">
      <c r="A581" s="32"/>
      <c r="C581" s="56"/>
    </row>
    <row r="582" spans="1:3" x14ac:dyDescent="0.2">
      <c r="A582" s="32"/>
      <c r="C582" s="56"/>
    </row>
    <row r="583" spans="1:3" x14ac:dyDescent="0.2">
      <c r="A583" s="32"/>
      <c r="C583" s="56"/>
    </row>
    <row r="584" spans="1:3" x14ac:dyDescent="0.2">
      <c r="A584" s="32"/>
      <c r="C584" s="56"/>
    </row>
    <row r="585" spans="1:3" x14ac:dyDescent="0.2">
      <c r="A585" s="32"/>
      <c r="C585" s="56"/>
    </row>
    <row r="586" spans="1:3" x14ac:dyDescent="0.2">
      <c r="A586" s="32"/>
      <c r="C586" s="56"/>
    </row>
    <row r="587" spans="1:3" x14ac:dyDescent="0.2">
      <c r="A587" s="32"/>
      <c r="C587" s="56"/>
    </row>
    <row r="588" spans="1:3" x14ac:dyDescent="0.2">
      <c r="A588" s="32"/>
      <c r="C588" s="56"/>
    </row>
    <row r="589" spans="1:3" x14ac:dyDescent="0.2">
      <c r="A589" s="32"/>
      <c r="C589" s="56"/>
    </row>
    <row r="590" spans="1:3" x14ac:dyDescent="0.2">
      <c r="A590" s="32"/>
      <c r="C590" s="56"/>
    </row>
    <row r="591" spans="1:3" x14ac:dyDescent="0.2">
      <c r="A591" s="32"/>
      <c r="C591" s="56"/>
    </row>
    <row r="592" spans="1:3" x14ac:dyDescent="0.2">
      <c r="A592" s="32"/>
      <c r="C592" s="56"/>
    </row>
    <row r="593" spans="1:3" x14ac:dyDescent="0.2">
      <c r="A593" s="32"/>
      <c r="C593" s="56"/>
    </row>
    <row r="594" spans="1:3" x14ac:dyDescent="0.2">
      <c r="A594" s="32"/>
      <c r="C594" s="56"/>
    </row>
    <row r="595" spans="1:3" x14ac:dyDescent="0.2">
      <c r="A595" s="32"/>
      <c r="C595" s="56"/>
    </row>
    <row r="596" spans="1:3" x14ac:dyDescent="0.2">
      <c r="A596" s="32"/>
      <c r="C596" s="56"/>
    </row>
    <row r="597" spans="1:3" x14ac:dyDescent="0.2">
      <c r="A597" s="32"/>
      <c r="C597" s="56"/>
    </row>
    <row r="598" spans="1:3" x14ac:dyDescent="0.2">
      <c r="A598" s="32"/>
      <c r="C598" s="56"/>
    </row>
    <row r="599" spans="1:3" x14ac:dyDescent="0.2">
      <c r="A599" s="32"/>
      <c r="C599" s="56"/>
    </row>
    <row r="600" spans="1:3" x14ac:dyDescent="0.2">
      <c r="A600" s="32"/>
      <c r="C600" s="56"/>
    </row>
    <row r="601" spans="1:3" x14ac:dyDescent="0.2">
      <c r="A601" s="32"/>
      <c r="C601" s="56"/>
    </row>
    <row r="602" spans="1:3" x14ac:dyDescent="0.2">
      <c r="A602" s="32"/>
      <c r="C602" s="56"/>
    </row>
    <row r="603" spans="1:3" x14ac:dyDescent="0.2">
      <c r="A603" s="32"/>
      <c r="C603" s="56"/>
    </row>
    <row r="604" spans="1:3" x14ac:dyDescent="0.2">
      <c r="A604" s="32"/>
      <c r="C604" s="56"/>
    </row>
    <row r="605" spans="1:3" x14ac:dyDescent="0.2">
      <c r="A605" s="32"/>
      <c r="C605" s="56"/>
    </row>
    <row r="606" spans="1:3" x14ac:dyDescent="0.2">
      <c r="A606" s="32"/>
      <c r="C606" s="56"/>
    </row>
    <row r="607" spans="1:3" x14ac:dyDescent="0.2">
      <c r="A607" s="32"/>
      <c r="C607" s="56"/>
    </row>
    <row r="608" spans="1:3" x14ac:dyDescent="0.2">
      <c r="A608" s="32"/>
      <c r="C608" s="56"/>
    </row>
    <row r="609" spans="1:3" x14ac:dyDescent="0.2">
      <c r="A609" s="32"/>
      <c r="C609" s="56"/>
    </row>
    <row r="610" spans="1:3" x14ac:dyDescent="0.2">
      <c r="A610" s="32"/>
      <c r="C610" s="56"/>
    </row>
    <row r="611" spans="1:3" x14ac:dyDescent="0.2">
      <c r="A611" s="32"/>
      <c r="C611" s="56"/>
    </row>
    <row r="612" spans="1:3" x14ac:dyDescent="0.2">
      <c r="A612" s="32"/>
      <c r="C612" s="56"/>
    </row>
    <row r="613" spans="1:3" x14ac:dyDescent="0.2">
      <c r="A613" s="32"/>
      <c r="C613" s="56"/>
    </row>
    <row r="614" spans="1:3" x14ac:dyDescent="0.2">
      <c r="A614" s="32"/>
      <c r="C614" s="56"/>
    </row>
    <row r="615" spans="1:3" x14ac:dyDescent="0.2">
      <c r="A615" s="32"/>
      <c r="C615" s="56"/>
    </row>
    <row r="616" spans="1:3" x14ac:dyDescent="0.2">
      <c r="A616" s="32"/>
      <c r="C616" s="56"/>
    </row>
    <row r="617" spans="1:3" x14ac:dyDescent="0.2">
      <c r="A617" s="32"/>
      <c r="C617" s="56"/>
    </row>
    <row r="618" spans="1:3" x14ac:dyDescent="0.2">
      <c r="A618" s="32"/>
      <c r="C618" s="56"/>
    </row>
    <row r="619" spans="1:3" x14ac:dyDescent="0.2">
      <c r="A619" s="32"/>
      <c r="C619" s="56"/>
    </row>
    <row r="620" spans="1:3" x14ac:dyDescent="0.2">
      <c r="A620" s="32"/>
      <c r="C620" s="56"/>
    </row>
    <row r="621" spans="1:3" x14ac:dyDescent="0.2">
      <c r="A621" s="32"/>
      <c r="C621" s="56"/>
    </row>
    <row r="622" spans="1:3" x14ac:dyDescent="0.2">
      <c r="A622" s="32"/>
      <c r="C622" s="56"/>
    </row>
    <row r="623" spans="1:3" x14ac:dyDescent="0.2">
      <c r="A623" s="32"/>
      <c r="C623" s="56"/>
    </row>
    <row r="624" spans="1:3" x14ac:dyDescent="0.2">
      <c r="A624" s="32"/>
      <c r="C624" s="56"/>
    </row>
    <row r="625" spans="1:3" x14ac:dyDescent="0.2">
      <c r="A625" s="32"/>
      <c r="C625" s="56"/>
    </row>
    <row r="626" spans="1:3" x14ac:dyDescent="0.2">
      <c r="A626" s="32"/>
      <c r="C626" s="56"/>
    </row>
    <row r="627" spans="1:3" x14ac:dyDescent="0.2">
      <c r="A627" s="32"/>
      <c r="C627" s="56"/>
    </row>
    <row r="628" spans="1:3" x14ac:dyDescent="0.2">
      <c r="A628" s="32"/>
      <c r="C628" s="56"/>
    </row>
    <row r="629" spans="1:3" x14ac:dyDescent="0.2">
      <c r="A629" s="32"/>
      <c r="C629" s="56"/>
    </row>
    <row r="630" spans="1:3" x14ac:dyDescent="0.2">
      <c r="A630" s="32"/>
      <c r="C630" s="56"/>
    </row>
    <row r="631" spans="1:3" x14ac:dyDescent="0.2">
      <c r="A631" s="32"/>
      <c r="C631" s="56"/>
    </row>
    <row r="632" spans="1:3" x14ac:dyDescent="0.2">
      <c r="A632" s="32"/>
      <c r="C632" s="56"/>
    </row>
    <row r="633" spans="1:3" x14ac:dyDescent="0.2">
      <c r="A633" s="32"/>
      <c r="C633" s="56"/>
    </row>
    <row r="634" spans="1:3" x14ac:dyDescent="0.2">
      <c r="A634" s="32"/>
      <c r="C634" s="56"/>
    </row>
    <row r="635" spans="1:3" x14ac:dyDescent="0.2">
      <c r="A635" s="32"/>
      <c r="C635" s="56"/>
    </row>
    <row r="636" spans="1:3" x14ac:dyDescent="0.2">
      <c r="A636" s="32"/>
      <c r="C636" s="56"/>
    </row>
    <row r="637" spans="1:3" x14ac:dyDescent="0.2">
      <c r="A637" s="32"/>
      <c r="C637" s="56"/>
    </row>
    <row r="638" spans="1:3" x14ac:dyDescent="0.2">
      <c r="A638" s="32"/>
      <c r="C638" s="56"/>
    </row>
    <row r="639" spans="1:3" x14ac:dyDescent="0.2">
      <c r="A639" s="32"/>
      <c r="C639" s="56"/>
    </row>
    <row r="640" spans="1:3" x14ac:dyDescent="0.2">
      <c r="A640" s="32"/>
      <c r="C640" s="56"/>
    </row>
    <row r="641" spans="1:3" x14ac:dyDescent="0.2">
      <c r="A641" s="32"/>
      <c r="C641" s="56"/>
    </row>
    <row r="642" spans="1:3" x14ac:dyDescent="0.2">
      <c r="A642" s="32"/>
      <c r="C642" s="56"/>
    </row>
    <row r="643" spans="1:3" x14ac:dyDescent="0.2">
      <c r="A643" s="32"/>
      <c r="C643" s="56"/>
    </row>
    <row r="644" spans="1:3" x14ac:dyDescent="0.2">
      <c r="A644" s="32"/>
      <c r="C644" s="56"/>
    </row>
    <row r="645" spans="1:3" x14ac:dyDescent="0.2">
      <c r="A645" s="32"/>
      <c r="C645" s="56"/>
    </row>
    <row r="646" spans="1:3" x14ac:dyDescent="0.2">
      <c r="A646" s="32"/>
      <c r="C646" s="56"/>
    </row>
    <row r="647" spans="1:3" x14ac:dyDescent="0.2">
      <c r="A647" s="32"/>
      <c r="C647" s="56"/>
    </row>
    <row r="648" spans="1:3" x14ac:dyDescent="0.2">
      <c r="A648" s="32"/>
      <c r="C648" s="56"/>
    </row>
    <row r="649" spans="1:3" x14ac:dyDescent="0.2">
      <c r="A649" s="32"/>
      <c r="C649" s="56"/>
    </row>
    <row r="650" spans="1:3" x14ac:dyDescent="0.2">
      <c r="A650" s="32"/>
      <c r="C650" s="56"/>
    </row>
    <row r="651" spans="1:3" x14ac:dyDescent="0.2">
      <c r="A651" s="32"/>
      <c r="C651" s="56"/>
    </row>
    <row r="652" spans="1:3" x14ac:dyDescent="0.2">
      <c r="A652" s="32"/>
      <c r="C652" s="56"/>
    </row>
    <row r="653" spans="1:3" x14ac:dyDescent="0.2">
      <c r="A653" s="32"/>
      <c r="C653" s="56"/>
    </row>
    <row r="654" spans="1:3" x14ac:dyDescent="0.2">
      <c r="A654" s="32"/>
      <c r="C654" s="56"/>
    </row>
    <row r="655" spans="1:3" x14ac:dyDescent="0.2">
      <c r="A655" s="32"/>
      <c r="C655" s="56"/>
    </row>
    <row r="656" spans="1:3" x14ac:dyDescent="0.2">
      <c r="A656" s="32"/>
      <c r="C656" s="56"/>
    </row>
    <row r="657" spans="1:3" x14ac:dyDescent="0.2">
      <c r="A657" s="32"/>
      <c r="C657" s="56"/>
    </row>
    <row r="658" spans="1:3" x14ac:dyDescent="0.2">
      <c r="A658" s="32"/>
      <c r="C658" s="56"/>
    </row>
    <row r="659" spans="1:3" x14ac:dyDescent="0.2">
      <c r="A659" s="32"/>
      <c r="C659" s="56"/>
    </row>
    <row r="660" spans="1:3" x14ac:dyDescent="0.2">
      <c r="A660" s="32"/>
      <c r="C660" s="56"/>
    </row>
    <row r="661" spans="1:3" x14ac:dyDescent="0.2">
      <c r="A661" s="32"/>
      <c r="C661" s="56"/>
    </row>
    <row r="662" spans="1:3" x14ac:dyDescent="0.2">
      <c r="A662" s="32"/>
      <c r="C662" s="56"/>
    </row>
    <row r="663" spans="1:3" x14ac:dyDescent="0.2">
      <c r="A663" s="32"/>
      <c r="C663" s="56"/>
    </row>
    <row r="664" spans="1:3" x14ac:dyDescent="0.2">
      <c r="A664" s="32"/>
      <c r="C664" s="56"/>
    </row>
    <row r="665" spans="1:3" x14ac:dyDescent="0.2">
      <c r="A665" s="32"/>
      <c r="C665" s="56"/>
    </row>
    <row r="666" spans="1:3" x14ac:dyDescent="0.2">
      <c r="A666" s="32"/>
      <c r="C666" s="56"/>
    </row>
    <row r="667" spans="1:3" x14ac:dyDescent="0.2">
      <c r="A667" s="32"/>
      <c r="C667" s="56"/>
    </row>
    <row r="668" spans="1:3" x14ac:dyDescent="0.2">
      <c r="A668" s="32"/>
      <c r="C668" s="56"/>
    </row>
    <row r="669" spans="1:3" x14ac:dyDescent="0.2">
      <c r="A669" s="32"/>
      <c r="C669" s="56"/>
    </row>
    <row r="670" spans="1:3" x14ac:dyDescent="0.2">
      <c r="A670" s="32"/>
      <c r="C670" s="56"/>
    </row>
    <row r="671" spans="1:3" x14ac:dyDescent="0.2">
      <c r="A671" s="32"/>
      <c r="C671" s="56"/>
    </row>
    <row r="672" spans="1:3" x14ac:dyDescent="0.2">
      <c r="A672" s="32"/>
      <c r="C672" s="56"/>
    </row>
    <row r="673" spans="1:3" x14ac:dyDescent="0.2">
      <c r="A673" s="32"/>
      <c r="C673" s="56"/>
    </row>
    <row r="674" spans="1:3" x14ac:dyDescent="0.2">
      <c r="A674" s="32"/>
      <c r="C674" s="56"/>
    </row>
    <row r="675" spans="1:3" x14ac:dyDescent="0.2">
      <c r="A675" s="32"/>
      <c r="C675" s="56"/>
    </row>
    <row r="676" spans="1:3" x14ac:dyDescent="0.2">
      <c r="A676" s="32"/>
      <c r="C676" s="56"/>
    </row>
    <row r="677" spans="1:3" x14ac:dyDescent="0.2">
      <c r="A677" s="32"/>
      <c r="C677" s="56"/>
    </row>
    <row r="678" spans="1:3" x14ac:dyDescent="0.2">
      <c r="A678" s="32"/>
      <c r="C678" s="56"/>
    </row>
    <row r="679" spans="1:3" x14ac:dyDescent="0.2">
      <c r="A679" s="32"/>
      <c r="C679" s="56"/>
    </row>
    <row r="680" spans="1:3" x14ac:dyDescent="0.2">
      <c r="A680" s="32"/>
      <c r="C680" s="56"/>
    </row>
    <row r="681" spans="1:3" x14ac:dyDescent="0.2">
      <c r="A681" s="32"/>
      <c r="C681" s="56"/>
    </row>
    <row r="682" spans="1:3" x14ac:dyDescent="0.2">
      <c r="A682" s="32"/>
      <c r="C682" s="56"/>
    </row>
    <row r="683" spans="1:3" x14ac:dyDescent="0.2">
      <c r="A683" s="32"/>
      <c r="C683" s="56"/>
    </row>
    <row r="684" spans="1:3" x14ac:dyDescent="0.2">
      <c r="A684" s="32"/>
      <c r="C684" s="56"/>
    </row>
    <row r="685" spans="1:3" x14ac:dyDescent="0.2">
      <c r="A685" s="32"/>
      <c r="C685" s="56"/>
    </row>
    <row r="686" spans="1:3" x14ac:dyDescent="0.2">
      <c r="A686" s="32"/>
      <c r="C686" s="56"/>
    </row>
    <row r="687" spans="1:3" x14ac:dyDescent="0.2">
      <c r="A687" s="32"/>
      <c r="C687" s="56"/>
    </row>
    <row r="688" spans="1:3" x14ac:dyDescent="0.2">
      <c r="A688" s="32"/>
      <c r="C688" s="56"/>
    </row>
    <row r="689" spans="1:3" x14ac:dyDescent="0.2">
      <c r="A689" s="32"/>
      <c r="C689" s="56"/>
    </row>
    <row r="690" spans="1:3" x14ac:dyDescent="0.2">
      <c r="A690" s="32"/>
      <c r="C690" s="56"/>
    </row>
    <row r="691" spans="1:3" x14ac:dyDescent="0.2">
      <c r="A691" s="32"/>
      <c r="C691" s="56"/>
    </row>
    <row r="692" spans="1:3" x14ac:dyDescent="0.2">
      <c r="A692" s="32"/>
      <c r="C692" s="56"/>
    </row>
    <row r="693" spans="1:3" x14ac:dyDescent="0.2">
      <c r="A693" s="32"/>
      <c r="C693" s="56"/>
    </row>
    <row r="694" spans="1:3" x14ac:dyDescent="0.2">
      <c r="A694" s="32"/>
      <c r="C694" s="56"/>
    </row>
    <row r="695" spans="1:3" x14ac:dyDescent="0.2">
      <c r="A695" s="32"/>
      <c r="C695" s="56"/>
    </row>
    <row r="696" spans="1:3" x14ac:dyDescent="0.2">
      <c r="A696" s="32"/>
      <c r="C696" s="56"/>
    </row>
    <row r="697" spans="1:3" x14ac:dyDescent="0.2">
      <c r="A697" s="32"/>
      <c r="C697" s="56"/>
    </row>
    <row r="698" spans="1:3" x14ac:dyDescent="0.2">
      <c r="A698" s="32"/>
      <c r="C698" s="56"/>
    </row>
    <row r="699" spans="1:3" x14ac:dyDescent="0.2">
      <c r="A699" s="32"/>
      <c r="C699" s="56"/>
    </row>
    <row r="700" spans="1:3" x14ac:dyDescent="0.2">
      <c r="A700" s="32"/>
      <c r="C700" s="56"/>
    </row>
    <row r="701" spans="1:3" x14ac:dyDescent="0.2">
      <c r="A701" s="32"/>
      <c r="C701" s="56"/>
    </row>
    <row r="702" spans="1:3" x14ac:dyDescent="0.2">
      <c r="A702" s="32"/>
      <c r="C702" s="56"/>
    </row>
    <row r="703" spans="1:3" x14ac:dyDescent="0.2">
      <c r="A703" s="32"/>
      <c r="C703" s="56"/>
    </row>
    <row r="704" spans="1:3" x14ac:dyDescent="0.2">
      <c r="A704" s="32"/>
      <c r="C704" s="56"/>
    </row>
    <row r="705" spans="1:3" x14ac:dyDescent="0.2">
      <c r="A705" s="32"/>
      <c r="C705" s="56"/>
    </row>
    <row r="706" spans="1:3" x14ac:dyDescent="0.2">
      <c r="A706" s="32"/>
      <c r="C706" s="56"/>
    </row>
    <row r="707" spans="1:3" x14ac:dyDescent="0.2">
      <c r="A707" s="32"/>
      <c r="C707" s="56"/>
    </row>
    <row r="708" spans="1:3" x14ac:dyDescent="0.2">
      <c r="A708" s="32"/>
      <c r="C708" s="56"/>
    </row>
    <row r="709" spans="1:3" x14ac:dyDescent="0.2">
      <c r="A709" s="32"/>
      <c r="C709" s="56"/>
    </row>
    <row r="710" spans="1:3" x14ac:dyDescent="0.2">
      <c r="A710" s="32"/>
      <c r="C710" s="56"/>
    </row>
    <row r="711" spans="1:3" x14ac:dyDescent="0.2">
      <c r="A711" s="32"/>
      <c r="C711" s="56"/>
    </row>
    <row r="712" spans="1:3" x14ac:dyDescent="0.2">
      <c r="A712" s="32"/>
      <c r="C712" s="56"/>
    </row>
    <row r="713" spans="1:3" x14ac:dyDescent="0.2">
      <c r="A713" s="32"/>
      <c r="C713" s="56"/>
    </row>
    <row r="714" spans="1:3" x14ac:dyDescent="0.2">
      <c r="A714" s="32"/>
      <c r="C714" s="56"/>
    </row>
    <row r="715" spans="1:3" x14ac:dyDescent="0.2">
      <c r="A715" s="32"/>
      <c r="C715" s="56"/>
    </row>
    <row r="716" spans="1:3" x14ac:dyDescent="0.2">
      <c r="A716" s="32"/>
      <c r="C716" s="56"/>
    </row>
    <row r="717" spans="1:3" x14ac:dyDescent="0.2">
      <c r="A717" s="32"/>
      <c r="C717" s="56"/>
    </row>
    <row r="718" spans="1:3" x14ac:dyDescent="0.2">
      <c r="A718" s="32"/>
      <c r="C718" s="56"/>
    </row>
    <row r="719" spans="1:3" x14ac:dyDescent="0.2">
      <c r="A719" s="32"/>
      <c r="C719" s="56"/>
    </row>
    <row r="720" spans="1:3" x14ac:dyDescent="0.2">
      <c r="A720" s="32"/>
      <c r="C720" s="56"/>
    </row>
    <row r="721" spans="1:3" x14ac:dyDescent="0.2">
      <c r="A721" s="32"/>
      <c r="C721" s="56"/>
    </row>
    <row r="722" spans="1:3" x14ac:dyDescent="0.2">
      <c r="A722" s="32"/>
      <c r="C722" s="56"/>
    </row>
    <row r="723" spans="1:3" x14ac:dyDescent="0.2">
      <c r="A723" s="32"/>
      <c r="C723" s="56"/>
    </row>
    <row r="724" spans="1:3" x14ac:dyDescent="0.2">
      <c r="A724" s="32"/>
      <c r="C724" s="56"/>
    </row>
    <row r="725" spans="1:3" x14ac:dyDescent="0.2">
      <c r="A725" s="32"/>
      <c r="C725" s="56"/>
    </row>
    <row r="726" spans="1:3" x14ac:dyDescent="0.2">
      <c r="A726" s="32"/>
      <c r="C726" s="56"/>
    </row>
    <row r="727" spans="1:3" x14ac:dyDescent="0.2">
      <c r="A727" s="32"/>
      <c r="C727" s="56"/>
    </row>
    <row r="728" spans="1:3" x14ac:dyDescent="0.2">
      <c r="A728" s="32"/>
      <c r="C728" s="56"/>
    </row>
    <row r="729" spans="1:3" x14ac:dyDescent="0.2">
      <c r="A729" s="32"/>
      <c r="C729" s="56"/>
    </row>
    <row r="730" spans="1:3" x14ac:dyDescent="0.2">
      <c r="A730" s="32"/>
      <c r="C730" s="56"/>
    </row>
    <row r="731" spans="1:3" x14ac:dyDescent="0.2">
      <c r="A731" s="32"/>
      <c r="C731" s="56"/>
    </row>
    <row r="732" spans="1:3" x14ac:dyDescent="0.2">
      <c r="A732" s="32"/>
      <c r="C732" s="56"/>
    </row>
    <row r="733" spans="1:3" x14ac:dyDescent="0.2">
      <c r="A733" s="32"/>
      <c r="C733" s="56"/>
    </row>
    <row r="734" spans="1:3" x14ac:dyDescent="0.2">
      <c r="A734" s="32"/>
      <c r="C734" s="56"/>
    </row>
    <row r="735" spans="1:3" x14ac:dyDescent="0.2">
      <c r="A735" s="32"/>
      <c r="C735" s="56"/>
    </row>
    <row r="736" spans="1:3" x14ac:dyDescent="0.2">
      <c r="A736" s="32"/>
      <c r="C736" s="56"/>
    </row>
    <row r="737" spans="1:3" x14ac:dyDescent="0.2">
      <c r="A737" s="32"/>
      <c r="C737" s="56"/>
    </row>
    <row r="738" spans="1:3" x14ac:dyDescent="0.2">
      <c r="A738" s="32"/>
      <c r="C738" s="56"/>
    </row>
    <row r="739" spans="1:3" x14ac:dyDescent="0.2">
      <c r="A739" s="32"/>
      <c r="C739" s="56"/>
    </row>
    <row r="740" spans="1:3" x14ac:dyDescent="0.2">
      <c r="A740" s="32"/>
      <c r="C740" s="56"/>
    </row>
    <row r="741" spans="1:3" x14ac:dyDescent="0.2">
      <c r="A741" s="32"/>
      <c r="C741" s="56"/>
    </row>
    <row r="742" spans="1:3" x14ac:dyDescent="0.2">
      <c r="A742" s="32"/>
      <c r="C742" s="56"/>
    </row>
    <row r="743" spans="1:3" x14ac:dyDescent="0.2">
      <c r="A743" s="32"/>
      <c r="C743" s="56"/>
    </row>
    <row r="744" spans="1:3" x14ac:dyDescent="0.2">
      <c r="A744" s="32"/>
      <c r="C744" s="56"/>
    </row>
    <row r="745" spans="1:3" x14ac:dyDescent="0.2">
      <c r="A745" s="32"/>
      <c r="C745" s="56"/>
    </row>
    <row r="746" spans="1:3" x14ac:dyDescent="0.2">
      <c r="A746" s="32"/>
      <c r="C746" s="56"/>
    </row>
    <row r="747" spans="1:3" x14ac:dyDescent="0.2">
      <c r="A747" s="32"/>
      <c r="C747" s="56"/>
    </row>
    <row r="748" spans="1:3" x14ac:dyDescent="0.2">
      <c r="A748" s="32"/>
      <c r="C748" s="56"/>
    </row>
    <row r="749" spans="1:3" x14ac:dyDescent="0.2">
      <c r="A749" s="32"/>
      <c r="C749" s="56"/>
    </row>
    <row r="750" spans="1:3" x14ac:dyDescent="0.2">
      <c r="A750" s="32"/>
      <c r="C750" s="56"/>
    </row>
    <row r="751" spans="1:3" x14ac:dyDescent="0.2">
      <c r="A751" s="32"/>
      <c r="C751" s="56"/>
    </row>
    <row r="752" spans="1:3" x14ac:dyDescent="0.2">
      <c r="A752" s="32"/>
      <c r="C752" s="56"/>
    </row>
    <row r="753" spans="1:3" x14ac:dyDescent="0.2">
      <c r="A753" s="32"/>
      <c r="C753" s="56"/>
    </row>
    <row r="754" spans="1:3" x14ac:dyDescent="0.2">
      <c r="A754" s="32"/>
      <c r="C754" s="56"/>
    </row>
    <row r="755" spans="1:3" x14ac:dyDescent="0.2">
      <c r="A755" s="32"/>
      <c r="C755" s="56"/>
    </row>
    <row r="756" spans="1:3" x14ac:dyDescent="0.2">
      <c r="A756" s="32"/>
      <c r="C756" s="56"/>
    </row>
    <row r="757" spans="1:3" x14ac:dyDescent="0.2">
      <c r="A757" s="32"/>
      <c r="C757" s="56"/>
    </row>
    <row r="758" spans="1:3" x14ac:dyDescent="0.2">
      <c r="A758" s="32"/>
      <c r="C758" s="56"/>
    </row>
    <row r="759" spans="1:3" x14ac:dyDescent="0.2">
      <c r="A759" s="32"/>
      <c r="C759" s="56"/>
    </row>
    <row r="760" spans="1:3" x14ac:dyDescent="0.2">
      <c r="A760" s="32"/>
      <c r="C760" s="56"/>
    </row>
    <row r="761" spans="1:3" x14ac:dyDescent="0.2">
      <c r="A761" s="32"/>
      <c r="C761" s="56"/>
    </row>
    <row r="762" spans="1:3" x14ac:dyDescent="0.2">
      <c r="A762" s="32"/>
      <c r="C762" s="56"/>
    </row>
    <row r="763" spans="1:3" x14ac:dyDescent="0.2">
      <c r="A763" s="32"/>
      <c r="C763" s="56"/>
    </row>
    <row r="764" spans="1:3" x14ac:dyDescent="0.2">
      <c r="A764" s="32"/>
      <c r="C764" s="56"/>
    </row>
    <row r="765" spans="1:3" x14ac:dyDescent="0.2">
      <c r="A765" s="32"/>
      <c r="C765" s="56"/>
    </row>
    <row r="766" spans="1:3" x14ac:dyDescent="0.2">
      <c r="A766" s="32"/>
      <c r="C766" s="56"/>
    </row>
    <row r="767" spans="1:3" x14ac:dyDescent="0.2">
      <c r="A767" s="32"/>
      <c r="C767" s="56"/>
    </row>
    <row r="768" spans="1:3" x14ac:dyDescent="0.2">
      <c r="A768" s="32"/>
      <c r="C768" s="56"/>
    </row>
    <row r="769" spans="1:3" x14ac:dyDescent="0.2">
      <c r="A769" s="32"/>
      <c r="C769" s="56"/>
    </row>
    <row r="770" spans="1:3" x14ac:dyDescent="0.2">
      <c r="A770" s="32"/>
      <c r="C770" s="56"/>
    </row>
    <row r="771" spans="1:3" x14ac:dyDescent="0.2">
      <c r="A771" s="32"/>
      <c r="C771" s="56"/>
    </row>
    <row r="772" spans="1:3" x14ac:dyDescent="0.2">
      <c r="A772" s="32"/>
      <c r="C772" s="56"/>
    </row>
    <row r="773" spans="1:3" x14ac:dyDescent="0.2">
      <c r="A773" s="32"/>
      <c r="C773" s="56"/>
    </row>
    <row r="774" spans="1:3" x14ac:dyDescent="0.2">
      <c r="A774" s="32"/>
      <c r="C774" s="56"/>
    </row>
    <row r="775" spans="1:3" x14ac:dyDescent="0.2">
      <c r="A775" s="32"/>
      <c r="C775" s="56"/>
    </row>
    <row r="776" spans="1:3" x14ac:dyDescent="0.2">
      <c r="A776" s="32"/>
      <c r="C776" s="56"/>
    </row>
    <row r="777" spans="1:3" x14ac:dyDescent="0.2">
      <c r="A777" s="32"/>
      <c r="C777" s="56"/>
    </row>
    <row r="778" spans="1:3" x14ac:dyDescent="0.2">
      <c r="A778" s="32"/>
      <c r="C778" s="56"/>
    </row>
    <row r="779" spans="1:3" x14ac:dyDescent="0.2">
      <c r="A779" s="32"/>
      <c r="C779" s="56"/>
    </row>
    <row r="780" spans="1:3" x14ac:dyDescent="0.2">
      <c r="A780" s="32"/>
      <c r="C780" s="56"/>
    </row>
    <row r="781" spans="1:3" x14ac:dyDescent="0.2">
      <c r="A781" s="32"/>
      <c r="C781" s="56"/>
    </row>
    <row r="782" spans="1:3" x14ac:dyDescent="0.2">
      <c r="A782" s="32"/>
      <c r="C782" s="56"/>
    </row>
    <row r="783" spans="1:3" x14ac:dyDescent="0.2">
      <c r="A783" s="32"/>
      <c r="C783" s="56"/>
    </row>
    <row r="784" spans="1:3" x14ac:dyDescent="0.2">
      <c r="A784" s="32"/>
      <c r="C784" s="56"/>
    </row>
    <row r="785" spans="1:3" x14ac:dyDescent="0.2">
      <c r="A785" s="32"/>
      <c r="C785" s="56"/>
    </row>
    <row r="786" spans="1:3" x14ac:dyDescent="0.2">
      <c r="A786" s="32"/>
      <c r="C786" s="56"/>
    </row>
    <row r="787" spans="1:3" x14ac:dyDescent="0.2">
      <c r="A787" s="32"/>
      <c r="C787" s="56"/>
    </row>
    <row r="788" spans="1:3" x14ac:dyDescent="0.2">
      <c r="A788" s="32"/>
      <c r="C788" s="56"/>
    </row>
    <row r="789" spans="1:3" x14ac:dyDescent="0.2">
      <c r="A789" s="32"/>
      <c r="C789" s="56"/>
    </row>
    <row r="790" spans="1:3" x14ac:dyDescent="0.2">
      <c r="A790" s="32"/>
      <c r="C790" s="56"/>
    </row>
    <row r="791" spans="1:3" x14ac:dyDescent="0.2">
      <c r="A791" s="32"/>
      <c r="C791" s="56"/>
    </row>
    <row r="792" spans="1:3" x14ac:dyDescent="0.2">
      <c r="A792" s="32"/>
      <c r="C792" s="56"/>
    </row>
    <row r="793" spans="1:3" x14ac:dyDescent="0.2">
      <c r="A793" s="32"/>
      <c r="C793" s="56"/>
    </row>
    <row r="794" spans="1:3" x14ac:dyDescent="0.2">
      <c r="A794" s="32"/>
      <c r="C794" s="56"/>
    </row>
    <row r="795" spans="1:3" x14ac:dyDescent="0.2">
      <c r="A795" s="32"/>
      <c r="C795" s="56"/>
    </row>
    <row r="796" spans="1:3" x14ac:dyDescent="0.2">
      <c r="A796" s="32"/>
      <c r="C796" s="56"/>
    </row>
    <row r="797" spans="1:3" x14ac:dyDescent="0.2">
      <c r="A797" s="32"/>
      <c r="C797" s="56"/>
    </row>
    <row r="798" spans="1:3" x14ac:dyDescent="0.2">
      <c r="A798" s="32"/>
      <c r="C798" s="56"/>
    </row>
    <row r="799" spans="1:3" x14ac:dyDescent="0.2">
      <c r="A799" s="32"/>
      <c r="C799" s="56"/>
    </row>
    <row r="800" spans="1:3" x14ac:dyDescent="0.2">
      <c r="A800" s="32"/>
      <c r="C800" s="56"/>
    </row>
    <row r="801" spans="1:3" x14ac:dyDescent="0.2">
      <c r="A801" s="32"/>
      <c r="C801" s="56"/>
    </row>
    <row r="802" spans="1:3" x14ac:dyDescent="0.2">
      <c r="A802" s="32"/>
      <c r="C802" s="56"/>
    </row>
    <row r="803" spans="1:3" x14ac:dyDescent="0.2">
      <c r="A803" s="32"/>
      <c r="C803" s="56"/>
    </row>
    <row r="804" spans="1:3" x14ac:dyDescent="0.2">
      <c r="A804" s="32"/>
      <c r="C804" s="56"/>
    </row>
    <row r="805" spans="1:3" x14ac:dyDescent="0.2">
      <c r="A805" s="32"/>
      <c r="C805" s="56"/>
    </row>
    <row r="806" spans="1:3" x14ac:dyDescent="0.2">
      <c r="A806" s="32"/>
      <c r="C806" s="56"/>
    </row>
    <row r="807" spans="1:3" x14ac:dyDescent="0.2">
      <c r="A807" s="32"/>
      <c r="C807" s="56"/>
    </row>
    <row r="808" spans="1:3" x14ac:dyDescent="0.2">
      <c r="A808" s="32"/>
      <c r="C808" s="56"/>
    </row>
    <row r="809" spans="1:3" x14ac:dyDescent="0.2">
      <c r="A809" s="32"/>
      <c r="C809" s="56"/>
    </row>
    <row r="810" spans="1:3" x14ac:dyDescent="0.2">
      <c r="A810" s="32"/>
      <c r="C810" s="56"/>
    </row>
    <row r="811" spans="1:3" x14ac:dyDescent="0.2">
      <c r="A811" s="32"/>
      <c r="C811" s="56"/>
    </row>
    <row r="812" spans="1:3" x14ac:dyDescent="0.2">
      <c r="A812" s="32"/>
      <c r="C812" s="56"/>
    </row>
    <row r="813" spans="1:3" x14ac:dyDescent="0.2">
      <c r="A813" s="32"/>
      <c r="C813" s="56"/>
    </row>
    <row r="814" spans="1:3" x14ac:dyDescent="0.2">
      <c r="A814" s="32"/>
      <c r="C814" s="56"/>
    </row>
    <row r="815" spans="1:3" x14ac:dyDescent="0.2">
      <c r="A815" s="32"/>
      <c r="C815" s="56"/>
    </row>
    <row r="816" spans="1:3" x14ac:dyDescent="0.2">
      <c r="A816" s="32"/>
      <c r="C816" s="56"/>
    </row>
    <row r="817" spans="1:3" x14ac:dyDescent="0.2">
      <c r="A817" s="32"/>
      <c r="C817" s="56"/>
    </row>
    <row r="818" spans="1:3" x14ac:dyDescent="0.2">
      <c r="A818" s="32"/>
      <c r="C818" s="56"/>
    </row>
    <row r="819" spans="1:3" x14ac:dyDescent="0.2">
      <c r="A819" s="32"/>
      <c r="C819" s="56"/>
    </row>
    <row r="820" spans="1:3" x14ac:dyDescent="0.2">
      <c r="A820" s="32"/>
      <c r="C820" s="56"/>
    </row>
    <row r="821" spans="1:3" x14ac:dyDescent="0.2">
      <c r="A821" s="32"/>
      <c r="C821" s="56"/>
    </row>
    <row r="822" spans="1:3" x14ac:dyDescent="0.2">
      <c r="A822" s="32"/>
      <c r="C822" s="56"/>
    </row>
    <row r="823" spans="1:3" x14ac:dyDescent="0.2">
      <c r="A823" s="32"/>
      <c r="C823" s="56"/>
    </row>
    <row r="824" spans="1:3" x14ac:dyDescent="0.2">
      <c r="A824" s="32"/>
      <c r="C824" s="56"/>
    </row>
    <row r="825" spans="1:3" x14ac:dyDescent="0.2">
      <c r="A825" s="32"/>
      <c r="C825" s="56"/>
    </row>
    <row r="826" spans="1:3" x14ac:dyDescent="0.2">
      <c r="A826" s="32"/>
      <c r="C826" s="56"/>
    </row>
    <row r="827" spans="1:3" x14ac:dyDescent="0.2">
      <c r="A827" s="32"/>
      <c r="C827" s="56"/>
    </row>
    <row r="828" spans="1:3" x14ac:dyDescent="0.2">
      <c r="A828" s="32"/>
      <c r="C828" s="56"/>
    </row>
    <row r="829" spans="1:3" x14ac:dyDescent="0.2">
      <c r="A829" s="32"/>
      <c r="C829" s="56"/>
    </row>
    <row r="830" spans="1:3" x14ac:dyDescent="0.2">
      <c r="A830" s="32"/>
      <c r="C830" s="56"/>
    </row>
    <row r="831" spans="1:3" x14ac:dyDescent="0.2">
      <c r="A831" s="32"/>
      <c r="C831" s="56"/>
    </row>
    <row r="832" spans="1:3" x14ac:dyDescent="0.2">
      <c r="A832" s="32"/>
      <c r="C832" s="56"/>
    </row>
    <row r="833" spans="1:3" x14ac:dyDescent="0.2">
      <c r="A833" s="32"/>
      <c r="C833" s="56"/>
    </row>
    <row r="834" spans="1:3" x14ac:dyDescent="0.2">
      <c r="A834" s="32"/>
      <c r="C834" s="56"/>
    </row>
    <row r="835" spans="1:3" x14ac:dyDescent="0.2">
      <c r="A835" s="32"/>
      <c r="C835" s="56"/>
    </row>
    <row r="836" spans="1:3" x14ac:dyDescent="0.2">
      <c r="A836" s="32"/>
      <c r="C836" s="56"/>
    </row>
    <row r="837" spans="1:3" x14ac:dyDescent="0.2">
      <c r="A837" s="32"/>
      <c r="C837" s="56"/>
    </row>
    <row r="838" spans="1:3" x14ac:dyDescent="0.2">
      <c r="A838" s="32"/>
      <c r="C838" s="56"/>
    </row>
    <row r="839" spans="1:3" x14ac:dyDescent="0.2">
      <c r="A839" s="32"/>
      <c r="C839" s="56"/>
    </row>
    <row r="840" spans="1:3" x14ac:dyDescent="0.2">
      <c r="A840" s="32"/>
      <c r="C840" s="56"/>
    </row>
    <row r="841" spans="1:3" x14ac:dyDescent="0.2">
      <c r="A841" s="32"/>
      <c r="C841" s="56"/>
    </row>
    <row r="842" spans="1:3" x14ac:dyDescent="0.2">
      <c r="A842" s="32"/>
      <c r="C842" s="56"/>
    </row>
    <row r="843" spans="1:3" x14ac:dyDescent="0.2">
      <c r="A843" s="32"/>
      <c r="C843" s="56"/>
    </row>
    <row r="844" spans="1:3" x14ac:dyDescent="0.2">
      <c r="A844" s="32"/>
      <c r="C844" s="56"/>
    </row>
    <row r="845" spans="1:3" x14ac:dyDescent="0.2">
      <c r="A845" s="32"/>
      <c r="C845" s="56"/>
    </row>
    <row r="846" spans="1:3" x14ac:dyDescent="0.2">
      <c r="A846" s="32"/>
      <c r="C846" s="56"/>
    </row>
    <row r="847" spans="1:3" x14ac:dyDescent="0.2">
      <c r="A847" s="32"/>
      <c r="C847" s="56"/>
    </row>
    <row r="848" spans="1:3" x14ac:dyDescent="0.2">
      <c r="A848" s="32"/>
      <c r="C848" s="56"/>
    </row>
    <row r="849" spans="1:3" x14ac:dyDescent="0.2">
      <c r="A849" s="32"/>
      <c r="C849" s="56"/>
    </row>
    <row r="850" spans="1:3" x14ac:dyDescent="0.2">
      <c r="A850" s="32"/>
      <c r="C850" s="56"/>
    </row>
    <row r="851" spans="1:3" x14ac:dyDescent="0.2">
      <c r="A851" s="32"/>
      <c r="C851" s="56"/>
    </row>
    <row r="852" spans="1:3" x14ac:dyDescent="0.2">
      <c r="A852" s="32"/>
      <c r="C852" s="56"/>
    </row>
    <row r="853" spans="1:3" x14ac:dyDescent="0.2">
      <c r="A853" s="32"/>
      <c r="C853" s="56"/>
    </row>
    <row r="854" spans="1:3" x14ac:dyDescent="0.2">
      <c r="A854" s="32"/>
      <c r="C854" s="56"/>
    </row>
    <row r="855" spans="1:3" x14ac:dyDescent="0.2">
      <c r="A855" s="32"/>
      <c r="C855" s="56"/>
    </row>
    <row r="856" spans="1:3" x14ac:dyDescent="0.2">
      <c r="A856" s="32"/>
      <c r="C856" s="56"/>
    </row>
    <row r="857" spans="1:3" x14ac:dyDescent="0.2">
      <c r="A857" s="32"/>
      <c r="C857" s="56"/>
    </row>
    <row r="858" spans="1:3" x14ac:dyDescent="0.2">
      <c r="A858" s="32"/>
      <c r="C858" s="56"/>
    </row>
    <row r="859" spans="1:3" x14ac:dyDescent="0.2">
      <c r="A859" s="32"/>
      <c r="C859" s="56"/>
    </row>
    <row r="860" spans="1:3" x14ac:dyDescent="0.2">
      <c r="A860" s="32"/>
      <c r="C860" s="56"/>
    </row>
    <row r="861" spans="1:3" x14ac:dyDescent="0.2">
      <c r="A861" s="32"/>
      <c r="C861" s="56"/>
    </row>
    <row r="862" spans="1:3" x14ac:dyDescent="0.2">
      <c r="A862" s="32"/>
      <c r="C862" s="56"/>
    </row>
    <row r="863" spans="1:3" x14ac:dyDescent="0.2">
      <c r="A863" s="32"/>
      <c r="C863" s="56"/>
    </row>
    <row r="864" spans="1:3" x14ac:dyDescent="0.2">
      <c r="A864" s="32"/>
      <c r="C864" s="56"/>
    </row>
    <row r="865" spans="1:3" x14ac:dyDescent="0.2">
      <c r="A865" s="32"/>
      <c r="C865" s="56"/>
    </row>
    <row r="866" spans="1:3" x14ac:dyDescent="0.2">
      <c r="A866" s="32"/>
      <c r="C866" s="56"/>
    </row>
    <row r="867" spans="1:3" x14ac:dyDescent="0.2">
      <c r="A867" s="32"/>
      <c r="C867" s="56"/>
    </row>
    <row r="868" spans="1:3" x14ac:dyDescent="0.2">
      <c r="A868" s="32"/>
      <c r="C868" s="56"/>
    </row>
    <row r="869" spans="1:3" x14ac:dyDescent="0.2">
      <c r="A869" s="32"/>
      <c r="C869" s="56"/>
    </row>
    <row r="870" spans="1:3" x14ac:dyDescent="0.2">
      <c r="A870" s="32"/>
      <c r="C870" s="56"/>
    </row>
    <row r="871" spans="1:3" x14ac:dyDescent="0.2">
      <c r="A871" s="32"/>
      <c r="C871" s="56"/>
    </row>
    <row r="872" spans="1:3" x14ac:dyDescent="0.2">
      <c r="A872" s="32"/>
      <c r="C872" s="56"/>
    </row>
    <row r="873" spans="1:3" x14ac:dyDescent="0.2">
      <c r="A873" s="32"/>
      <c r="C873" s="56"/>
    </row>
    <row r="874" spans="1:3" x14ac:dyDescent="0.2">
      <c r="A874" s="32"/>
      <c r="C874" s="56"/>
    </row>
    <row r="875" spans="1:3" x14ac:dyDescent="0.2">
      <c r="A875" s="32"/>
      <c r="C875" s="56"/>
    </row>
    <row r="876" spans="1:3" x14ac:dyDescent="0.2">
      <c r="A876" s="32"/>
      <c r="C876" s="56"/>
    </row>
    <row r="877" spans="1:3" x14ac:dyDescent="0.2">
      <c r="A877" s="32"/>
      <c r="C877" s="56"/>
    </row>
    <row r="878" spans="1:3" x14ac:dyDescent="0.2">
      <c r="A878" s="32"/>
      <c r="C878" s="56"/>
    </row>
    <row r="879" spans="1:3" x14ac:dyDescent="0.2">
      <c r="A879" s="32"/>
      <c r="C879" s="56"/>
    </row>
    <row r="880" spans="1:3" x14ac:dyDescent="0.2">
      <c r="A880" s="32"/>
      <c r="C880" s="56"/>
    </row>
    <row r="881" spans="1:3" x14ac:dyDescent="0.2">
      <c r="A881" s="32"/>
      <c r="C881" s="56"/>
    </row>
    <row r="882" spans="1:3" x14ac:dyDescent="0.2">
      <c r="A882" s="32"/>
      <c r="C882" s="56"/>
    </row>
    <row r="883" spans="1:3" x14ac:dyDescent="0.2">
      <c r="A883" s="32"/>
      <c r="C883" s="56"/>
    </row>
    <row r="884" spans="1:3" x14ac:dyDescent="0.2">
      <c r="A884" s="32"/>
      <c r="C884" s="56"/>
    </row>
    <row r="885" spans="1:3" x14ac:dyDescent="0.2">
      <c r="A885" s="32"/>
      <c r="C885" s="56"/>
    </row>
    <row r="886" spans="1:3" x14ac:dyDescent="0.2">
      <c r="A886" s="32"/>
      <c r="C886" s="56"/>
    </row>
    <row r="887" spans="1:3" x14ac:dyDescent="0.2">
      <c r="A887" s="32"/>
      <c r="C887" s="56"/>
    </row>
    <row r="888" spans="1:3" x14ac:dyDescent="0.2">
      <c r="A888" s="32"/>
      <c r="C888" s="56"/>
    </row>
    <row r="889" spans="1:3" x14ac:dyDescent="0.2">
      <c r="A889" s="32"/>
      <c r="C889" s="56"/>
    </row>
    <row r="890" spans="1:3" x14ac:dyDescent="0.2">
      <c r="A890" s="32"/>
      <c r="C890" s="56"/>
    </row>
    <row r="891" spans="1:3" x14ac:dyDescent="0.2">
      <c r="A891" s="32"/>
      <c r="C891" s="56"/>
    </row>
    <row r="892" spans="1:3" x14ac:dyDescent="0.2">
      <c r="A892" s="32"/>
      <c r="C892" s="56"/>
    </row>
    <row r="893" spans="1:3" x14ac:dyDescent="0.2">
      <c r="A893" s="32"/>
      <c r="C893" s="56"/>
    </row>
    <row r="894" spans="1:3" x14ac:dyDescent="0.2">
      <c r="A894" s="32"/>
      <c r="C894" s="56"/>
    </row>
    <row r="895" spans="1:3" x14ac:dyDescent="0.2">
      <c r="A895" s="32"/>
      <c r="C895" s="56"/>
    </row>
    <row r="896" spans="1:3" x14ac:dyDescent="0.2">
      <c r="A896" s="32"/>
      <c r="C896" s="56"/>
    </row>
    <row r="897" spans="1:3" x14ac:dyDescent="0.2">
      <c r="A897" s="32"/>
      <c r="C897" s="56"/>
    </row>
    <row r="898" spans="1:3" x14ac:dyDescent="0.2">
      <c r="A898" s="32"/>
      <c r="C898" s="56"/>
    </row>
    <row r="899" spans="1:3" x14ac:dyDescent="0.2">
      <c r="A899" s="32"/>
      <c r="C899" s="56"/>
    </row>
    <row r="900" spans="1:3" x14ac:dyDescent="0.2">
      <c r="A900" s="32"/>
      <c r="C900" s="56"/>
    </row>
    <row r="901" spans="1:3" x14ac:dyDescent="0.2">
      <c r="A901" s="32"/>
      <c r="C901" s="56"/>
    </row>
    <row r="902" spans="1:3" x14ac:dyDescent="0.2">
      <c r="A902" s="32"/>
      <c r="C902" s="56"/>
    </row>
    <row r="903" spans="1:3" x14ac:dyDescent="0.2">
      <c r="A903" s="32"/>
      <c r="C903" s="56"/>
    </row>
    <row r="904" spans="1:3" x14ac:dyDescent="0.2">
      <c r="A904" s="32"/>
      <c r="C904" s="56"/>
    </row>
    <row r="905" spans="1:3" x14ac:dyDescent="0.2">
      <c r="A905" s="32"/>
      <c r="C905" s="56"/>
    </row>
    <row r="906" spans="1:3" x14ac:dyDescent="0.2">
      <c r="A906" s="32"/>
      <c r="C906" s="56"/>
    </row>
    <row r="907" spans="1:3" x14ac:dyDescent="0.2">
      <c r="A907" s="32"/>
      <c r="C907" s="56"/>
    </row>
    <row r="908" spans="1:3" x14ac:dyDescent="0.2">
      <c r="A908" s="32"/>
      <c r="C908" s="56"/>
    </row>
    <row r="909" spans="1:3" x14ac:dyDescent="0.2">
      <c r="A909" s="32"/>
      <c r="C909" s="56"/>
    </row>
    <row r="910" spans="1:3" x14ac:dyDescent="0.2">
      <c r="A910" s="32"/>
      <c r="C910" s="56"/>
    </row>
    <row r="911" spans="1:3" x14ac:dyDescent="0.2">
      <c r="A911" s="32"/>
      <c r="C911" s="56"/>
    </row>
    <row r="912" spans="1:3" x14ac:dyDescent="0.2">
      <c r="A912" s="32"/>
      <c r="C912" s="56"/>
    </row>
    <row r="913" spans="1:3" x14ac:dyDescent="0.2">
      <c r="A913" s="32"/>
      <c r="C913" s="56"/>
    </row>
    <row r="914" spans="1:3" x14ac:dyDescent="0.2">
      <c r="A914" s="32"/>
      <c r="C914" s="56"/>
    </row>
    <row r="915" spans="1:3" x14ac:dyDescent="0.2">
      <c r="A915" s="32"/>
      <c r="C915" s="56"/>
    </row>
    <row r="916" spans="1:3" x14ac:dyDescent="0.2">
      <c r="A916" s="32"/>
      <c r="C916" s="56"/>
    </row>
    <row r="917" spans="1:3" x14ac:dyDescent="0.2">
      <c r="A917" s="32"/>
      <c r="C917" s="56"/>
    </row>
    <row r="918" spans="1:3" x14ac:dyDescent="0.2">
      <c r="A918" s="32"/>
      <c r="C918" s="56"/>
    </row>
    <row r="919" spans="1:3" x14ac:dyDescent="0.2">
      <c r="A919" s="32"/>
      <c r="C919" s="56"/>
    </row>
    <row r="920" spans="1:3" x14ac:dyDescent="0.2">
      <c r="A920" s="32"/>
      <c r="C920" s="56"/>
    </row>
    <row r="921" spans="1:3" x14ac:dyDescent="0.2">
      <c r="A921" s="32"/>
      <c r="C921" s="56"/>
    </row>
    <row r="922" spans="1:3" x14ac:dyDescent="0.2">
      <c r="A922" s="32"/>
      <c r="C922" s="56"/>
    </row>
    <row r="923" spans="1:3" x14ac:dyDescent="0.2">
      <c r="A923" s="32"/>
      <c r="C923" s="56"/>
    </row>
    <row r="924" spans="1:3" x14ac:dyDescent="0.2">
      <c r="A924" s="32"/>
      <c r="C924" s="56"/>
    </row>
    <row r="925" spans="1:3" x14ac:dyDescent="0.2">
      <c r="A925" s="32"/>
      <c r="C925" s="56"/>
    </row>
    <row r="926" spans="1:3" x14ac:dyDescent="0.2">
      <c r="A926" s="32"/>
      <c r="C926" s="56"/>
    </row>
    <row r="927" spans="1:3" x14ac:dyDescent="0.2">
      <c r="A927" s="32"/>
      <c r="C927" s="56"/>
    </row>
    <row r="928" spans="1:3" x14ac:dyDescent="0.2">
      <c r="A928" s="32"/>
      <c r="C928" s="56"/>
    </row>
    <row r="929" spans="1:3" x14ac:dyDescent="0.2">
      <c r="A929" s="32"/>
      <c r="C929" s="56"/>
    </row>
    <row r="930" spans="1:3" x14ac:dyDescent="0.2">
      <c r="A930" s="32"/>
      <c r="C930" s="56"/>
    </row>
    <row r="931" spans="1:3" x14ac:dyDescent="0.2">
      <c r="A931" s="32"/>
      <c r="C931" s="56"/>
    </row>
    <row r="932" spans="1:3" x14ac:dyDescent="0.2">
      <c r="A932" s="32"/>
      <c r="C932" s="56"/>
    </row>
    <row r="933" spans="1:3" x14ac:dyDescent="0.2">
      <c r="A933" s="32"/>
      <c r="C933" s="56"/>
    </row>
    <row r="934" spans="1:3" x14ac:dyDescent="0.2">
      <c r="A934" s="32"/>
      <c r="C934" s="56"/>
    </row>
    <row r="935" spans="1:3" x14ac:dyDescent="0.2">
      <c r="A935" s="32"/>
      <c r="C935" s="56"/>
    </row>
    <row r="936" spans="1:3" x14ac:dyDescent="0.2">
      <c r="A936" s="32"/>
      <c r="C936" s="56"/>
    </row>
    <row r="937" spans="1:3" x14ac:dyDescent="0.2">
      <c r="A937" s="32"/>
      <c r="C937" s="56"/>
    </row>
    <row r="938" spans="1:3" x14ac:dyDescent="0.2">
      <c r="A938" s="32"/>
      <c r="C938" s="56"/>
    </row>
    <row r="939" spans="1:3" x14ac:dyDescent="0.2">
      <c r="A939" s="32"/>
      <c r="C939" s="56"/>
    </row>
    <row r="940" spans="1:3" x14ac:dyDescent="0.2">
      <c r="A940" s="32"/>
      <c r="C940" s="56"/>
    </row>
    <row r="941" spans="1:3" x14ac:dyDescent="0.2">
      <c r="A941" s="32"/>
      <c r="C941" s="56"/>
    </row>
    <row r="942" spans="1:3" x14ac:dyDescent="0.2">
      <c r="A942" s="32"/>
      <c r="C942" s="56"/>
    </row>
    <row r="943" spans="1:3" x14ac:dyDescent="0.2">
      <c r="A943" s="32"/>
      <c r="C943" s="56"/>
    </row>
    <row r="944" spans="1:3" x14ac:dyDescent="0.2">
      <c r="A944" s="32"/>
      <c r="C944" s="56"/>
    </row>
    <row r="945" spans="1:3" x14ac:dyDescent="0.2">
      <c r="A945" s="32"/>
      <c r="C945" s="56"/>
    </row>
    <row r="946" spans="1:3" x14ac:dyDescent="0.2">
      <c r="A946" s="32"/>
      <c r="C946" s="56"/>
    </row>
    <row r="947" spans="1:3" x14ac:dyDescent="0.2">
      <c r="A947" s="32"/>
      <c r="C947" s="56"/>
    </row>
    <row r="948" spans="1:3" x14ac:dyDescent="0.2">
      <c r="A948" s="32"/>
      <c r="C948" s="56"/>
    </row>
    <row r="949" spans="1:3" x14ac:dyDescent="0.2">
      <c r="A949" s="32"/>
      <c r="C949" s="56"/>
    </row>
    <row r="950" spans="1:3" x14ac:dyDescent="0.2">
      <c r="A950" s="32"/>
      <c r="C950" s="56"/>
    </row>
    <row r="951" spans="1:3" x14ac:dyDescent="0.2">
      <c r="A951" s="32"/>
      <c r="C951" s="56"/>
    </row>
    <row r="952" spans="1:3" x14ac:dyDescent="0.2">
      <c r="A952" s="32"/>
      <c r="C952" s="56"/>
    </row>
    <row r="953" spans="1:3" x14ac:dyDescent="0.2">
      <c r="A953" s="32"/>
      <c r="C953" s="56"/>
    </row>
    <row r="954" spans="1:3" x14ac:dyDescent="0.2">
      <c r="A954" s="32"/>
      <c r="C954" s="56"/>
    </row>
    <row r="955" spans="1:3" x14ac:dyDescent="0.2">
      <c r="A955" s="32"/>
      <c r="C955" s="56"/>
    </row>
    <row r="956" spans="1:3" x14ac:dyDescent="0.2">
      <c r="A956" s="32"/>
      <c r="C956" s="56"/>
    </row>
    <row r="957" spans="1:3" x14ac:dyDescent="0.2">
      <c r="A957" s="32"/>
      <c r="C957" s="56"/>
    </row>
    <row r="958" spans="1:3" x14ac:dyDescent="0.2">
      <c r="A958" s="32"/>
      <c r="C958" s="56"/>
    </row>
    <row r="959" spans="1:3" x14ac:dyDescent="0.2">
      <c r="A959" s="32"/>
      <c r="C959" s="56"/>
    </row>
    <row r="960" spans="1:3" x14ac:dyDescent="0.2">
      <c r="A960" s="32"/>
      <c r="C960" s="56"/>
    </row>
    <row r="961" spans="1:3" x14ac:dyDescent="0.2">
      <c r="A961" s="32"/>
      <c r="C961" s="56"/>
    </row>
    <row r="962" spans="1:3" x14ac:dyDescent="0.2">
      <c r="A962" s="32"/>
      <c r="C962" s="56"/>
    </row>
    <row r="963" spans="1:3" x14ac:dyDescent="0.2">
      <c r="A963" s="32"/>
      <c r="C963" s="56"/>
    </row>
    <row r="964" spans="1:3" x14ac:dyDescent="0.2">
      <c r="A964" s="32"/>
      <c r="C964" s="56"/>
    </row>
    <row r="965" spans="1:3" x14ac:dyDescent="0.2">
      <c r="A965" s="32"/>
      <c r="C965" s="56"/>
    </row>
    <row r="966" spans="1:3" x14ac:dyDescent="0.2">
      <c r="A966" s="32"/>
      <c r="C966" s="56"/>
    </row>
    <row r="967" spans="1:3" x14ac:dyDescent="0.2">
      <c r="A967" s="32"/>
      <c r="C967" s="56"/>
    </row>
    <row r="968" spans="1:3" x14ac:dyDescent="0.2">
      <c r="A968" s="32"/>
      <c r="C968" s="56"/>
    </row>
    <row r="969" spans="1:3" x14ac:dyDescent="0.2">
      <c r="A969" s="32"/>
      <c r="C969" s="56"/>
    </row>
    <row r="970" spans="1:3" x14ac:dyDescent="0.2">
      <c r="A970" s="32"/>
      <c r="C970" s="56"/>
    </row>
    <row r="971" spans="1:3" x14ac:dyDescent="0.2">
      <c r="A971" s="32"/>
      <c r="C971" s="56"/>
    </row>
    <row r="972" spans="1:3" x14ac:dyDescent="0.2">
      <c r="A972" s="32"/>
      <c r="C972" s="56"/>
    </row>
    <row r="973" spans="1:3" x14ac:dyDescent="0.2">
      <c r="A973" s="32"/>
      <c r="C973" s="56"/>
    </row>
    <row r="974" spans="1:3" x14ac:dyDescent="0.2">
      <c r="A974" s="32"/>
      <c r="C974" s="56"/>
    </row>
    <row r="975" spans="1:3" x14ac:dyDescent="0.2">
      <c r="A975" s="32"/>
      <c r="C975" s="56"/>
    </row>
    <row r="976" spans="1:3" x14ac:dyDescent="0.2">
      <c r="A976" s="32"/>
      <c r="C976" s="56"/>
    </row>
    <row r="977" spans="1:3" x14ac:dyDescent="0.2">
      <c r="A977" s="32"/>
      <c r="C977" s="56"/>
    </row>
    <row r="978" spans="1:3" x14ac:dyDescent="0.2">
      <c r="A978" s="32"/>
      <c r="C978" s="56"/>
    </row>
    <row r="979" spans="1:3" x14ac:dyDescent="0.2">
      <c r="A979" s="32"/>
      <c r="C979" s="56"/>
    </row>
    <row r="980" spans="1:3" x14ac:dyDescent="0.2">
      <c r="A980" s="32"/>
      <c r="C980" s="56"/>
    </row>
    <row r="981" spans="1:3" x14ac:dyDescent="0.2">
      <c r="A981" s="32"/>
      <c r="C981" s="56"/>
    </row>
    <row r="982" spans="1:3" x14ac:dyDescent="0.2">
      <c r="A982" s="32"/>
      <c r="C982" s="56"/>
    </row>
    <row r="983" spans="1:3" x14ac:dyDescent="0.2">
      <c r="A983" s="32"/>
      <c r="C983" s="56"/>
    </row>
    <row r="984" spans="1:3" x14ac:dyDescent="0.2">
      <c r="A984" s="32"/>
      <c r="C984" s="56"/>
    </row>
    <row r="985" spans="1:3" x14ac:dyDescent="0.2">
      <c r="A985" s="32"/>
      <c r="C985" s="56"/>
    </row>
    <row r="986" spans="1:3" x14ac:dyDescent="0.2">
      <c r="A986" s="32"/>
      <c r="C986" s="56"/>
    </row>
    <row r="987" spans="1:3" x14ac:dyDescent="0.2">
      <c r="A987" s="32"/>
      <c r="C987" s="56"/>
    </row>
    <row r="988" spans="1:3" x14ac:dyDescent="0.2">
      <c r="A988" s="32"/>
      <c r="C988" s="56"/>
    </row>
    <row r="989" spans="1:3" x14ac:dyDescent="0.2">
      <c r="A989" s="32"/>
      <c r="C989" s="56"/>
    </row>
    <row r="990" spans="1:3" x14ac:dyDescent="0.2">
      <c r="A990" s="32"/>
      <c r="C990" s="56"/>
    </row>
    <row r="991" spans="1:3" x14ac:dyDescent="0.2">
      <c r="A991" s="32"/>
      <c r="C991" s="56"/>
    </row>
    <row r="992" spans="1:3" x14ac:dyDescent="0.2">
      <c r="A992" s="32"/>
      <c r="C992" s="56"/>
    </row>
    <row r="993" spans="1:3" x14ac:dyDescent="0.2">
      <c r="A993" s="32"/>
      <c r="C993" s="56"/>
    </row>
    <row r="994" spans="1:3" x14ac:dyDescent="0.2">
      <c r="A994" s="32"/>
      <c r="C994" s="56"/>
    </row>
    <row r="995" spans="1:3" x14ac:dyDescent="0.2">
      <c r="A995" s="32"/>
      <c r="C995" s="56"/>
    </row>
    <row r="996" spans="1:3" x14ac:dyDescent="0.2">
      <c r="A996" s="32"/>
      <c r="C996" s="56"/>
    </row>
    <row r="997" spans="1:3" x14ac:dyDescent="0.2">
      <c r="A997" s="32"/>
      <c r="C997" s="56"/>
    </row>
    <row r="998" spans="1:3" x14ac:dyDescent="0.2">
      <c r="A998" s="32"/>
      <c r="C998" s="56"/>
    </row>
    <row r="999" spans="1:3" x14ac:dyDescent="0.2">
      <c r="A999" s="32"/>
      <c r="C999" s="56"/>
    </row>
    <row r="1000" spans="1:3" x14ac:dyDescent="0.2">
      <c r="A1000" s="32"/>
      <c r="C1000" s="56"/>
    </row>
    <row r="1001" spans="1:3" x14ac:dyDescent="0.2">
      <c r="A1001" s="32"/>
      <c r="C1001" s="56"/>
    </row>
    <row r="1002" spans="1:3" x14ac:dyDescent="0.2">
      <c r="A1002" s="32"/>
      <c r="C1002" s="56"/>
    </row>
    <row r="1003" spans="1:3" x14ac:dyDescent="0.2">
      <c r="A1003" s="32"/>
      <c r="C1003" s="56"/>
    </row>
    <row r="1004" spans="1:3" x14ac:dyDescent="0.2">
      <c r="A1004" s="32"/>
      <c r="C1004" s="56"/>
    </row>
    <row r="1005" spans="1:3" x14ac:dyDescent="0.2">
      <c r="A1005" s="32"/>
      <c r="C1005" s="56"/>
    </row>
    <row r="1006" spans="1:3" x14ac:dyDescent="0.2">
      <c r="A1006" s="32"/>
      <c r="C1006" s="56"/>
    </row>
    <row r="1007" spans="1:3" x14ac:dyDescent="0.2">
      <c r="A1007" s="32"/>
      <c r="C1007" s="56"/>
    </row>
    <row r="1008" spans="1:3" x14ac:dyDescent="0.2">
      <c r="A1008" s="32"/>
      <c r="C1008" s="56"/>
    </row>
    <row r="1009" spans="1:3" x14ac:dyDescent="0.2">
      <c r="A1009" s="32"/>
      <c r="C1009" s="56"/>
    </row>
    <row r="1010" spans="1:3" x14ac:dyDescent="0.2">
      <c r="A1010" s="32"/>
      <c r="C1010" s="56"/>
    </row>
    <row r="1011" spans="1:3" x14ac:dyDescent="0.2">
      <c r="A1011" s="32"/>
      <c r="C1011" s="56"/>
    </row>
    <row r="1012" spans="1:3" x14ac:dyDescent="0.2">
      <c r="A1012" s="32"/>
      <c r="C1012" s="56"/>
    </row>
    <row r="1013" spans="1:3" x14ac:dyDescent="0.2">
      <c r="A1013" s="32"/>
      <c r="C1013" s="56"/>
    </row>
    <row r="1014" spans="1:3" x14ac:dyDescent="0.2">
      <c r="A1014" s="32"/>
      <c r="C1014" s="56"/>
    </row>
    <row r="1015" spans="1:3" x14ac:dyDescent="0.2">
      <c r="A1015" s="32"/>
      <c r="C1015" s="56"/>
    </row>
    <row r="1016" spans="1:3" x14ac:dyDescent="0.2">
      <c r="A1016" s="32"/>
      <c r="C1016" s="56"/>
    </row>
    <row r="1017" spans="1:3" x14ac:dyDescent="0.2">
      <c r="A1017" s="32"/>
      <c r="C1017" s="56"/>
    </row>
    <row r="1018" spans="1:3" x14ac:dyDescent="0.2">
      <c r="A1018" s="32"/>
      <c r="C1018" s="56"/>
    </row>
    <row r="1019" spans="1:3" x14ac:dyDescent="0.2">
      <c r="A1019" s="32"/>
      <c r="C1019" s="56"/>
    </row>
    <row r="1020" spans="1:3" x14ac:dyDescent="0.2">
      <c r="A1020" s="32"/>
      <c r="C1020" s="56"/>
    </row>
    <row r="1021" spans="1:3" x14ac:dyDescent="0.2">
      <c r="A1021" s="32"/>
      <c r="C1021" s="56"/>
    </row>
    <row r="1022" spans="1:3" x14ac:dyDescent="0.2">
      <c r="A1022" s="32"/>
      <c r="C1022" s="56"/>
    </row>
    <row r="1023" spans="1:3" x14ac:dyDescent="0.2">
      <c r="A1023" s="32"/>
      <c r="C1023" s="56"/>
    </row>
    <row r="1024" spans="1:3" x14ac:dyDescent="0.2">
      <c r="A1024" s="32"/>
      <c r="C1024" s="56"/>
    </row>
    <row r="1025" spans="1:3" x14ac:dyDescent="0.2">
      <c r="A1025" s="32"/>
      <c r="C1025" s="56"/>
    </row>
    <row r="1026" spans="1:3" x14ac:dyDescent="0.2">
      <c r="A1026" s="32"/>
      <c r="C1026" s="56"/>
    </row>
    <row r="1027" spans="1:3" x14ac:dyDescent="0.2">
      <c r="A1027" s="32"/>
      <c r="C1027" s="56"/>
    </row>
    <row r="1028" spans="1:3" x14ac:dyDescent="0.2">
      <c r="A1028" s="32"/>
      <c r="C1028" s="56"/>
    </row>
    <row r="1029" spans="1:3" x14ac:dyDescent="0.2">
      <c r="A1029" s="32"/>
      <c r="C1029" s="56"/>
    </row>
    <row r="1030" spans="1:3" x14ac:dyDescent="0.2">
      <c r="A1030" s="32"/>
      <c r="C1030" s="56"/>
    </row>
    <row r="1031" spans="1:3" x14ac:dyDescent="0.2">
      <c r="A1031" s="32"/>
      <c r="C1031" s="56"/>
    </row>
    <row r="1032" spans="1:3" x14ac:dyDescent="0.2">
      <c r="A1032" s="32"/>
      <c r="C1032" s="56"/>
    </row>
    <row r="1033" spans="1:3" x14ac:dyDescent="0.2">
      <c r="A1033" s="32"/>
      <c r="C1033" s="56"/>
    </row>
    <row r="1034" spans="1:3" x14ac:dyDescent="0.2">
      <c r="A1034" s="32"/>
      <c r="C1034" s="56"/>
    </row>
    <row r="1035" spans="1:3" x14ac:dyDescent="0.2">
      <c r="A1035" s="32"/>
      <c r="C1035" s="56"/>
    </row>
    <row r="1036" spans="1:3" x14ac:dyDescent="0.2">
      <c r="A1036" s="32"/>
      <c r="C1036" s="56"/>
    </row>
    <row r="1037" spans="1:3" x14ac:dyDescent="0.2">
      <c r="A1037" s="32"/>
      <c r="C1037" s="56"/>
    </row>
    <row r="1038" spans="1:3" x14ac:dyDescent="0.2">
      <c r="A1038" s="32"/>
      <c r="C1038" s="56"/>
    </row>
    <row r="1039" spans="1:3" x14ac:dyDescent="0.2">
      <c r="A1039" s="32"/>
      <c r="C1039" s="56"/>
    </row>
    <row r="1040" spans="1:3" x14ac:dyDescent="0.2">
      <c r="A1040" s="32"/>
      <c r="C1040" s="56"/>
    </row>
    <row r="1041" spans="1:3" x14ac:dyDescent="0.2">
      <c r="A1041" s="32"/>
      <c r="C1041" s="56"/>
    </row>
    <row r="1042" spans="1:3" x14ac:dyDescent="0.2">
      <c r="A1042" s="32"/>
      <c r="C1042" s="56"/>
    </row>
    <row r="1043" spans="1:3" x14ac:dyDescent="0.2">
      <c r="A1043" s="32"/>
      <c r="C1043" s="5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D28"/>
  <sheetViews>
    <sheetView showGridLines="0" workbookViewId="0"/>
  </sheetViews>
  <sheetFormatPr baseColWidth="10" defaultColWidth="14.3984375" defaultRowHeight="15.75" customHeight="1" x14ac:dyDescent="0.2"/>
  <cols>
    <col min="1" max="1" width="61.3984375" customWidth="1"/>
    <col min="2" max="3" width="8.59765625" customWidth="1"/>
    <col min="4" max="4" width="11.3984375" customWidth="1"/>
  </cols>
  <sheetData>
    <row r="1" spans="1:4" x14ac:dyDescent="0.2">
      <c r="A1" s="70" t="s">
        <v>705</v>
      </c>
      <c r="B1" s="71" t="s">
        <v>625</v>
      </c>
      <c r="C1" s="71"/>
      <c r="D1" s="72" t="s">
        <v>706</v>
      </c>
    </row>
    <row r="2" spans="1:4" x14ac:dyDescent="0.2">
      <c r="A2" s="43" t="s">
        <v>707</v>
      </c>
      <c r="B2" s="73">
        <v>80</v>
      </c>
      <c r="C2" s="73">
        <f t="shared" ref="C2:C11" si="0">B2-(B2*0.2)</f>
        <v>64</v>
      </c>
      <c r="D2" s="74">
        <v>11</v>
      </c>
    </row>
    <row r="3" spans="1:4" x14ac:dyDescent="0.2">
      <c r="A3" s="43" t="s">
        <v>708</v>
      </c>
      <c r="B3" s="73">
        <v>50</v>
      </c>
      <c r="C3" s="73">
        <f t="shared" si="0"/>
        <v>40</v>
      </c>
      <c r="D3" s="74">
        <v>7</v>
      </c>
    </row>
    <row r="4" spans="1:4" x14ac:dyDescent="0.2">
      <c r="A4" s="43" t="s">
        <v>709</v>
      </c>
      <c r="B4" s="73">
        <v>45</v>
      </c>
      <c r="C4" s="73">
        <f t="shared" si="0"/>
        <v>36</v>
      </c>
      <c r="D4" s="74">
        <v>6</v>
      </c>
    </row>
    <row r="5" spans="1:4" x14ac:dyDescent="0.2">
      <c r="A5" s="43" t="s">
        <v>710</v>
      </c>
      <c r="B5" s="73">
        <v>45</v>
      </c>
      <c r="C5" s="73">
        <f t="shared" si="0"/>
        <v>36</v>
      </c>
      <c r="D5" s="74">
        <v>6</v>
      </c>
    </row>
    <row r="6" spans="1:4" x14ac:dyDescent="0.2">
      <c r="A6" s="43" t="s">
        <v>711</v>
      </c>
      <c r="B6" s="73">
        <v>42</v>
      </c>
      <c r="C6" s="73">
        <f t="shared" si="0"/>
        <v>33.6</v>
      </c>
      <c r="D6" s="74">
        <v>6</v>
      </c>
    </row>
    <row r="7" spans="1:4" x14ac:dyDescent="0.2">
      <c r="A7" s="43" t="s">
        <v>712</v>
      </c>
      <c r="B7" s="73">
        <v>57</v>
      </c>
      <c r="C7" s="73">
        <f t="shared" si="0"/>
        <v>45.6</v>
      </c>
      <c r="D7" s="74">
        <v>8</v>
      </c>
    </row>
    <row r="8" spans="1:4" x14ac:dyDescent="0.2">
      <c r="A8" s="43" t="s">
        <v>711</v>
      </c>
      <c r="B8" s="73">
        <v>42</v>
      </c>
      <c r="C8" s="73">
        <f t="shared" si="0"/>
        <v>33.6</v>
      </c>
      <c r="D8" s="74">
        <v>6</v>
      </c>
    </row>
    <row r="9" spans="1:4" x14ac:dyDescent="0.2">
      <c r="A9" s="43" t="s">
        <v>713</v>
      </c>
      <c r="B9" s="73">
        <v>45</v>
      </c>
      <c r="C9" s="73">
        <f t="shared" si="0"/>
        <v>36</v>
      </c>
      <c r="D9" s="74">
        <v>6</v>
      </c>
    </row>
    <row r="10" spans="1:4" x14ac:dyDescent="0.2">
      <c r="A10" s="43" t="s">
        <v>714</v>
      </c>
      <c r="B10" s="73">
        <v>55</v>
      </c>
      <c r="C10" s="73">
        <f t="shared" si="0"/>
        <v>44</v>
      </c>
      <c r="D10" s="74">
        <v>8</v>
      </c>
    </row>
    <row r="11" spans="1:4" x14ac:dyDescent="0.2">
      <c r="A11" s="43" t="s">
        <v>715</v>
      </c>
      <c r="B11" s="73">
        <v>49</v>
      </c>
      <c r="C11" s="73">
        <f t="shared" si="0"/>
        <v>39.200000000000003</v>
      </c>
      <c r="D11" s="74">
        <v>7</v>
      </c>
    </row>
    <row r="12" spans="1:4" x14ac:dyDescent="0.2">
      <c r="A12" s="43" t="s">
        <v>716</v>
      </c>
      <c r="B12" s="73">
        <v>45</v>
      </c>
      <c r="C12" s="73" t="s">
        <v>75</v>
      </c>
      <c r="D12" s="74">
        <v>8</v>
      </c>
    </row>
    <row r="13" spans="1:4" x14ac:dyDescent="0.2">
      <c r="A13" s="43" t="s">
        <v>717</v>
      </c>
      <c r="B13" s="73">
        <v>85</v>
      </c>
      <c r="C13" s="73">
        <f t="shared" ref="C13:C19" si="1">B13-(B13*0.2)</f>
        <v>68</v>
      </c>
      <c r="D13" s="74">
        <v>12</v>
      </c>
    </row>
    <row r="14" spans="1:4" x14ac:dyDescent="0.2">
      <c r="A14" s="43" t="s">
        <v>718</v>
      </c>
      <c r="B14" s="73">
        <v>60</v>
      </c>
      <c r="C14" s="73">
        <f t="shared" si="1"/>
        <v>48</v>
      </c>
      <c r="D14" s="74">
        <v>8</v>
      </c>
    </row>
    <row r="15" spans="1:4" x14ac:dyDescent="0.2">
      <c r="A15" s="43" t="s">
        <v>719</v>
      </c>
      <c r="B15" s="73">
        <v>37</v>
      </c>
      <c r="C15" s="73">
        <f t="shared" si="1"/>
        <v>29.6</v>
      </c>
      <c r="D15" s="74">
        <v>5</v>
      </c>
    </row>
    <row r="16" spans="1:4" x14ac:dyDescent="0.2">
      <c r="A16" s="43" t="s">
        <v>720</v>
      </c>
      <c r="B16" s="73">
        <v>18.5</v>
      </c>
      <c r="C16" s="73">
        <f t="shared" si="1"/>
        <v>14.8</v>
      </c>
      <c r="D16" s="74">
        <v>3</v>
      </c>
    </row>
    <row r="17" spans="1:4" x14ac:dyDescent="0.2">
      <c r="A17" s="43" t="s">
        <v>721</v>
      </c>
      <c r="B17" s="73">
        <v>16.5</v>
      </c>
      <c r="C17" s="73">
        <f t="shared" si="1"/>
        <v>13.2</v>
      </c>
      <c r="D17" s="74">
        <v>3</v>
      </c>
    </row>
    <row r="18" spans="1:4" x14ac:dyDescent="0.2">
      <c r="A18" s="43" t="s">
        <v>722</v>
      </c>
      <c r="B18" s="73">
        <v>25</v>
      </c>
      <c r="C18" s="73">
        <f t="shared" si="1"/>
        <v>20</v>
      </c>
      <c r="D18" s="74">
        <v>4</v>
      </c>
    </row>
    <row r="19" spans="1:4" x14ac:dyDescent="0.2">
      <c r="A19" s="43" t="s">
        <v>723</v>
      </c>
      <c r="B19" s="73">
        <v>45</v>
      </c>
      <c r="C19" s="73">
        <f t="shared" si="1"/>
        <v>36</v>
      </c>
      <c r="D19" s="74">
        <v>6</v>
      </c>
    </row>
    <row r="20" spans="1:4" x14ac:dyDescent="0.2">
      <c r="A20" s="43" t="s">
        <v>724</v>
      </c>
      <c r="B20" s="73">
        <v>35</v>
      </c>
      <c r="C20" s="73" t="s">
        <v>75</v>
      </c>
      <c r="D20" s="74">
        <v>6</v>
      </c>
    </row>
    <row r="21" spans="1:4" x14ac:dyDescent="0.2">
      <c r="A21" s="43" t="s">
        <v>725</v>
      </c>
      <c r="B21" s="73">
        <v>60</v>
      </c>
      <c r="C21" s="73">
        <f>B21-(B21*0.2)</f>
        <v>48</v>
      </c>
      <c r="D21" s="74">
        <v>8</v>
      </c>
    </row>
    <row r="22" spans="1:4" x14ac:dyDescent="0.2">
      <c r="A22" s="43" t="s">
        <v>726</v>
      </c>
      <c r="B22" s="73">
        <v>50</v>
      </c>
      <c r="C22" s="73">
        <v>25</v>
      </c>
      <c r="D22" s="74">
        <v>5</v>
      </c>
    </row>
    <row r="23" spans="1:4" x14ac:dyDescent="0.2">
      <c r="A23" s="43" t="s">
        <v>727</v>
      </c>
      <c r="B23" s="73">
        <v>40</v>
      </c>
      <c r="C23" s="73">
        <f t="shared" ref="C23:C28" si="2">B23-(B23*0.2)</f>
        <v>32</v>
      </c>
      <c r="D23" s="74">
        <v>6</v>
      </c>
    </row>
    <row r="24" spans="1:4" x14ac:dyDescent="0.2">
      <c r="A24" s="43" t="s">
        <v>728</v>
      </c>
      <c r="B24" s="73">
        <v>48</v>
      </c>
      <c r="C24" s="73">
        <f t="shared" si="2"/>
        <v>38.4</v>
      </c>
      <c r="D24" s="74">
        <v>7</v>
      </c>
    </row>
    <row r="25" spans="1:4" x14ac:dyDescent="0.2">
      <c r="A25" s="43" t="s">
        <v>729</v>
      </c>
      <c r="B25" s="73">
        <v>75</v>
      </c>
      <c r="C25" s="73">
        <f t="shared" si="2"/>
        <v>60</v>
      </c>
      <c r="D25" s="74">
        <v>10</v>
      </c>
    </row>
    <row r="26" spans="1:4" x14ac:dyDescent="0.2">
      <c r="A26" s="43" t="s">
        <v>730</v>
      </c>
      <c r="B26" s="73">
        <v>40</v>
      </c>
      <c r="C26" s="73">
        <f t="shared" si="2"/>
        <v>32</v>
      </c>
      <c r="D26" s="74">
        <v>6</v>
      </c>
    </row>
    <row r="27" spans="1:4" x14ac:dyDescent="0.2">
      <c r="A27" s="43" t="s">
        <v>731</v>
      </c>
      <c r="B27" s="73">
        <v>50</v>
      </c>
      <c r="C27" s="73">
        <f t="shared" si="2"/>
        <v>40</v>
      </c>
      <c r="D27" s="74">
        <v>7</v>
      </c>
    </row>
    <row r="28" spans="1:4" x14ac:dyDescent="0.2">
      <c r="A28" s="43" t="s">
        <v>732</v>
      </c>
      <c r="B28" s="73">
        <v>75</v>
      </c>
      <c r="C28" s="73">
        <f t="shared" si="2"/>
        <v>60</v>
      </c>
      <c r="D28" s="74">
        <v>10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Updated 122223</vt:lpstr>
      <vt:lpstr>Wine Wish List</vt:lpstr>
      <vt:lpstr>Short Drinking Window</vt:lpstr>
      <vt:lpstr>Master_New</vt:lpstr>
      <vt:lpstr>Groveland 1110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Joshi</cp:lastModifiedBy>
  <dcterms:created xsi:type="dcterms:W3CDTF">2025-05-06T12:51:58Z</dcterms:created>
  <dcterms:modified xsi:type="dcterms:W3CDTF">2025-05-06T12:51:58Z</dcterms:modified>
</cp:coreProperties>
</file>